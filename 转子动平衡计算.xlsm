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65" windowWidth="19395" windowHeight="7575"/>
  </bookViews>
  <sheets>
    <sheet name="刚性转子单面平衡" sheetId="1" r:id="rId1"/>
    <sheet name="刚性转子双面平衡" sheetId="2" r:id="rId2"/>
    <sheet name="谐分量法" sheetId="3" r:id="rId3"/>
    <sheet name="Sheet1" sheetId="4" r:id="rId4"/>
  </sheets>
  <functionGroups builtInGroupCount="17"/>
  <calcPr calcId="144525"/>
</workbook>
</file>

<file path=xl/calcChain.xml><?xml version="1.0" encoding="utf-8"?>
<calcChain xmlns="http://schemas.openxmlformats.org/spreadsheetml/2006/main">
  <c r="O5" i="1" l="1"/>
  <c r="O7" i="1" s="1"/>
  <c r="J5" i="1"/>
  <c r="J7" i="1" s="1"/>
  <c r="E6" i="1"/>
  <c r="E7" i="1"/>
  <c r="E5" i="1"/>
  <c r="O6" i="1" l="1"/>
  <c r="J6" i="1"/>
  <c r="G3" i="2"/>
  <c r="G2" i="2"/>
  <c r="G13" i="2"/>
  <c r="G11" i="2"/>
  <c r="E14" i="2" l="1"/>
  <c r="E13" i="2"/>
  <c r="E12" i="2"/>
  <c r="E11" i="2"/>
  <c r="C8" i="4"/>
  <c r="B8" i="4"/>
  <c r="B6" i="4"/>
  <c r="C5" i="4"/>
  <c r="B5" i="4"/>
  <c r="C6" i="4"/>
  <c r="C7" i="4"/>
  <c r="B7" i="4"/>
  <c r="P5" i="3" l="1"/>
  <c r="P4" i="3"/>
  <c r="M5" i="3"/>
  <c r="M4" i="3"/>
  <c r="E13" i="3" l="1"/>
  <c r="E12" i="3"/>
  <c r="B13" i="3"/>
  <c r="B12" i="3"/>
  <c r="E11" i="3"/>
  <c r="E10" i="3"/>
  <c r="E9" i="3"/>
  <c r="E8" i="3"/>
  <c r="B11" i="3"/>
  <c r="B10" i="3"/>
  <c r="B9" i="3"/>
  <c r="B8" i="3"/>
  <c r="E14" i="3" l="1"/>
  <c r="E16" i="3" s="1"/>
  <c r="E15" i="3"/>
  <c r="E17" i="3" s="1"/>
  <c r="B14" i="3"/>
  <c r="B16" i="3" s="1"/>
  <c r="B15" i="3"/>
  <c r="B17" i="3" s="1"/>
  <c r="J16" i="2"/>
  <c r="J15" i="2"/>
  <c r="E19" i="3" l="1"/>
  <c r="B19" i="3"/>
  <c r="E18" i="3"/>
  <c r="B18" i="3"/>
  <c r="K17" i="2"/>
  <c r="J17" i="2"/>
  <c r="K18" i="2"/>
  <c r="J18" i="2"/>
  <c r="L5" i="1"/>
  <c r="G5" i="1"/>
  <c r="J19" i="2" l="1"/>
  <c r="J20" i="2" s="1"/>
  <c r="I21" i="2"/>
  <c r="J21" i="2"/>
  <c r="I19" i="2"/>
  <c r="I20" i="2" s="1"/>
  <c r="G6" i="1"/>
  <c r="L6" i="1"/>
  <c r="L7" i="1"/>
  <c r="G7" i="1"/>
  <c r="B14" i="2"/>
  <c r="G14" i="2" s="1"/>
  <c r="B12" i="2"/>
  <c r="G12" i="2" s="1"/>
  <c r="E16" i="2" l="1"/>
  <c r="E15" i="2"/>
  <c r="B15" i="2"/>
  <c r="B16" i="2"/>
  <c r="E17" i="2"/>
  <c r="B13" i="2"/>
  <c r="B17" i="2" s="1"/>
  <c r="E18" i="2"/>
  <c r="B11" i="2"/>
  <c r="E19" i="2" l="1"/>
  <c r="E20" i="2" s="1"/>
  <c r="E21" i="2" s="1"/>
  <c r="B19" i="2"/>
  <c r="B18" i="2"/>
  <c r="B5" i="1"/>
  <c r="E23" i="2" l="1"/>
  <c r="E22" i="2"/>
  <c r="E24" i="2"/>
  <c r="B7" i="1"/>
  <c r="Q7" i="1" s="1"/>
  <c r="T6" i="1"/>
  <c r="T7" i="1"/>
  <c r="B6" i="1"/>
  <c r="Q6" i="1" s="1"/>
  <c r="B20" i="2"/>
  <c r="B22" i="2" s="1"/>
  <c r="B21" i="2" l="1"/>
  <c r="B24" i="2"/>
  <c r="B23" i="2"/>
</calcChain>
</file>

<file path=xl/sharedStrings.xml><?xml version="1.0" encoding="utf-8"?>
<sst xmlns="http://schemas.openxmlformats.org/spreadsheetml/2006/main" count="245" uniqueCount="76">
  <si>
    <t>原始振动值A0</t>
    <phoneticPr fontId="2" type="noConversion"/>
  </si>
  <si>
    <t>参数</t>
    <phoneticPr fontId="2" type="noConversion"/>
  </si>
  <si>
    <t>试加重后振动值A1</t>
    <phoneticPr fontId="2" type="noConversion"/>
  </si>
  <si>
    <t>um</t>
    <phoneticPr fontId="2" type="noConversion"/>
  </si>
  <si>
    <t>@</t>
    <phoneticPr fontId="2" type="noConversion"/>
  </si>
  <si>
    <t>°</t>
    <phoneticPr fontId="2" type="noConversion"/>
  </si>
  <si>
    <t>g</t>
    <phoneticPr fontId="2" type="noConversion"/>
  </si>
  <si>
    <t>原始振动值A0</t>
    <phoneticPr fontId="2" type="noConversion"/>
  </si>
  <si>
    <t>原始振动值B0</t>
    <phoneticPr fontId="2" type="noConversion"/>
  </si>
  <si>
    <t>试加重P</t>
    <phoneticPr fontId="2" type="noConversion"/>
  </si>
  <si>
    <t>加重量Q(去试重)</t>
    <phoneticPr fontId="2" type="noConversion"/>
  </si>
  <si>
    <t>加重量Q(不去试重)</t>
    <phoneticPr fontId="2" type="noConversion"/>
  </si>
  <si>
    <t>I面试加重P1</t>
    <phoneticPr fontId="2" type="noConversion"/>
  </si>
  <si>
    <t>I面试加重P1后振动A1</t>
    <phoneticPr fontId="2" type="noConversion"/>
  </si>
  <si>
    <t>I面试加重P1后振动B1</t>
    <phoneticPr fontId="2" type="noConversion"/>
  </si>
  <si>
    <t>II面试加重P2后振动A2</t>
    <phoneticPr fontId="2" type="noConversion"/>
  </si>
  <si>
    <t>II面试加重P2后振动B2</t>
    <phoneticPr fontId="2" type="noConversion"/>
  </si>
  <si>
    <t>影响系数α</t>
    <phoneticPr fontId="2" type="noConversion"/>
  </si>
  <si>
    <t>影响系数α11</t>
    <phoneticPr fontId="2" type="noConversion"/>
  </si>
  <si>
    <t>影响系数α12</t>
    <phoneticPr fontId="2" type="noConversion"/>
  </si>
  <si>
    <t>影响系数α22</t>
    <phoneticPr fontId="2" type="noConversion"/>
  </si>
  <si>
    <t>g</t>
    <phoneticPr fontId="2" type="noConversion"/>
  </si>
  <si>
    <t>影响系数α21</t>
    <phoneticPr fontId="2" type="noConversion"/>
  </si>
  <si>
    <t>II面试加重P2</t>
    <phoneticPr fontId="2" type="noConversion"/>
  </si>
  <si>
    <t>II面加重是否取下I面加重P1</t>
    <phoneticPr fontId="2" type="noConversion"/>
  </si>
  <si>
    <t>影响系数矩阵逆矩阵元素α'11</t>
    <phoneticPr fontId="2" type="noConversion"/>
  </si>
  <si>
    <t>影响系数矩阵逆矩阵元素α'12</t>
    <phoneticPr fontId="2" type="noConversion"/>
  </si>
  <si>
    <t>影响系数矩阵逆矩阵元素α'21</t>
    <phoneticPr fontId="2" type="noConversion"/>
  </si>
  <si>
    <t>影响系数矩阵逆矩阵元素α'22</t>
    <phoneticPr fontId="2" type="noConversion"/>
  </si>
  <si>
    <t>detA</t>
    <phoneticPr fontId="2" type="noConversion"/>
  </si>
  <si>
    <t>detA倒数</t>
    <phoneticPr fontId="2" type="noConversion"/>
  </si>
  <si>
    <t>加重量Q1(去试重P2)</t>
    <phoneticPr fontId="2" type="noConversion"/>
  </si>
  <si>
    <t>加重量Q2(去试重P2)</t>
    <phoneticPr fontId="2" type="noConversion"/>
  </si>
  <si>
    <t>加重量Q1(不去试重P2)</t>
    <phoneticPr fontId="2" type="noConversion"/>
  </si>
  <si>
    <t>加重量Q2(不去试重P2)</t>
    <phoneticPr fontId="2" type="noConversion"/>
  </si>
  <si>
    <t>第1组</t>
    <phoneticPr fontId="2" type="noConversion"/>
  </si>
  <si>
    <t>第2组</t>
    <phoneticPr fontId="2" type="noConversion"/>
  </si>
  <si>
    <t>第3组</t>
    <phoneticPr fontId="2" type="noConversion"/>
  </si>
  <si>
    <t>平均值</t>
    <phoneticPr fontId="2" type="noConversion"/>
  </si>
  <si>
    <t>幅值</t>
    <phoneticPr fontId="2" type="noConversion"/>
  </si>
  <si>
    <t>幅角</t>
    <phoneticPr fontId="2" type="noConversion"/>
  </si>
  <si>
    <t>正对称</t>
    <phoneticPr fontId="2" type="noConversion"/>
  </si>
  <si>
    <t>反对称</t>
    <phoneticPr fontId="2" type="noConversion"/>
  </si>
  <si>
    <t>I面试加重P1</t>
    <phoneticPr fontId="2" type="noConversion"/>
  </si>
  <si>
    <t>II面试加重P2</t>
    <phoneticPr fontId="2" type="noConversion"/>
  </si>
  <si>
    <t>II面原始振动值B0</t>
    <phoneticPr fontId="2" type="noConversion"/>
  </si>
  <si>
    <t>I面试加重后振动值A1</t>
    <phoneticPr fontId="2" type="noConversion"/>
  </si>
  <si>
    <t>II面试加重后振动值B1</t>
    <phoneticPr fontId="2" type="noConversion"/>
  </si>
  <si>
    <t>原始振动正对称分量Ad0</t>
    <phoneticPr fontId="2" type="noConversion"/>
  </si>
  <si>
    <t>原始振动反对称分量Af0</t>
    <phoneticPr fontId="2" type="noConversion"/>
  </si>
  <si>
    <t>正对称试加重量Pd</t>
    <phoneticPr fontId="2" type="noConversion"/>
  </si>
  <si>
    <t>反对称试加重量Pf</t>
    <phoneticPr fontId="2" type="noConversion"/>
  </si>
  <si>
    <t>试加后振动正对称分量Ad1</t>
    <phoneticPr fontId="2" type="noConversion"/>
  </si>
  <si>
    <t>试加后振动反对称分量Af1</t>
    <phoneticPr fontId="2" type="noConversion"/>
  </si>
  <si>
    <t>正对称加重影响系数αd</t>
    <phoneticPr fontId="2" type="noConversion"/>
  </si>
  <si>
    <t>反对称加重影响系数αf</t>
    <phoneticPr fontId="2" type="noConversion"/>
  </si>
  <si>
    <t>平衡加重正对称分量Qd</t>
    <phoneticPr fontId="2" type="noConversion"/>
  </si>
  <si>
    <t>平衡加重反对称分量Qf</t>
    <phoneticPr fontId="2" type="noConversion"/>
  </si>
  <si>
    <t>I面原始振动值A0</t>
    <phoneticPr fontId="2" type="noConversion"/>
  </si>
  <si>
    <t>I面合成平衡加重量</t>
    <phoneticPr fontId="2" type="noConversion"/>
  </si>
  <si>
    <t>II面合成平衡加重量</t>
    <phoneticPr fontId="2" type="noConversion"/>
  </si>
  <si>
    <t>对称反对称分量分解</t>
    <phoneticPr fontId="2" type="noConversion"/>
  </si>
  <si>
    <t>g</t>
    <phoneticPr fontId="2" type="noConversion"/>
  </si>
  <si>
    <t>反对称分量</t>
    <phoneticPr fontId="2" type="noConversion"/>
  </si>
  <si>
    <t>第II面</t>
    <phoneticPr fontId="2" type="noConversion"/>
  </si>
  <si>
    <t>第I面</t>
    <phoneticPr fontId="2" type="noConversion"/>
  </si>
  <si>
    <t>正对称分量</t>
    <phoneticPr fontId="2" type="noConversion"/>
  </si>
  <si>
    <t>幅值</t>
    <phoneticPr fontId="2" type="noConversion"/>
  </si>
  <si>
    <t>角度</t>
    <phoneticPr fontId="2" type="noConversion"/>
  </si>
  <si>
    <t>A-B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</si>
  <si>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</si>
  <si>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</si>
  <si>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</si>
  <si>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A-C</t>
    <phoneticPr fontId="2" type="noConversion"/>
  </si>
  <si>
    <t>B-C</t>
    <phoneticPr fontId="2" type="noConversion"/>
  </si>
  <si>
    <t>B-A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</si>
</sst>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11">
    <font>
      <sz val="11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15"/>
      <color theme="1"/>
      <name val="宋体"/>
      <family val="3"/>
      <charset val="134"/>
      <scheme val="minor"/>
    </font>
    <font>
      <sz val="15"/>
      <color rgb="FF0070C0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5"/>
      <name val="宋体"/>
      <family val="2"/>
      <charset val="134"/>
      <scheme val="minor"/>
    </font>
    <font>
      <b/>
      <sz val="15"/>
      <name val="宋体"/>
      <family val="2"/>
      <charset val="134"/>
      <scheme val="minor"/>
    </font>
    <font>
      <sz val="11"/>
      <color rgb="FF00B0F0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2" borderId="0" xfId="0" applyFont="1" applyFill="1">
      <alignment vertical="center"/>
    </xf>
    <xf numFmtId="0" fontId="5" fillId="3" borderId="0" xfId="0" applyFont="1" applyFill="1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2" fontId="1" fillId="0" borderId="0" xfId="0" applyNumberFormat="1" applyFont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6" fillId="0" borderId="0" xfId="0" applyNumberFormat="1" applyFont="1" applyFill="1">
      <alignment vertical="center"/>
    </xf>
    <xf numFmtId="0" fontId="6" fillId="0" borderId="0" xfId="0" applyFont="1" applyFill="1" applyAlignment="1">
      <alignment horizontal="right" vertical="center"/>
    </xf>
    <xf numFmtId="0" fontId="8" fillId="0" borderId="0" xfId="0" applyFont="1" applyFill="1">
      <alignment vertical="center"/>
    </xf>
    <xf numFmtId="0" fontId="9" fillId="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7" fillId="5" borderId="0" xfId="0" applyFont="1" applyFill="1">
      <alignment vertical="center"/>
    </xf>
    <xf numFmtId="0" fontId="10" fillId="0" borderId="0" xfId="0" applyFont="1">
      <alignment vertical="center"/>
    </xf>
    <xf numFmtId="58" fontId="0" fillId="0" borderId="0" xfId="0" quotePrefix="1" applyNumberFormat="1">
      <alignment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"/>
  <sheetViews>
    <sheetView tabSelected="1" workbookViewId="0">
      <selection activeCell="O10" sqref="O10"/>
    </sheetView>
  </sheetViews>
  <sheetFormatPr defaultRowHeight="13.5"/>
  <cols>
    <col min="1" max="1" width="16.75" customWidth="1"/>
    <col min="2" max="2" width="10.25" customWidth="1"/>
    <col min="3" max="3" width="5.625" customWidth="1"/>
    <col min="4" max="4" width="2.75" customWidth="1"/>
    <col min="5" max="5" width="8.5" customWidth="1"/>
    <col min="6" max="6" width="3.25" customWidth="1"/>
    <col min="7" max="7" width="10.25" customWidth="1"/>
    <col min="8" max="8" width="5.625" customWidth="1"/>
    <col min="9" max="9" width="2.75" customWidth="1"/>
    <col min="10" max="10" width="8.5" customWidth="1"/>
    <col min="11" max="11" width="3.25" customWidth="1"/>
    <col min="12" max="12" width="10.25" customWidth="1"/>
    <col min="13" max="13" width="5.625" customWidth="1"/>
    <col min="14" max="14" width="2.75" customWidth="1"/>
    <col min="15" max="15" width="8.5" customWidth="1"/>
    <col min="16" max="16" width="3.25" customWidth="1"/>
    <col min="17" max="17" width="10.25" customWidth="1"/>
    <col min="18" max="18" width="5.625" customWidth="1"/>
    <col min="19" max="19" width="2.75" customWidth="1"/>
    <col min="20" max="20" width="8.5" customWidth="1"/>
    <col min="21" max="21" width="3.25" customWidth="1"/>
  </cols>
  <sheetData>
    <row r="1" spans="1:21">
      <c r="A1" s="20" t="s">
        <v>1</v>
      </c>
      <c r="B1" s="23" t="s">
        <v>35</v>
      </c>
      <c r="C1" s="23"/>
      <c r="D1" s="23"/>
      <c r="E1" s="23"/>
      <c r="F1" s="23"/>
      <c r="G1" s="24" t="s">
        <v>36</v>
      </c>
      <c r="H1" s="24"/>
      <c r="I1" s="24"/>
      <c r="J1" s="24"/>
      <c r="K1" s="24"/>
      <c r="L1" s="23" t="s">
        <v>37</v>
      </c>
      <c r="M1" s="23"/>
      <c r="N1" s="23"/>
      <c r="O1" s="23"/>
      <c r="P1" s="23"/>
      <c r="Q1" s="24" t="s">
        <v>38</v>
      </c>
      <c r="R1" s="24"/>
      <c r="S1" s="24"/>
      <c r="T1" s="24"/>
      <c r="U1" s="24"/>
    </row>
    <row r="2" spans="1:21" ht="15.75" customHeight="1">
      <c r="A2" t="s">
        <v>0</v>
      </c>
      <c r="B2" s="6">
        <v>126.4</v>
      </c>
      <c r="C2" s="1" t="s">
        <v>3</v>
      </c>
      <c r="D2" s="3" t="s">
        <v>4</v>
      </c>
      <c r="E2" s="6">
        <v>183</v>
      </c>
      <c r="F2" s="2" t="s">
        <v>5</v>
      </c>
      <c r="G2" s="6">
        <v>170</v>
      </c>
      <c r="H2" s="1" t="s">
        <v>3</v>
      </c>
      <c r="I2" s="3" t="s">
        <v>4</v>
      </c>
      <c r="J2" s="6">
        <v>93</v>
      </c>
      <c r="K2" s="2" t="s">
        <v>5</v>
      </c>
      <c r="L2" s="6">
        <v>159</v>
      </c>
      <c r="M2" s="1" t="s">
        <v>3</v>
      </c>
      <c r="N2" s="3" t="s">
        <v>4</v>
      </c>
      <c r="O2" s="6">
        <v>345</v>
      </c>
      <c r="P2" s="2" t="s">
        <v>5</v>
      </c>
      <c r="Q2" s="6"/>
      <c r="R2" s="1"/>
      <c r="S2" s="3"/>
      <c r="T2" s="6"/>
      <c r="U2" s="2"/>
    </row>
    <row r="3" spans="1:21" ht="15.75" customHeight="1">
      <c r="A3" t="s">
        <v>2</v>
      </c>
      <c r="B3" s="6">
        <v>105</v>
      </c>
      <c r="C3" s="1" t="s">
        <v>3</v>
      </c>
      <c r="D3" s="3" t="s">
        <v>4</v>
      </c>
      <c r="E3" s="6">
        <v>199</v>
      </c>
      <c r="F3" s="2" t="s">
        <v>5</v>
      </c>
      <c r="G3" s="6">
        <v>127</v>
      </c>
      <c r="H3" s="1" t="s">
        <v>3</v>
      </c>
      <c r="I3" s="3" t="s">
        <v>4</v>
      </c>
      <c r="J3" s="6">
        <v>91</v>
      </c>
      <c r="K3" s="2" t="s">
        <v>5</v>
      </c>
      <c r="L3" s="6">
        <v>547</v>
      </c>
      <c r="M3" s="1" t="s">
        <v>3</v>
      </c>
      <c r="N3" s="3" t="s">
        <v>4</v>
      </c>
      <c r="O3" s="6">
        <v>105</v>
      </c>
      <c r="P3" s="2" t="s">
        <v>5</v>
      </c>
      <c r="Q3" s="6"/>
      <c r="R3" s="1"/>
      <c r="S3" s="3"/>
      <c r="T3" s="6"/>
      <c r="U3" s="2"/>
    </row>
    <row r="4" spans="1:21" ht="15.75" customHeight="1">
      <c r="A4" t="s">
        <v>9</v>
      </c>
      <c r="B4" s="6">
        <v>15</v>
      </c>
      <c r="C4" s="7" t="s">
        <v>6</v>
      </c>
      <c r="D4" s="3" t="s">
        <v>4</v>
      </c>
      <c r="E4" s="6">
        <v>120</v>
      </c>
      <c r="F4" s="2" t="s">
        <v>5</v>
      </c>
      <c r="G4" s="6">
        <v>15</v>
      </c>
      <c r="H4" s="7" t="s">
        <v>6</v>
      </c>
      <c r="I4" s="3" t="s">
        <v>4</v>
      </c>
      <c r="J4" s="6">
        <v>120</v>
      </c>
      <c r="K4" s="2" t="s">
        <v>5</v>
      </c>
      <c r="L4" s="6">
        <v>332</v>
      </c>
      <c r="M4" s="7" t="s">
        <v>6</v>
      </c>
      <c r="N4" s="3" t="s">
        <v>4</v>
      </c>
      <c r="O4" s="6">
        <v>300</v>
      </c>
      <c r="P4" s="2" t="s">
        <v>5</v>
      </c>
      <c r="Q4" s="6"/>
      <c r="R4" s="7"/>
      <c r="S4" s="3"/>
      <c r="T4" s="6"/>
      <c r="U4" s="2"/>
    </row>
    <row r="5" spans="1:21" ht="19.5">
      <c r="A5" t="s">
        <v>17</v>
      </c>
      <c r="B5" s="5">
        <f>IMABS(IMDIV(IMSUB(COMPLEX(B3*COS(E3/180*PI()),B3*SIN(E3/180*PI())),COMPLEX(B2*COS(E2/180*PI()),B2*SIN(E2/180*PI()))),COMPLEX(B4*COS(E4/180*PI()),B4*SIN(E4/180*PI()))))</f>
        <v>2.5701098489392349</v>
      </c>
      <c r="C5" s="8"/>
      <c r="D5" s="3" t="s">
        <v>4</v>
      </c>
      <c r="E5" s="5">
        <f>MOD(IMARGUMENT((IMDIV(IMSUB(COMPLEX(B3*COS(E3/180*PI()),B3*SIN(E3/180*PI())),COMPLEX(B2*COS(E2/180*PI()),B2*SIN(E2/180*PI()))),COMPLEX(B4*COS(E4/180*PI()),B4*SIN(E4/180*PI())))))*180/PI(),360)</f>
        <v>194.34624896564907</v>
      </c>
      <c r="F5" s="2" t="s">
        <v>5</v>
      </c>
      <c r="G5" s="5">
        <f>IMABS(IMDIV(IMSUB(COMPLEX(G3*COS(J3/180*PI()),G3*SIN(J3/180*PI())),COMPLEX(G2*COS(J2/180*PI()),G2*SIN(J2/180*PI()))),COMPLEX(G4*COS(J4/180*PI()),G4*SIN(J4/180*PI()))))</f>
        <v>2.8869854245219186</v>
      </c>
      <c r="H5" s="8"/>
      <c r="I5" s="3" t="s">
        <v>4</v>
      </c>
      <c r="J5" s="5">
        <f>MOD(IMARGUMENT((IMDIV(IMSUB(COMPLEX(G3*COS(J3/180*PI()),G3*SIN(J3/180*PI())),COMPLEX(G2*COS(J2/180*PI()),G2*SIN(J2/180*PI()))),COMPLEX(G4*COS(J4/180*PI()),G4*SIN(J4/180*PI())))))*180/PI(),360)</f>
        <v>158.87449903835193</v>
      </c>
      <c r="K5" s="2" t="s">
        <v>5</v>
      </c>
      <c r="L5" s="5">
        <f>IMABS(IMDIV(IMSUB(COMPLEX(L3*COS(O3/180*PI()),L3*SIN(O3/180*PI())),COMPLEX(L2*COS(O2/180*PI()),L2*SIN(O2/180*PI()))),COMPLEX(L4*COS(O4/180*PI()),L4*SIN(O4/180*PI()))))</f>
        <v>1.9320898117814433</v>
      </c>
      <c r="M5" s="8"/>
      <c r="N5" s="3" t="s">
        <v>4</v>
      </c>
      <c r="O5" s="5">
        <f>MOD(IMARGUMENT((IMDIV(IMSUB(COMPLEX(L3*COS(O3/180*PI()),L3*SIN(O3/180*PI())),COMPLEX(L2*COS(O2/180*PI()),L2*SIN(O2/180*PI()))),COMPLEX(L4*COS(O4/180*PI()),L4*SIN(O4/180*PI())))))*180/PI(),360)</f>
        <v>177.39590684844759</v>
      </c>
      <c r="P5" s="2" t="s">
        <v>5</v>
      </c>
      <c r="Q5" s="5"/>
      <c r="R5" s="8"/>
      <c r="S5" s="3"/>
      <c r="T5" s="5"/>
      <c r="U5" s="2"/>
    </row>
    <row r="6" spans="1:21" ht="19.5">
      <c r="A6" t="s">
        <v>10</v>
      </c>
      <c r="B6" s="6">
        <f>IMABS(IMSUB(0,IMDIV(COMPLEX(B2*COS(E2/180*PI()),B2*SIN(E2/180*PI())),COMPLEX(B5*COS(E5/180*PI()),B5*SIN(E5/180*PI())))))</f>
        <v>49.180777254392098</v>
      </c>
      <c r="C6" s="8" t="s">
        <v>6</v>
      </c>
      <c r="D6" s="3" t="s">
        <v>4</v>
      </c>
      <c r="E6" s="6">
        <f>MOD(IMARGUMENT(IMSUB(0,IMDIV(COMPLEX(B2*COS(E2/180*PI()),B2*SIN(E2/180*PI())),COMPLEX(B5*COS(E5/180*PI()),B5*SIN(E5/180*PI())))))*180/PI(),360)</f>
        <v>168.65375103435093</v>
      </c>
      <c r="F6" s="2" t="s">
        <v>5</v>
      </c>
      <c r="G6" s="6">
        <f>IMABS(IMSUB(0,IMDIV(COMPLEX(G2*COS(J2/180*PI()),G2*SIN(J2/180*PI())),COMPLEX(G5*COS(J5/180*PI()),G5*SIN(J5/180*PI())))))</f>
        <v>58.88495264161309</v>
      </c>
      <c r="H6" s="8" t="s">
        <v>6</v>
      </c>
      <c r="I6" s="3" t="s">
        <v>4</v>
      </c>
      <c r="J6" s="6">
        <f>MOD(IMARGUMENT(IMSUB(0,IMDIV(COMPLEX(G2*COS(J2/180*PI()),G2*SIN(J2/180*PI())),COMPLEX(G5*COS(J5/180*PI()),G5*SIN(J5/180*PI())))))*180/PI(),360)</f>
        <v>114.1255009616481</v>
      </c>
      <c r="K6" s="2" t="s">
        <v>5</v>
      </c>
      <c r="L6" s="6">
        <f>IMABS(IMSUB(0,IMDIV(COMPLEX(L2*COS(O2/180*PI()),L2*SIN(O2/180*PI())),COMPLEX(L5*COS(O5/180*PI()),L5*SIN(O5/180*PI())))))</f>
        <v>82.294311077287617</v>
      </c>
      <c r="M6" s="8" t="s">
        <v>6</v>
      </c>
      <c r="N6" s="3" t="s">
        <v>4</v>
      </c>
      <c r="O6" s="6">
        <f>MOD(IMARGUMENT(IMSUB(0,IMDIV(COMPLEX(L2*COS(O2/180*PI()),L2*SIN(O2/180*PI())),COMPLEX(L5*COS(O5/180*PI()),L5*SIN(O5/180*PI())))))*180/PI(),360)</f>
        <v>347.60409315155243</v>
      </c>
      <c r="P6" s="2" t="s">
        <v>5</v>
      </c>
      <c r="Q6" s="6">
        <f>AVERAGE(B6,G6,L6)</f>
        <v>63.453346991097611</v>
      </c>
      <c r="R6" s="8" t="s">
        <v>6</v>
      </c>
      <c r="S6" s="3" t="s">
        <v>4</v>
      </c>
      <c r="T6" s="6">
        <f>AVERAGE(E6,J6,O6)</f>
        <v>210.12778171585049</v>
      </c>
      <c r="U6" s="2" t="s">
        <v>5</v>
      </c>
    </row>
    <row r="7" spans="1:21" ht="19.5">
      <c r="A7" t="s">
        <v>11</v>
      </c>
      <c r="B7" s="6">
        <f>IMABS(IMSUB(0,IMDIV(COMPLEX(B3*COS(E3/180*PI()),B3*SIN(E3/180*PI())),COMPLEX(B5*COS(E5/180*PI()),B5*SIN(E5/180*PI())))))</f>
        <v>40.854284902778318</v>
      </c>
      <c r="C7" s="8" t="s">
        <v>6</v>
      </c>
      <c r="D7" s="3" t="s">
        <v>4</v>
      </c>
      <c r="E7" s="6">
        <f>MOD(IMARGUMENT(IMSUB(0,IMDIV(COMPLEX(B3*COS(E3/180*PI()),B3*SIN(E3/180*PI())),COMPLEX(B5*COS(E5/180*PI()),B5*SIN(E5/180*PI())))))*180/PI(),360)</f>
        <v>184.65375103435096</v>
      </c>
      <c r="F7" s="2" t="s">
        <v>5</v>
      </c>
      <c r="G7" s="6">
        <f>IMABS(IMSUB(0,IMDIV(COMPLEX(G3*COS(J3/180*PI()),G3*SIN(J3/180*PI())),COMPLEX(G5*COS(J5/180*PI()),G5*SIN(J5/180*PI())))))</f>
        <v>43.990523444028575</v>
      </c>
      <c r="H7" s="8" t="s">
        <v>6</v>
      </c>
      <c r="I7" s="3" t="s">
        <v>4</v>
      </c>
      <c r="J7" s="6">
        <f>MOD(IMARGUMENT(IMSUB(0,IMDIV(COMPLEX(G3*COS(J3/180*PI()),G3*SIN(J3/180*PI())),COMPLEX(G5*COS(J5/180*PI()),G5*SIN(J5/180*PI())))))*180/PI(),360)</f>
        <v>112.12550096164803</v>
      </c>
      <c r="K7" s="2" t="s">
        <v>5</v>
      </c>
      <c r="L7" s="6">
        <f>IMABS(IMSUB(0,IMDIV(COMPLEX(L3*COS(O3/180*PI()),L3*SIN(O3/180*PI())),COMPLEX(L5*COS(O5/180*PI()),L5*SIN(O5/180*PI())))))</f>
        <v>283.11313307720866</v>
      </c>
      <c r="M7" s="8" t="s">
        <v>6</v>
      </c>
      <c r="N7" s="3" t="s">
        <v>4</v>
      </c>
      <c r="O7" s="6">
        <f>MOD(IMARGUMENT(IMSUB(0,IMDIV(COMPLEX(L3*COS(O3/180*PI()),L3*SIN(O3/180*PI())),COMPLEX(L5*COS(O5/180*PI()),L5*SIN(O5/180*PI())))))*180/PI(),360)</f>
        <v>107.60409315155246</v>
      </c>
      <c r="P7" s="2" t="s">
        <v>5</v>
      </c>
      <c r="Q7" s="6">
        <f>AVERAGE(B7,G7,L7)</f>
        <v>122.65264714133851</v>
      </c>
      <c r="R7" s="8" t="s">
        <v>6</v>
      </c>
      <c r="S7" s="3" t="s">
        <v>4</v>
      </c>
      <c r="T7" s="6">
        <f>AVERAGE(E7,J7,O7)</f>
        <v>134.79444838251717</v>
      </c>
      <c r="U7" s="2" t="s">
        <v>5</v>
      </c>
    </row>
  </sheetData>
  <mergeCells count="4">
    <mergeCell ref="B1:F1"/>
    <mergeCell ref="G1:K1"/>
    <mergeCell ref="L1:P1"/>
    <mergeCell ref="Q1:U1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4"/>
  <sheetViews>
    <sheetView topLeftCell="A10" workbookViewId="0">
      <selection activeCell="G20" sqref="G20"/>
    </sheetView>
  </sheetViews>
  <sheetFormatPr defaultRowHeight="13.5"/>
  <cols>
    <col min="1" max="1" width="26.75" customWidth="1"/>
    <col min="2" max="2" width="8.875" customWidth="1"/>
    <col min="3" max="3" width="3.5" style="10" bestFit="1" customWidth="1"/>
    <col min="4" max="4" width="2.75" customWidth="1"/>
    <col min="5" max="5" width="8.5" customWidth="1"/>
    <col min="6" max="6" width="3.25" style="13" customWidth="1"/>
    <col min="7" max="7" width="18.25" customWidth="1"/>
    <col min="8" max="8" width="21.625" customWidth="1"/>
    <col min="9" max="9" width="12.75" bestFit="1" customWidth="1"/>
  </cols>
  <sheetData>
    <row r="1" spans="1:10">
      <c r="A1" s="9" t="s">
        <v>1</v>
      </c>
      <c r="B1" s="23" t="s">
        <v>35</v>
      </c>
      <c r="C1" s="23"/>
      <c r="D1" s="23"/>
      <c r="E1" s="23"/>
      <c r="F1" s="23"/>
    </row>
    <row r="2" spans="1:10" ht="19.5">
      <c r="A2" t="s">
        <v>7</v>
      </c>
      <c r="B2" s="6">
        <v>21.44</v>
      </c>
      <c r="C2" s="11" t="s">
        <v>3</v>
      </c>
      <c r="D2" s="3" t="s">
        <v>4</v>
      </c>
      <c r="E2" s="6">
        <v>351</v>
      </c>
      <c r="F2" s="14" t="s">
        <v>5</v>
      </c>
      <c r="G2" t="str">
        <f>B2 &amp; "@" &amp;E2</f>
        <v>21.44@351</v>
      </c>
    </row>
    <row r="3" spans="1:10" ht="19.5">
      <c r="A3" t="s">
        <v>8</v>
      </c>
      <c r="B3" s="6">
        <v>19.100000000000001</v>
      </c>
      <c r="C3" s="11" t="s">
        <v>3</v>
      </c>
      <c r="D3" s="3" t="s">
        <v>4</v>
      </c>
      <c r="E3" s="6">
        <v>347.3</v>
      </c>
      <c r="F3" s="14" t="s">
        <v>5</v>
      </c>
      <c r="G3" t="str">
        <f t="shared" ref="G3" si="0">B3 &amp; "@" &amp;E3</f>
        <v>19.1@347.3</v>
      </c>
    </row>
    <row r="4" spans="1:10" ht="19.5">
      <c r="A4" t="s">
        <v>12</v>
      </c>
      <c r="B4" s="6">
        <v>0.5</v>
      </c>
      <c r="C4" s="11" t="s">
        <v>21</v>
      </c>
      <c r="D4" s="3" t="s">
        <v>4</v>
      </c>
      <c r="E4" s="6">
        <v>0</v>
      </c>
      <c r="F4" s="14" t="s">
        <v>5</v>
      </c>
    </row>
    <row r="5" spans="1:10" ht="19.5">
      <c r="A5" t="s">
        <v>13</v>
      </c>
      <c r="B5" s="6">
        <v>16.260000000000002</v>
      </c>
      <c r="C5" s="11" t="s">
        <v>3</v>
      </c>
      <c r="D5" s="3" t="s">
        <v>4</v>
      </c>
      <c r="E5" s="6">
        <v>0.8</v>
      </c>
      <c r="F5" s="14" t="s">
        <v>5</v>
      </c>
    </row>
    <row r="6" spans="1:10" ht="19.5">
      <c r="A6" t="s">
        <v>14</v>
      </c>
      <c r="B6" s="6">
        <v>13.2</v>
      </c>
      <c r="C6" s="11" t="s">
        <v>3</v>
      </c>
      <c r="D6" s="3" t="s">
        <v>4</v>
      </c>
      <c r="E6" s="6">
        <v>349.6</v>
      </c>
      <c r="F6" s="14" t="s">
        <v>5</v>
      </c>
    </row>
    <row r="7" spans="1:10" ht="19.5">
      <c r="A7" t="s">
        <v>24</v>
      </c>
      <c r="B7" s="15" t="b">
        <v>1</v>
      </c>
      <c r="C7" s="16"/>
      <c r="D7" s="17"/>
      <c r="E7" s="15"/>
      <c r="F7" s="18"/>
    </row>
    <row r="8" spans="1:10" ht="19.5">
      <c r="A8" t="s">
        <v>23</v>
      </c>
      <c r="B8" s="6">
        <v>0.5</v>
      </c>
      <c r="C8" s="11" t="s">
        <v>21</v>
      </c>
      <c r="D8" s="3" t="s">
        <v>4</v>
      </c>
      <c r="E8" s="6">
        <v>0</v>
      </c>
      <c r="F8" s="14" t="s">
        <v>5</v>
      </c>
    </row>
    <row r="9" spans="1:10" ht="19.5">
      <c r="A9" t="s">
        <v>15</v>
      </c>
      <c r="B9" s="6">
        <v>26.78</v>
      </c>
      <c r="C9" s="11" t="s">
        <v>3</v>
      </c>
      <c r="D9" s="3" t="s">
        <v>4</v>
      </c>
      <c r="E9" s="6">
        <v>342.8</v>
      </c>
      <c r="F9" s="14" t="s">
        <v>5</v>
      </c>
    </row>
    <row r="10" spans="1:10" ht="19.5">
      <c r="A10" t="s">
        <v>16</v>
      </c>
      <c r="B10" s="6">
        <v>29.34</v>
      </c>
      <c r="C10" s="11" t="s">
        <v>3</v>
      </c>
      <c r="D10" s="3" t="s">
        <v>4</v>
      </c>
      <c r="E10" s="6">
        <v>343.8</v>
      </c>
      <c r="F10" s="14" t="s">
        <v>5</v>
      </c>
    </row>
    <row r="11" spans="1:10" ht="19.5">
      <c r="A11" t="s">
        <v>18</v>
      </c>
      <c r="B11" s="4">
        <f>IMABS(IMDIV(IMSUB(COMPLEX(B5*COS(E5/180*PI()),B5*SIN(E5/180*PI())),COMPLEX(B2*COS(E2/180*PI()),B2*SIN(E2/180*PI()))),COMPLEX(B$4*COS(E$4/180*PI()),B$4*SIN(E$4/180*PI()))))</f>
        <v>12.166582663975085</v>
      </c>
      <c r="C11" s="12"/>
      <c r="D11" s="3" t="s">
        <v>4</v>
      </c>
      <c r="E11" s="5">
        <f>MOD(IMARGUMENT(IMDIV(IMSUB(COMPLEX(B5*COS(E5/180*PI()),B5*SIN(E5/180*PI())),COMPLEX(B2*COS(E2/180*PI()),B2*SIN(E2/180*PI()))),COMPLEX(B$4*COS(E$4/180*PI()),B$4*SIN(E$4/180*PI()))))*180/PI(),360)</f>
        <v>143.93814463114029</v>
      </c>
      <c r="F11" s="14" t="s">
        <v>5</v>
      </c>
      <c r="G11" t="str">
        <f>B11 &amp; "@" &amp;E11</f>
        <v>12.1665826639751@143.93814463114</v>
      </c>
    </row>
    <row r="12" spans="1:10" ht="19.5">
      <c r="A12" t="s">
        <v>19</v>
      </c>
      <c r="B12" s="4">
        <f>IMABS(IMDIV(IMSUB(COMPLEX(B9*COS(E9/180*PI()),B9*SIN(E9/180*PI())),IF(B7,COMPLEX(B2*COS(E2/180*PI()),B2*SIN(E2/180*PI())),COMPLEX(B5*COS(E5/180*PI()),B5*SIN(E5/180*PI())))),COMPLEX(B$8*COS(E$8/180*PI()),B$8*SIN(E$8/180*PI()))))</f>
        <v>12.689495491325035</v>
      </c>
      <c r="C12" s="12"/>
      <c r="D12" s="3" t="s">
        <v>4</v>
      </c>
      <c r="E12" s="5">
        <f>MOD(IMARGUMENT(IMDIV(IMSUB(COMPLEX(B9*COS(E9/180*PI()),B9*SIN(E9/180*PI())),IF(B7,COMPLEX(B2*COS(E2/180*PI()),B2*SIN(E2/180*PI())),COMPLEX(B5*COS(E5/180*PI()),B5*SIN(E5/180*PI())))),COMPLEX(B$8*COS(E$8/180*PI()),B$8*SIN(E$8/180*PI()))))*180/PI(),360)</f>
        <v>313.98599648161735</v>
      </c>
      <c r="F12" s="14" t="s">
        <v>5</v>
      </c>
      <c r="G12" t="str">
        <f t="shared" ref="G12:G14" si="1">B12 &amp; "@" &amp;E12</f>
        <v>12.689495491325@313.985996481617</v>
      </c>
    </row>
    <row r="13" spans="1:10" ht="19.5">
      <c r="A13" t="s">
        <v>22</v>
      </c>
      <c r="B13" s="4">
        <f>IMABS(IMDIV(IMSUB(COMPLEX(B6*COS(E6/180*PI()),B6*SIN(E6/180*PI())),COMPLEX(B3*COS(E3/180*PI()),B3*SIN(E3/180*PI()))),COMPLEX(B$4*COS(E$4/180*PI()),B$4*SIN(E$4/180*PI()))))</f>
        <v>11.868650842870409</v>
      </c>
      <c r="C13" s="12"/>
      <c r="D13" s="3" t="s">
        <v>4</v>
      </c>
      <c r="E13" s="5">
        <f>MOD(IMARGUMENT(IMDIV(IMSUB(COMPLEX(B6*COS(E6/180*PI()),B6*SIN(E6/180*PI())),COMPLEX(B3*COS(E3/180*PI()),B3*SIN(E3/180*PI()))),COMPLEX(B$4*COS(E$4/180*PI()),B$4*SIN(E$4/180*PI()))))*180/PI(),360)</f>
        <v>162.17855817992418</v>
      </c>
      <c r="F13" s="14" t="s">
        <v>5</v>
      </c>
      <c r="G13" t="str">
        <f t="shared" si="1"/>
        <v>11.8686508428704@162.178558179924</v>
      </c>
    </row>
    <row r="14" spans="1:10" ht="19.5">
      <c r="A14" t="s">
        <v>20</v>
      </c>
      <c r="B14" s="4">
        <f>IMABS(IMDIV(IMSUB(COMPLEX(B10*COS(E10/180*PI()),B10*SIN(E10/180*PI())),IF(B7,COMPLEX(B3*COS(E3/180*PI()),B3*SIN(E3/180*PI())),COMPLEX(B6*COS(E6/180*PI()),B6*SIN(E6/180*PI())))),COMPLEX(B$8*COS(E$8/180*PI()),B$8*SIN(E$8/180*PI()))))</f>
        <v>20.683142463982744</v>
      </c>
      <c r="C14" s="12"/>
      <c r="D14" s="3" t="s">
        <v>4</v>
      </c>
      <c r="E14" s="5">
        <f>MOD(IMARGUMENT(IMDIV(IMSUB(COMPLEX(B10*COS(E10/180*PI()),B10*SIN(E10/180*PI())),IF(B7,COMPLEX(B3*COS(E3/180*PI()),B3*SIN(E3/180*PI())),COMPLEX(B6*COS(E6/180*PI()),B6*SIN(E6/180*PI())))),COMPLEX(B$8*COS(E$8/180*PI()),B$8*SIN(E$8/180*PI()))))*180/PI(),360)</f>
        <v>337.32605120661373</v>
      </c>
      <c r="F14" s="14" t="s">
        <v>5</v>
      </c>
      <c r="G14" t="str">
        <f t="shared" si="1"/>
        <v>20.6831424639827@337.326051206614</v>
      </c>
    </row>
    <row r="15" spans="1:10" ht="19.5">
      <c r="A15" t="s">
        <v>25</v>
      </c>
      <c r="B15" s="4">
        <f>B14</f>
        <v>20.683142463982744</v>
      </c>
      <c r="C15" s="12"/>
      <c r="D15" s="3" t="s">
        <v>4</v>
      </c>
      <c r="E15" s="5">
        <f>E14</f>
        <v>337.32605120661373</v>
      </c>
      <c r="F15" s="14" t="s">
        <v>5</v>
      </c>
      <c r="I15" s="19">
        <v>80</v>
      </c>
      <c r="J15">
        <f>I16/180*PI()</f>
        <v>6.0213859193804371</v>
      </c>
    </row>
    <row r="16" spans="1:10" ht="19.5">
      <c r="A16" t="s">
        <v>26</v>
      </c>
      <c r="B16" s="4">
        <f>B12</f>
        <v>12.689495491325035</v>
      </c>
      <c r="C16" s="12"/>
      <c r="D16" s="3" t="s">
        <v>4</v>
      </c>
      <c r="E16" s="5">
        <f>E12+180</f>
        <v>493.98599648161735</v>
      </c>
      <c r="F16" s="14" t="s">
        <v>5</v>
      </c>
      <c r="I16" s="19">
        <v>345</v>
      </c>
      <c r="J16">
        <f>I18/180*PI()</f>
        <v>3.7524578917878082</v>
      </c>
    </row>
    <row r="17" spans="1:11" ht="19.5">
      <c r="A17" t="s">
        <v>27</v>
      </c>
      <c r="B17" s="4">
        <f>B13</f>
        <v>11.868650842870409</v>
      </c>
      <c r="C17" s="12"/>
      <c r="D17" s="3" t="s">
        <v>4</v>
      </c>
      <c r="E17" s="5">
        <f>E13+180</f>
        <v>342.17855817992415</v>
      </c>
      <c r="F17" s="14" t="s">
        <v>5</v>
      </c>
      <c r="I17" s="19">
        <v>20</v>
      </c>
      <c r="J17">
        <f>COS(J15)*I15</f>
        <v>77.274066103125463</v>
      </c>
      <c r="K17">
        <f>SIN(J15)*I15</f>
        <v>-20.705523608201656</v>
      </c>
    </row>
    <row r="18" spans="1:11" ht="19.5">
      <c r="A18" t="s">
        <v>28</v>
      </c>
      <c r="B18" s="4">
        <f>B11</f>
        <v>12.166582663975085</v>
      </c>
      <c r="C18" s="12"/>
      <c r="D18" s="3" t="s">
        <v>4</v>
      </c>
      <c r="E18" s="5">
        <f>E11</f>
        <v>143.93814463114029</v>
      </c>
      <c r="F18" s="14" t="s">
        <v>5</v>
      </c>
      <c r="I18" s="19">
        <v>215</v>
      </c>
      <c r="J18">
        <f>COS(J16)*I17</f>
        <v>-16.383040885779842</v>
      </c>
      <c r="K18">
        <f>SIN(J16)*I17</f>
        <v>-11.471528727020917</v>
      </c>
    </row>
    <row r="19" spans="1:11" ht="19.5">
      <c r="A19" t="s">
        <v>29</v>
      </c>
      <c r="B19" s="4">
        <f>IMABS(COMPLEX(B11*B14*COS(RADIANS(E11+E14))-B12*B13*COS(RADIANS(E12+E13)),B11*B14*SIN(RADIANS(E11+E14))-B12*B13*SIN(RADIANS(E12+E13))))</f>
        <v>102.51003237218499</v>
      </c>
      <c r="C19" s="12"/>
      <c r="D19" s="3" t="s">
        <v>4</v>
      </c>
      <c r="E19" s="5">
        <f>MOD(IMARGUMENT(COMPLEX(B11*B14*COS(RADIANS(E11+E14))-B12*B13*COS(RADIANS(E12+E13)),B11*B14*SIN(RADIANS(E11+E14))-B12*B13*SIN(RADIANS(E12+E13))))*180/PI(),360)</f>
        <v>128.7681064424373</v>
      </c>
      <c r="F19" s="14"/>
      <c r="I19">
        <f>SQRT((J17+J18)^2+(K17+K18)^2)</f>
        <v>68.870019957911097</v>
      </c>
      <c r="J19">
        <f>SQRT((J17-J18)^2+(K17-K18)^2)</f>
        <v>94.111212674138486</v>
      </c>
    </row>
    <row r="20" spans="1:11" ht="19.5">
      <c r="A20" t="s">
        <v>30</v>
      </c>
      <c r="B20" s="4">
        <f>1/B19</f>
        <v>9.7551427588012281E-3</v>
      </c>
      <c r="C20" s="12"/>
      <c r="D20" s="3" t="s">
        <v>4</v>
      </c>
      <c r="E20" s="5">
        <f>MOD(-E19,360)</f>
        <v>231.2318935575627</v>
      </c>
      <c r="F20" s="14"/>
      <c r="H20" s="10" t="s">
        <v>39</v>
      </c>
      <c r="I20" s="21">
        <f>I19/2</f>
        <v>34.435009978955549</v>
      </c>
      <c r="J20" s="21">
        <f>J19/2</f>
        <v>47.055606337069243</v>
      </c>
    </row>
    <row r="21" spans="1:11" ht="19.5">
      <c r="A21" t="s">
        <v>31</v>
      </c>
      <c r="B21" s="6">
        <f>B20*IMABS(COMPLEX(B15*B2*COS(RADIANS(E15+E2+180))+B16*B3*COS(RADIANS(E16+E3+180)),B15*B2*SIN(RADIANS(E15+E2+180))+B16*B3*SIN(RADIANS(E16+E3+180))))</f>
        <v>2.4665099750733956</v>
      </c>
      <c r="C21" s="12" t="s">
        <v>6</v>
      </c>
      <c r="D21" s="3" t="s">
        <v>4</v>
      </c>
      <c r="E21" s="6">
        <f>MOD(E20+IMARGUMENT(COMPLEX(B15*B2*COS(RADIANS(E15+E2+180))+B16*B3*COS(RADIANS(E16+E3+180)),B15*B2*SIN(RADIANS(E15+E2+180))+B16*B3*SIN(RADIANS(E16+E3+180))))*180/PI(),360)</f>
        <v>45.393092392360813</v>
      </c>
      <c r="F21" s="14" t="s">
        <v>5</v>
      </c>
      <c r="H21" s="10" t="s">
        <v>40</v>
      </c>
      <c r="I21" s="21">
        <f>MOD(360+180/PI()*IMARGUMENT(J17+J18 &amp;"+" &amp;K17+K18 &amp; "i"),360)</f>
        <v>332.14638335744803</v>
      </c>
      <c r="J21" s="21">
        <f>MOD(360+180/PI()*IMARGUMENT(J17-J18 &amp;"+" &amp;K17-K18 &amp; "i"),360)</f>
        <v>354.3691987334916</v>
      </c>
    </row>
    <row r="22" spans="1:11" ht="19.5">
      <c r="A22" t="s">
        <v>32</v>
      </c>
      <c r="B22" s="6">
        <f>B20*IMABS(COMPLEX(B17*B2*COS(RADIANS(E17+E2+180))+B18*B3*COS(RADIANS(E18+E3+180)),B17*B2*SIN(RADIANS(E17+E2+180))+B18*B3*SIN(RADIANS(E18+E3+180))))</f>
        <v>0.92818759555819541</v>
      </c>
      <c r="C22" s="12" t="s">
        <v>6</v>
      </c>
      <c r="D22" s="3" t="s">
        <v>4</v>
      </c>
      <c r="E22" s="6">
        <f>MOD(E20+IMARGUMENT(COMPLEX(B17*B2*COS(RADIANS(E17+E2+180))+B18*B3*COS(RADIANS(E18+E3+180)),B17*B2*SIN(RADIANS(E17+E2+180))+B18*B3*SIN(RADIANS(E18+E3+180))))*180/PI(),360)</f>
        <v>90.270321427734103</v>
      </c>
      <c r="F22" s="14" t="s">
        <v>5</v>
      </c>
      <c r="I22" t="s">
        <v>41</v>
      </c>
      <c r="J22" t="s">
        <v>42</v>
      </c>
    </row>
    <row r="23" spans="1:11" ht="19.5">
      <c r="A23" t="s">
        <v>33</v>
      </c>
      <c r="B23" s="6">
        <f>B20*IMABS(COMPLEX(B15*B9*COS(RADIANS(E15+E9+180))+B16*B10*COS(RADIANS(E16+E10+180)),B15*B9*SIN(RADIANS(E15+E9+180))+B16*B10*SIN(RADIANS(E16+E10+180))))</f>
        <v>2.4665099750734059</v>
      </c>
      <c r="C23" s="12" t="s">
        <v>6</v>
      </c>
      <c r="D23" s="3" t="s">
        <v>4</v>
      </c>
      <c r="E23" s="19">
        <f>MOD(E20+IMARGUMENT(COMPLEX(B15*B9*COS(RADIANS(E15+E9+180))+B16*B10*COS(RADIANS(E16+E10+180)),B15*B9*SIN(RADIANS(E15+E9+180))+B16*B10*SIN(RADIANS(E16+E10+180))))*180/PI(),360)</f>
        <v>45.39309239236087</v>
      </c>
      <c r="F23" s="14" t="s">
        <v>5</v>
      </c>
    </row>
    <row r="24" spans="1:11" ht="19.5">
      <c r="A24" t="s">
        <v>34</v>
      </c>
      <c r="B24" s="6">
        <f>B20*IMABS(COMPLEX(B17*B9*COS(RADIANS(E17+E9+180))+B18*B10*COS(RADIANS(E18+E10+180)),B17*B9*SIN(RADIANS(E17+E9+180))+B18*B10*SIN(RADIANS(E18+E10+180))))</f>
        <v>1.0563670689705309</v>
      </c>
      <c r="C24" s="12" t="s">
        <v>6</v>
      </c>
      <c r="D24" s="3" t="s">
        <v>4</v>
      </c>
      <c r="E24" s="19">
        <f>MOD(E20+IMARGUMENT(COMPLEX(B17*B9*COS(RADIANS(E17+E9+180))+B18*B10*COS(RADIANS(E18+E10+180)),B17*B9*SIN(RADIANS(E17+E9+180))+B18*B10*SIN(RADIANS(E18+E10+180))))*180/PI(),360)</f>
        <v>118.52002130122224</v>
      </c>
      <c r="F24" s="14" t="s">
        <v>5</v>
      </c>
    </row>
  </sheetData>
  <mergeCells count="1">
    <mergeCell ref="B1:F1"/>
  </mergeCells>
  <phoneticPr fontId="2" type="noConversion"/>
  <dataValidations count="1">
    <dataValidation type="list" allowBlank="1" showInputMessage="1" showErrorMessage="1" sqref="B7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9"/>
  <sheetViews>
    <sheetView workbookViewId="0">
      <selection activeCell="B2" sqref="B2"/>
    </sheetView>
  </sheetViews>
  <sheetFormatPr defaultRowHeight="13.5"/>
  <cols>
    <col min="1" max="1" width="25.25" customWidth="1"/>
    <col min="3" max="3" width="3.5" bestFit="1" customWidth="1"/>
    <col min="4" max="4" width="3" bestFit="1" customWidth="1"/>
    <col min="6" max="6" width="4.375" bestFit="1" customWidth="1"/>
    <col min="7" max="11" width="4.625" customWidth="1"/>
    <col min="12" max="12" width="10.625" customWidth="1"/>
    <col min="14" max="14" width="3.5" bestFit="1" customWidth="1"/>
    <col min="15" max="15" width="3" bestFit="1" customWidth="1"/>
    <col min="17" max="17" width="3.625" customWidth="1"/>
  </cols>
  <sheetData>
    <row r="1" spans="1:17">
      <c r="A1" s="9" t="s">
        <v>1</v>
      </c>
      <c r="B1" s="23" t="s">
        <v>35</v>
      </c>
      <c r="C1" s="23"/>
      <c r="D1" s="23"/>
      <c r="E1" s="23"/>
      <c r="F1" s="23"/>
      <c r="L1" s="23" t="s">
        <v>61</v>
      </c>
      <c r="M1" s="23"/>
      <c r="N1" s="23"/>
      <c r="O1" s="23"/>
      <c r="P1" s="23"/>
      <c r="Q1" s="23"/>
    </row>
    <row r="2" spans="1:17" ht="19.5">
      <c r="A2" t="s">
        <v>58</v>
      </c>
      <c r="B2" s="6">
        <v>32</v>
      </c>
      <c r="C2" s="11" t="s">
        <v>3</v>
      </c>
      <c r="D2" s="3" t="s">
        <v>4</v>
      </c>
      <c r="E2" s="6">
        <v>139</v>
      </c>
      <c r="F2" s="14" t="s">
        <v>5</v>
      </c>
      <c r="L2" t="s">
        <v>65</v>
      </c>
      <c r="M2" s="6">
        <v>46</v>
      </c>
      <c r="N2" s="11"/>
      <c r="O2" s="3" t="s">
        <v>4</v>
      </c>
      <c r="P2" s="6">
        <v>180</v>
      </c>
      <c r="Q2" s="14" t="s">
        <v>5</v>
      </c>
    </row>
    <row r="3" spans="1:17" ht="19.5">
      <c r="A3" t="s">
        <v>45</v>
      </c>
      <c r="B3" s="6">
        <v>44</v>
      </c>
      <c r="C3" s="11" t="s">
        <v>3</v>
      </c>
      <c r="D3" s="3" t="s">
        <v>4</v>
      </c>
      <c r="E3" s="6">
        <v>347</v>
      </c>
      <c r="F3" s="14" t="s">
        <v>5</v>
      </c>
      <c r="L3" t="s">
        <v>64</v>
      </c>
      <c r="M3" s="6">
        <v>10</v>
      </c>
      <c r="N3" s="11"/>
      <c r="O3" s="3" t="s">
        <v>4</v>
      </c>
      <c r="P3" s="6">
        <v>122</v>
      </c>
      <c r="Q3" s="14" t="s">
        <v>5</v>
      </c>
    </row>
    <row r="4" spans="1:17" ht="19.5">
      <c r="A4" t="s">
        <v>43</v>
      </c>
      <c r="B4" s="6">
        <v>423</v>
      </c>
      <c r="C4" s="11" t="s">
        <v>62</v>
      </c>
      <c r="D4" s="3" t="s">
        <v>4</v>
      </c>
      <c r="E4" s="6">
        <v>190</v>
      </c>
      <c r="F4" s="14" t="s">
        <v>5</v>
      </c>
      <c r="L4" t="s">
        <v>66</v>
      </c>
      <c r="M4">
        <f>1/2*SQRT((M2*COS(P2/180*PI())+M3*COS(P3/180*PI()))^2+(M2*SIN(P2/180*PI())+M3*SIN(P3/180*PI()))^2)</f>
        <v>25.997719722576381</v>
      </c>
      <c r="N4" s="11"/>
      <c r="O4" s="3" t="s">
        <v>4</v>
      </c>
      <c r="P4">
        <f>MOD(360+180/PI()*IMARGUMENT(M2*COS(P2/180*PI())+M3*COS(P3/180*PI()) &amp; "+" &amp; M2*SIN(P2/180*PI())+M3*SIN(P3/180*PI())&amp; "i"),360)</f>
        <v>170.61309496057675</v>
      </c>
      <c r="Q4" s="14" t="s">
        <v>5</v>
      </c>
    </row>
    <row r="5" spans="1:17" ht="19.5">
      <c r="A5" t="s">
        <v>44</v>
      </c>
      <c r="B5" s="6">
        <v>423</v>
      </c>
      <c r="C5" s="11" t="s">
        <v>62</v>
      </c>
      <c r="D5" s="3" t="s">
        <v>4</v>
      </c>
      <c r="E5" s="6">
        <v>10</v>
      </c>
      <c r="F5" s="14" t="s">
        <v>5</v>
      </c>
      <c r="L5" t="s">
        <v>63</v>
      </c>
      <c r="M5">
        <f>1/2*SQRT((M2*COS(P2/180*PI())-M3*COS(P3/180*PI()))^2+(M2*SIN(P2/180*PI())-M3*SIN(P3/180*PI()))^2)</f>
        <v>20.78746182741806</v>
      </c>
      <c r="N5" s="11"/>
      <c r="O5" s="3" t="s">
        <v>4</v>
      </c>
      <c r="P5">
        <f>MOD(360+180/PI()*IMARGUMENT(M2*COS(P2/180*PI())-M3*COS(P3/180*PI()) &amp; "+" &amp; M2*SIN(P2/180*PI())-M3*SIN(P3/180*PI())&amp; "i"),360)</f>
        <v>191.76983520419591</v>
      </c>
      <c r="Q5" s="14" t="s">
        <v>5</v>
      </c>
    </row>
    <row r="6" spans="1:17" ht="19.5">
      <c r="A6" t="s">
        <v>46</v>
      </c>
      <c r="B6" s="6">
        <v>21</v>
      </c>
      <c r="C6" s="11" t="s">
        <v>3</v>
      </c>
      <c r="D6" s="3" t="s">
        <v>4</v>
      </c>
      <c r="E6" s="6">
        <v>178</v>
      </c>
      <c r="F6" s="14" t="s">
        <v>5</v>
      </c>
    </row>
    <row r="7" spans="1:17" ht="19.5">
      <c r="A7" t="s">
        <v>47</v>
      </c>
      <c r="B7" s="6">
        <v>24</v>
      </c>
      <c r="C7" s="11" t="s">
        <v>3</v>
      </c>
      <c r="D7" s="3" t="s">
        <v>4</v>
      </c>
      <c r="E7" s="6">
        <v>328</v>
      </c>
      <c r="F7" s="14" t="s">
        <v>5</v>
      </c>
    </row>
    <row r="8" spans="1:17" ht="19.5">
      <c r="A8" t="s">
        <v>48</v>
      </c>
      <c r="B8">
        <f>1/2*SQRT((B2*COS(E2/180*PI())+B3*COS(E3/180*PI()))^2+(B2*SIN(E2/180*PI())+B3*SIN(E3/180*PI()))^2)</f>
        <v>10.88140131726219</v>
      </c>
      <c r="C8" s="11" t="s">
        <v>3</v>
      </c>
      <c r="D8" s="3" t="s">
        <v>4</v>
      </c>
      <c r="E8">
        <f>MOD(360+180/PI()*IMARGUMENT(B2*COS(E2/180*PI())+B3*COS(E3/180*PI()) &amp; "+" &amp; B2*SIN(E2/180*PI())+B3*SIN(E3/180*PI())&amp; "i"),360)</f>
        <v>30.654688443204748</v>
      </c>
      <c r="F8" s="14" t="s">
        <v>5</v>
      </c>
    </row>
    <row r="9" spans="1:17" ht="19.5">
      <c r="A9" t="s">
        <v>49</v>
      </c>
      <c r="B9">
        <f>1/2*SQRT((B2*COS(E2/180*PI())-B3*COS(E3/180*PI()))^2+(B2*SIN(E2/180*PI())-B3*SIN(E3/180*PI()))^2)</f>
        <v>36.899798175229698</v>
      </c>
      <c r="C9" s="11" t="s">
        <v>3</v>
      </c>
      <c r="D9" s="3" t="s">
        <v>4</v>
      </c>
      <c r="E9">
        <f>MOD(360+180/PI()*IMARGUMENT(B2*COS(E2/180*PI())-B3*COS(E3/180*PI()) &amp; "+" &amp; B2*SIN(E2/180*PI())-B3*SIN(E3/180*PI())&amp; "i"),360)</f>
        <v>155.25443198568576</v>
      </c>
      <c r="F9" s="14" t="s">
        <v>5</v>
      </c>
    </row>
    <row r="10" spans="1:17" ht="19.5">
      <c r="A10" t="s">
        <v>50</v>
      </c>
      <c r="B10">
        <f>1/2*SQRT((B4*COS(E4/180*PI())+B5*COS(E5/180*PI()))^2+(B4*SIN(E4/180*PI())+B5*SIN(E5/180*PI()))^2)</f>
        <v>2.8421709430404007E-14</v>
      </c>
      <c r="C10" s="11" t="s">
        <v>62</v>
      </c>
      <c r="D10" s="3" t="s">
        <v>4</v>
      </c>
      <c r="E10">
        <f>MOD(360+180/PI()*IMARGUMENT(B4*COS(E4/180*PI())+B5*COS(E5/180*PI()) &amp; "+" &amp; B4*SIN(E4/180*PI())+B5*SIN(E5/180*PI())&amp; "i"),360)</f>
        <v>270</v>
      </c>
      <c r="F10" s="14" t="s">
        <v>5</v>
      </c>
    </row>
    <row r="11" spans="1:17" ht="19.5">
      <c r="A11" t="s">
        <v>51</v>
      </c>
      <c r="B11">
        <f>1/2*SQRT((B4*COS(E4/180*PI())-B5*COS(E5/180*PI()))^2+(B4*SIN(E4/180*PI())-B5*SIN(E5/180*PI()))^2)</f>
        <v>423</v>
      </c>
      <c r="C11" s="11" t="s">
        <v>62</v>
      </c>
      <c r="D11" s="3" t="s">
        <v>4</v>
      </c>
      <c r="E11">
        <f>MOD(360+180/PI()*IMARGUMENT(B4*COS(E4/180*PI())-B5*COS(E5/180*PI()) &amp; "+" &amp; B4*SIN(E4/180*PI())-B5*SIN(E5/180*PI())&amp; "i"),360)</f>
        <v>190</v>
      </c>
      <c r="F11" s="14" t="s">
        <v>5</v>
      </c>
    </row>
    <row r="12" spans="1:17" ht="19.5">
      <c r="A12" t="s">
        <v>52</v>
      </c>
      <c r="B12">
        <f>1/2*SQRT((B6*COS(E6/180*PI())+B7*COS(E7/180*PI()))^2+(B6*SIN(E6/180*PI())+B7*SIN(E7/180*PI()))^2)</f>
        <v>6.0009664426924978</v>
      </c>
      <c r="C12" s="11" t="s">
        <v>3</v>
      </c>
      <c r="D12" s="3" t="s">
        <v>4</v>
      </c>
      <c r="E12">
        <f>MOD(360+180/PI()*IMARGUMENT(B6*COS(E6/180*PI())+B7*COS(E7/180*PI()) &amp; "+" &amp; B6*SIN(E6/180*PI())+B7*SIN(E7/180*PI())&amp; "i"),360)</f>
        <v>266.97169744915635</v>
      </c>
      <c r="F12" s="14" t="s">
        <v>5</v>
      </c>
    </row>
    <row r="13" spans="1:17" ht="19.5">
      <c r="A13" t="s">
        <v>53</v>
      </c>
      <c r="B13">
        <f>1/2*SQRT((B6*COS(E6/180*PI())-B7*COS(E7/180*PI()))^2+(B6*SIN(E6/180*PI())-B7*SIN(E7/180*PI()))^2)</f>
        <v>21.736798332635804</v>
      </c>
      <c r="C13" s="11" t="s">
        <v>3</v>
      </c>
      <c r="D13" s="3" t="s">
        <v>4</v>
      </c>
      <c r="E13">
        <f>MOD(360+180/PI()*IMARGUMENT(B6*COS(E6/180*PI())-B7*COS(E7/180*PI()) &amp; "+" &amp; B6*SIN(E6/180*PI())-B7*SIN(E7/180*PI())&amp; "i"),360)</f>
        <v>161.97661831998039</v>
      </c>
      <c r="F13" s="14" t="s">
        <v>5</v>
      </c>
    </row>
    <row r="14" spans="1:17" ht="19.5">
      <c r="A14" t="s">
        <v>54</v>
      </c>
      <c r="B14" s="21">
        <f>SQRT((B12*COS(E12/180*PI())-B8*COS(E8/180*PI()))^2+(B12*SIN(E12/180*PI())-B8*SIN(E8/180*PI()))^2)/B10*1000</f>
        <v>5.2992584745244019E+17</v>
      </c>
      <c r="C14" s="11"/>
      <c r="D14" s="3" t="s">
        <v>4</v>
      </c>
      <c r="E14" s="21">
        <f>MOD(360+180/PI()*IMARGUMENT(B12*COS(E12/180*PI())-B8*COS(E8/180*PI()) &amp; "+" &amp; B12*SIN(E12/180*PI())-B8*SIN(E8/180*PI()) &amp; "i")-E10,360)</f>
        <v>320.01720807002187</v>
      </c>
      <c r="F14" s="14" t="s">
        <v>5</v>
      </c>
    </row>
    <row r="15" spans="1:17" ht="19.5">
      <c r="A15" t="s">
        <v>55</v>
      </c>
      <c r="B15" s="21">
        <f>SQRT((B13*COS(E13/180*PI())-B9*COS(E9/180*PI()))^2+(B13*SIN(E13/180*PI())-B9*SIN(E9/180*PI()))^2)/B11*1000</f>
        <v>36.695956175627714</v>
      </c>
      <c r="C15" s="11"/>
      <c r="D15" s="3" t="s">
        <v>4</v>
      </c>
      <c r="E15" s="21">
        <f>MOD(360+180/PI()*IMARGUMENT(B13*COS(E13/180*PI())-B9*COS(E9/180*PI()) &amp; "+" &amp; B13*SIN(E13/180*PI())-B9*SIN(E9/180*PI()) &amp; "i")-E11,360)</f>
        <v>135.82001515277557</v>
      </c>
      <c r="F15" s="14" t="s">
        <v>5</v>
      </c>
    </row>
    <row r="16" spans="1:17" ht="19.5">
      <c r="A16" t="s">
        <v>56</v>
      </c>
      <c r="B16">
        <f>B8/B14*1000</f>
        <v>2.0533818777803201E-14</v>
      </c>
      <c r="C16" s="11" t="s">
        <v>3</v>
      </c>
      <c r="D16" s="3" t="s">
        <v>4</v>
      </c>
      <c r="E16">
        <f>MOD(E8+180-E14,360)</f>
        <v>250.63748037318288</v>
      </c>
      <c r="F16" s="14" t="s">
        <v>5</v>
      </c>
    </row>
    <row r="17" spans="1:6" ht="19.5">
      <c r="A17" t="s">
        <v>57</v>
      </c>
      <c r="B17">
        <f>B9/B15*1000</f>
        <v>1005.554889989142</v>
      </c>
      <c r="C17" s="11" t="s">
        <v>3</v>
      </c>
      <c r="D17" s="3" t="s">
        <v>4</v>
      </c>
      <c r="E17">
        <f>MOD(E9+180-E15,360)</f>
        <v>199.43441683291019</v>
      </c>
      <c r="F17" s="14" t="s">
        <v>5</v>
      </c>
    </row>
    <row r="18" spans="1:6" ht="19.5">
      <c r="A18" t="s">
        <v>59</v>
      </c>
      <c r="B18" s="21">
        <f>SQRT((B16*COS(E16/180*PI())+B17*COS(E17/180*PI()))^2+(B16*SIN(E16/180*PI())+B17*SIN(E17/180*PI()))^2)</f>
        <v>1005.554889989142</v>
      </c>
      <c r="C18" s="11" t="s">
        <v>3</v>
      </c>
      <c r="D18" s="3" t="s">
        <v>4</v>
      </c>
      <c r="E18" s="21">
        <f>MOD(360+180/PI()*IMARGUMENT(B16*COS(E16/180*PI())+B17*COS(E17/180*PI()) &amp; "+" &amp; B16*SIN(E16/180*PI())+B17*SIN(E17/180*PI())&amp; "i"),360)</f>
        <v>199.43441683291022</v>
      </c>
      <c r="F18" s="14" t="s">
        <v>5</v>
      </c>
    </row>
    <row r="19" spans="1:6" ht="19.5">
      <c r="A19" t="s">
        <v>60</v>
      </c>
      <c r="B19" s="21">
        <f>SQRT((B16*COS(E16/180*PI())-B17*COS(E17/180*PI()))^2+(B16*SIN(E16/180*PI())-B17*SIN(E17/180*PI()))^2)</f>
        <v>1005.554889989142</v>
      </c>
      <c r="C19" s="11" t="s">
        <v>3</v>
      </c>
      <c r="D19" s="3" t="s">
        <v>4</v>
      </c>
      <c r="E19" s="21">
        <f>MOD(360+180/PI()*IMARGUMENT(B16*COS(E16/180*PI())-B17*COS(E17/180*PI()) &amp; "+" &amp; B16*SIN(E16/180*PI())-B17*SIN(E17/180*PI())&amp; "i"),360)</f>
        <v>19.434416832910244</v>
      </c>
      <c r="F19" s="14" t="s">
        <v>5</v>
      </c>
    </row>
  </sheetData>
  <mergeCells count="2">
    <mergeCell ref="B1:F1"/>
    <mergeCell ref="L1:Q1"/>
  </mergeCells>
  <phoneticPr fontId="2" type="noConversion"/>
  <pageMargins left="0.7" right="0.7" top="0.75" bottom="0.75" header="0.3" footer="0.3"/>
  <ignoredErrors>
    <ignoredError sqref="B9:E9 B10:B11 D10:E11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workbookViewId="0">
      <selection activeCell="B16" sqref="B16"/>
    </sheetView>
  </sheetViews>
  <sheetFormatPr defaultRowHeight="13.5"/>
  <sheetData>
    <row r="1" spans="1:3">
      <c r="B1" t="s">
        <v>67</v>
      </c>
      <c r="C1" t="s">
        <v>68</v>
      </c>
    </row>
    <row r="2" spans="1:3">
      <c r="A2" t="s">
        <v>70</v>
      </c>
      <c r="B2">
        <v>1</v>
      </c>
      <c r="C2">
        <v>0</v>
      </c>
    </row>
    <row r="3" spans="1:3">
      <c r="A3" t="s">
        <v>71</v>
      </c>
      <c r="B3">
        <v>1</v>
      </c>
      <c r="C3">
        <v>120</v>
      </c>
    </row>
    <row r="4" spans="1:3">
      <c r="A4" t="s">
        <v>72</v>
      </c>
      <c r="B4">
        <v>1</v>
      </c>
      <c r="C4">
        <v>240</v>
      </c>
    </row>
    <row r="5" spans="1:3">
      <c r="A5" s="22" t="s">
        <v>69</v>
      </c>
      <c r="B5">
        <f>IMABS(IMSUB(cmpTrans(B2,C2),cmpTrans(B3,C3)))</f>
        <v>1.7320507897056139</v>
      </c>
      <c r="C5">
        <f>MOD(IMARGUMENT(IMSUB(cmpTrans(B2,C2),cmpTrans(B3,C3)))*180/PI(),360)</f>
        <v>329.99999897651037</v>
      </c>
    </row>
    <row r="6" spans="1:3">
      <c r="A6" t="s">
        <v>73</v>
      </c>
      <c r="B6">
        <f>IMABS(IMSUB(cmpTrans(B2,C2),cmpTrans(B4,C4)))</f>
        <v>1.7320508432954038</v>
      </c>
      <c r="C6">
        <f>MOD(IMARGUMENT(IMSUB(cmpTrans(B2,C2),cmpTrans(B4,C4)))*180/PI(),360)</f>
        <v>29.999997953020724</v>
      </c>
    </row>
    <row r="7" spans="1:3">
      <c r="A7" t="s">
        <v>74</v>
      </c>
      <c r="B7">
        <f>IMABS(IMSUB(cmpTrans(B3,C3),cmpTrans(B4,C4)))</f>
        <v>1.7320507897056123</v>
      </c>
      <c r="C7">
        <f>MOD(IMARGUMENT(IMSUB(cmpTrans(B3,C3),cmpTrans(B4,C4)))*180/PI(),360)</f>
        <v>89.999996929531051</v>
      </c>
    </row>
    <row r="8" spans="1:3">
      <c r="A8" t="s">
        <v>75</v>
      </c>
      <c r="B8">
        <f>IMABS(IMSUB(cmpTrans(B3,C3),cmpTrans(B2,C2)))</f>
        <v>1.7320507897056139</v>
      </c>
      <c r="C8">
        <f>MOD(IMARGUMENT(IMSUB(cmpTrans(B3,C3),cmpTrans(B2,C2)))*180/PI(),360)</f>
        <v>149.9999989765104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刚性转子单面平衡</vt:lpstr>
      <vt:lpstr>刚性转子双面平衡</vt:lpstr>
      <vt:lpstr>谐分量法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Administrator</cp:lastModifiedBy>
  <dcterms:created xsi:type="dcterms:W3CDTF">2015-04-19T05:51:56Z</dcterms:created>
  <dcterms:modified xsi:type="dcterms:W3CDTF">2017-02-15T05:38:08Z</dcterms:modified>
</cp:coreProperties>
</file>