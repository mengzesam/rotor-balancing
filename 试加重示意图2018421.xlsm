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gram\"/>
    </mc:Choice>
  </mc:AlternateContent>
  <xr:revisionPtr revIDLastSave="0" documentId="12_ncr:500000_{74C924C9-6EA0-44D1-9EAF-DA96105771DC}" xr6:coauthVersionLast="31" xr6:coauthVersionMax="31" xr10:uidLastSave="{00000000-0000-0000-0000-000000000000}"/>
  <bookViews>
    <workbookView xWindow="600" yWindow="135" windowWidth="19395" windowHeight="7605" activeTab="4" xr2:uid="{00000000-000D-0000-FFFF-FFFF00000000}"/>
  </bookViews>
  <sheets>
    <sheet name="试加重示意图" sheetId="7" r:id="rId1"/>
    <sheet name="双面平衡影响系数" sheetId="16" r:id="rId2"/>
    <sheet name="单平面影响系数法" sheetId="9" r:id="rId3"/>
    <sheet name="第五次" sheetId="17" r:id="rId4"/>
    <sheet name="加重过程" sheetId="14" r:id="rId5"/>
    <sheet name="第四次启动" sheetId="15" r:id="rId6"/>
    <sheet name="第三次启动数据" sheetId="13" r:id="rId7"/>
    <sheet name="第二次启动数据" sheetId="12" r:id="rId8"/>
    <sheet name="第一次启动数据" sheetId="11" r:id="rId9"/>
  </sheets>
  <functionGroups builtInGroupCount="19"/>
  <definedNames>
    <definedName name="_xlnm._FilterDatabase" localSheetId="1" hidden="1">双面平衡影响系数!$A$1:$B$18</definedName>
  </definedNames>
  <calcPr calcId="162913"/>
</workbook>
</file>

<file path=xl/calcChain.xml><?xml version="1.0" encoding="utf-8"?>
<calcChain xmlns="http://schemas.openxmlformats.org/spreadsheetml/2006/main">
  <c r="B5" i="17" l="1"/>
  <c r="C4" i="17"/>
  <c r="D4" i="17" s="1"/>
  <c r="E4" i="17" s="1"/>
  <c r="F4" i="17" s="1"/>
  <c r="G4" i="17" s="1"/>
  <c r="H4" i="17" s="1"/>
  <c r="I4" i="17" s="1"/>
  <c r="J4" i="17" s="1"/>
  <c r="C3" i="17"/>
  <c r="C5" i="17" s="1"/>
  <c r="D5" i="17"/>
  <c r="F5" i="17"/>
  <c r="H5" i="17"/>
  <c r="J5" i="17"/>
  <c r="D5" i="15"/>
  <c r="D3" i="17" l="1"/>
  <c r="I5" i="13"/>
  <c r="G5" i="13"/>
  <c r="E5" i="13"/>
  <c r="C5" i="13"/>
  <c r="B5" i="13"/>
  <c r="C4" i="13"/>
  <c r="D4" i="13" s="1"/>
  <c r="E4" i="13" s="1"/>
  <c r="F4" i="13" s="1"/>
  <c r="G4" i="13" s="1"/>
  <c r="H4" i="13" s="1"/>
  <c r="I4" i="13" s="1"/>
  <c r="J4" i="13" s="1"/>
  <c r="C3" i="13"/>
  <c r="D4" i="15"/>
  <c r="E4" i="15" s="1"/>
  <c r="F4" i="15" s="1"/>
  <c r="G4" i="15" s="1"/>
  <c r="H4" i="15" s="1"/>
  <c r="I4" i="15" s="1"/>
  <c r="J4" i="15" s="1"/>
  <c r="C4" i="15"/>
  <c r="C3" i="15"/>
  <c r="D3" i="15" s="1"/>
  <c r="E3" i="15" s="1"/>
  <c r="B5" i="15"/>
  <c r="E3" i="12"/>
  <c r="C1048574" i="16"/>
  <c r="B11" i="16"/>
  <c r="B1048575" i="16"/>
  <c r="B14" i="16"/>
  <c r="C1048575" i="16"/>
  <c r="C11" i="16"/>
  <c r="B1048574" i="16"/>
  <c r="C12" i="16"/>
  <c r="C1048573" i="16"/>
  <c r="B13" i="16"/>
  <c r="B1048576" i="16"/>
  <c r="B12" i="16"/>
  <c r="B1048568" i="16" s="1"/>
  <c r="C13" i="16"/>
  <c r="B1048573" i="16"/>
  <c r="C1048576" i="16"/>
  <c r="C14" i="16"/>
  <c r="B1048571" i="16"/>
  <c r="B1048570" i="16"/>
  <c r="H5" i="13"/>
  <c r="J5" i="13"/>
  <c r="F5" i="13"/>
  <c r="D5" i="13"/>
  <c r="B1048569" i="16"/>
  <c r="B1048572" i="16"/>
  <c r="B15" i="16"/>
  <c r="B17" i="16"/>
  <c r="B16" i="16"/>
  <c r="B18" i="16"/>
  <c r="E3" i="17" l="1"/>
  <c r="E5" i="15"/>
  <c r="C5" i="15"/>
  <c r="D3" i="13"/>
  <c r="E3" i="13" s="1"/>
  <c r="F3" i="15"/>
  <c r="D4" i="9"/>
  <c r="E4" i="9"/>
  <c r="C4" i="9"/>
  <c r="E8" i="9"/>
  <c r="D7" i="9"/>
  <c r="C1048568" i="16"/>
  <c r="C1048571" i="16"/>
  <c r="E6" i="9"/>
  <c r="D6" i="9"/>
  <c r="E7" i="9"/>
  <c r="D8" i="9"/>
  <c r="C1048569" i="16"/>
  <c r="C1048572" i="16"/>
  <c r="C18" i="16" s="1"/>
  <c r="D5" i="9"/>
  <c r="C1048570" i="16"/>
  <c r="E5" i="9"/>
  <c r="C16" i="16"/>
  <c r="F5" i="15"/>
  <c r="C15" i="16"/>
  <c r="C17" i="16"/>
  <c r="E5" i="17" l="1"/>
  <c r="F3" i="17"/>
  <c r="J4" i="9"/>
  <c r="J6" i="9"/>
  <c r="I6" i="9"/>
  <c r="I4" i="9"/>
  <c r="F3" i="13"/>
  <c r="G3" i="15"/>
  <c r="G3" i="17" l="1"/>
  <c r="H3" i="15"/>
  <c r="G5" i="15"/>
  <c r="G3" i="13"/>
  <c r="D3" i="12"/>
  <c r="F3" i="12"/>
  <c r="F3" i="11"/>
  <c r="H5" i="15"/>
  <c r="H3" i="17" l="1"/>
  <c r="G5" i="17"/>
  <c r="I3" i="15"/>
  <c r="H3" i="13"/>
  <c r="H3" i="9"/>
  <c r="I3" i="9"/>
  <c r="J3" i="9"/>
  <c r="G3" i="9"/>
  <c r="I3" i="17" l="1"/>
  <c r="J3" i="15"/>
  <c r="I5" i="15"/>
  <c r="I3" i="13"/>
  <c r="E3" i="11"/>
  <c r="C3" i="11"/>
  <c r="B3" i="11"/>
  <c r="C5" i="9"/>
  <c r="C7" i="9"/>
  <c r="C6" i="9"/>
  <c r="C8" i="9"/>
  <c r="D3" i="11"/>
  <c r="J5" i="15"/>
  <c r="I5" i="17" l="1"/>
  <c r="J3" i="17"/>
  <c r="H6" i="9"/>
  <c r="H4" i="9"/>
  <c r="J3" i="13"/>
  <c r="S20" i="7"/>
  <c r="S16" i="7"/>
  <c r="R10023" i="7" l="1"/>
  <c r="R10021" i="7"/>
  <c r="R10019" i="7"/>
  <c r="R10017" i="7"/>
  <c r="B22" i="7" l="1"/>
  <c r="B23" i="7" s="1"/>
  <c r="B24" i="7" s="1"/>
  <c r="R10014" i="7"/>
  <c r="R10001" i="7"/>
  <c r="E10006" i="7" s="1"/>
  <c r="L10022" i="7"/>
  <c r="L10021" i="7"/>
  <c r="L10020" i="7"/>
  <c r="L10017" i="7"/>
  <c r="L10016" i="7"/>
  <c r="L10015" i="7"/>
  <c r="R10012" i="7"/>
  <c r="K10207" i="7" s="1"/>
  <c r="J10208" i="7" s="1"/>
  <c r="L10024" i="7" s="1"/>
  <c r="R10011" i="7"/>
  <c r="L10011" i="7"/>
  <c r="R10004" i="7"/>
  <c r="R10008" i="7"/>
  <c r="H10207" i="7" s="1"/>
  <c r="R10007" i="7"/>
  <c r="L10007" i="7"/>
  <c r="R10003" i="7"/>
  <c r="R10002" i="7"/>
  <c r="I10002" i="7" s="1"/>
  <c r="I10004" i="7" s="1"/>
  <c r="E10113" i="7"/>
  <c r="D10113" i="7"/>
  <c r="E10107" i="7"/>
  <c r="D10107" i="7"/>
  <c r="J10004" i="7" l="1"/>
  <c r="K10004" i="7"/>
  <c r="E10005" i="7"/>
  <c r="E10108" i="7"/>
  <c r="E10110" i="7" s="1"/>
  <c r="E10111" i="7" s="1"/>
  <c r="F10002" i="7"/>
  <c r="F10004" i="7" s="1"/>
  <c r="J10207" i="7"/>
  <c r="D10114" i="7"/>
  <c r="D10116" i="7" s="1"/>
  <c r="D10117" i="7" s="1"/>
  <c r="G10207" i="7"/>
  <c r="E10114" i="7"/>
  <c r="E10116" i="7" s="1"/>
  <c r="E10117" i="7" s="1"/>
  <c r="E10112" i="7"/>
  <c r="D10118" i="7"/>
  <c r="D10112" i="7"/>
  <c r="E10118" i="7"/>
  <c r="D10108" i="7"/>
  <c r="D10110" i="7" s="1"/>
  <c r="D10109" i="7" s="1"/>
  <c r="J10002" i="7"/>
  <c r="I10207" i="7" s="1"/>
  <c r="I10209" i="7" s="1"/>
  <c r="E10090" i="7"/>
  <c r="E10091" i="7" s="1"/>
  <c r="D10090" i="7"/>
  <c r="D10091" i="7" s="1"/>
  <c r="E10099" i="7"/>
  <c r="D10099" i="7"/>
  <c r="E10093" i="7"/>
  <c r="D10093" i="7"/>
  <c r="E10065" i="7"/>
  <c r="E10074" i="7" s="1"/>
  <c r="E10083" i="7" s="1"/>
  <c r="E10063" i="7"/>
  <c r="E10072" i="7" s="1"/>
  <c r="E10081" i="7" s="1"/>
  <c r="E10073" i="7"/>
  <c r="D10075" i="7" s="1"/>
  <c r="D10078" i="7" s="1"/>
  <c r="E10066" i="7"/>
  <c r="E10069" i="7" s="1"/>
  <c r="D10066" i="7"/>
  <c r="D10069" i="7" s="1"/>
  <c r="E10061" i="7"/>
  <c r="D10061" i="7"/>
  <c r="C10001" i="7"/>
  <c r="B10001" i="7"/>
  <c r="A10002" i="7"/>
  <c r="G10004" i="7" l="1"/>
  <c r="H10004" i="7"/>
  <c r="J10209" i="7"/>
  <c r="K10209" i="7"/>
  <c r="D10115" i="7"/>
  <c r="E10109" i="7"/>
  <c r="D10111" i="7"/>
  <c r="E10115" i="7"/>
  <c r="I10210" i="7"/>
  <c r="K10002" i="7"/>
  <c r="B17" i="7" s="1"/>
  <c r="D10098" i="7"/>
  <c r="G10002" i="7"/>
  <c r="E10098" i="7"/>
  <c r="E10104" i="7"/>
  <c r="D10104" i="7"/>
  <c r="D10100" i="7"/>
  <c r="D10102" i="7" s="1"/>
  <c r="D10101" i="7" s="1"/>
  <c r="E10100" i="7"/>
  <c r="E10102" i="7" s="1"/>
  <c r="E10101" i="7" s="1"/>
  <c r="E10075" i="7"/>
  <c r="E10078" i="7" s="1"/>
  <c r="E10079" i="7" s="1"/>
  <c r="D10094" i="7"/>
  <c r="D10096" i="7" s="1"/>
  <c r="D10097" i="7" s="1"/>
  <c r="E10094" i="7"/>
  <c r="E10096" i="7" s="1"/>
  <c r="D10067" i="7"/>
  <c r="E10067" i="7"/>
  <c r="E10076" i="7"/>
  <c r="E10082" i="7"/>
  <c r="D10085" i="7" s="1"/>
  <c r="A10003" i="7"/>
  <c r="D10012" i="7" s="1"/>
  <c r="B10002" i="7"/>
  <c r="C10002" i="7"/>
  <c r="D10076" i="7"/>
  <c r="D10079" i="7"/>
  <c r="D10077" i="7"/>
  <c r="D10070" i="7"/>
  <c r="D10068" i="7"/>
  <c r="E10070" i="7"/>
  <c r="E10068" i="7"/>
  <c r="E10011" i="7"/>
  <c r="E10010" i="7"/>
  <c r="D10011" i="7"/>
  <c r="D10010" i="7"/>
  <c r="J10210" i="7" l="1"/>
  <c r="K10210" i="7"/>
  <c r="J10003" i="7"/>
  <c r="L10023" i="7" s="1"/>
  <c r="I10211" i="7"/>
  <c r="I10005" i="7"/>
  <c r="H10002" i="7"/>
  <c r="F10207" i="7"/>
  <c r="A10004" i="7"/>
  <c r="D10013" i="7" s="1"/>
  <c r="D10103" i="7"/>
  <c r="E10103" i="7"/>
  <c r="E10077" i="7"/>
  <c r="D10095" i="7"/>
  <c r="E10097" i="7"/>
  <c r="E10095" i="7"/>
  <c r="E10012" i="7"/>
  <c r="E10085" i="7"/>
  <c r="E10084" i="7"/>
  <c r="E10087" i="7" s="1"/>
  <c r="D10084" i="7"/>
  <c r="D10087" i="7" s="1"/>
  <c r="C10003" i="7"/>
  <c r="B10003" i="7"/>
  <c r="J10211" i="7" l="1"/>
  <c r="K10211" i="7"/>
  <c r="K10005" i="7"/>
  <c r="J10005" i="7"/>
  <c r="F10005" i="7"/>
  <c r="B16" i="7"/>
  <c r="I10212" i="7"/>
  <c r="I10006" i="7"/>
  <c r="F10209" i="7"/>
  <c r="G10003" i="7"/>
  <c r="L10018" i="7" s="1"/>
  <c r="E10013" i="7"/>
  <c r="A10005" i="7"/>
  <c r="D10014" i="7" s="1"/>
  <c r="C10004" i="7"/>
  <c r="B10004" i="7"/>
  <c r="D10088" i="7"/>
  <c r="D10086" i="7"/>
  <c r="E10088" i="7"/>
  <c r="E10086" i="7"/>
  <c r="K10006" i="7" l="1"/>
  <c r="J10006" i="7"/>
  <c r="J10212" i="7"/>
  <c r="K10212" i="7"/>
  <c r="H10209" i="7"/>
  <c r="G10209" i="7"/>
  <c r="F10006" i="7"/>
  <c r="G10005" i="7"/>
  <c r="H10005" i="7"/>
  <c r="E10014" i="7"/>
  <c r="B10005" i="7"/>
  <c r="I10213" i="7"/>
  <c r="A10006" i="7"/>
  <c r="E10015" i="7" s="1"/>
  <c r="C10005" i="7"/>
  <c r="I10007" i="7"/>
  <c r="F10210" i="7"/>
  <c r="H10210" i="7" l="1"/>
  <c r="G10210" i="7"/>
  <c r="J10007" i="7"/>
  <c r="K10007" i="7"/>
  <c r="F10007" i="7"/>
  <c r="G10006" i="7"/>
  <c r="H10006" i="7"/>
  <c r="J10213" i="7"/>
  <c r="K10213" i="7"/>
  <c r="A10007" i="7"/>
  <c r="D10016" i="7" s="1"/>
  <c r="D10015" i="7"/>
  <c r="C10006" i="7"/>
  <c r="B10006" i="7"/>
  <c r="I10214" i="7"/>
  <c r="I10008" i="7"/>
  <c r="F10211" i="7"/>
  <c r="K10008" i="7" l="1"/>
  <c r="J10008" i="7"/>
  <c r="H10211" i="7"/>
  <c r="G10211" i="7"/>
  <c r="J10214" i="7"/>
  <c r="K10214" i="7"/>
  <c r="F10008" i="7"/>
  <c r="G10007" i="7"/>
  <c r="H10007" i="7"/>
  <c r="B10007" i="7"/>
  <c r="A10008" i="7"/>
  <c r="E10017" i="7" s="1"/>
  <c r="C10007" i="7"/>
  <c r="E10016" i="7"/>
  <c r="I10215" i="7"/>
  <c r="I10009" i="7"/>
  <c r="F10212" i="7"/>
  <c r="G10212" i="7" l="1"/>
  <c r="H10212" i="7"/>
  <c r="J10215" i="7"/>
  <c r="K10215" i="7"/>
  <c r="I10010" i="7"/>
  <c r="I10011" i="7" s="1"/>
  <c r="J10009" i="7"/>
  <c r="K10009" i="7"/>
  <c r="F10009" i="7"/>
  <c r="G10008" i="7"/>
  <c r="H10008" i="7"/>
  <c r="C10008" i="7"/>
  <c r="A10009" i="7"/>
  <c r="E10018" i="7" s="1"/>
  <c r="B10008" i="7"/>
  <c r="D10017" i="7"/>
  <c r="I10216" i="7"/>
  <c r="F10213" i="7"/>
  <c r="D10018" i="7" l="1"/>
  <c r="B10009" i="7"/>
  <c r="K10011" i="7"/>
  <c r="J10011" i="7"/>
  <c r="G10009" i="7"/>
  <c r="H10009" i="7"/>
  <c r="F10010" i="7"/>
  <c r="J10216" i="7"/>
  <c r="K10216" i="7"/>
  <c r="H10213" i="7"/>
  <c r="G10213" i="7"/>
  <c r="K10010" i="7"/>
  <c r="J10010" i="7"/>
  <c r="A10010" i="7"/>
  <c r="D10019" i="7" s="1"/>
  <c r="C10009" i="7"/>
  <c r="I10217" i="7"/>
  <c r="I10012" i="7"/>
  <c r="F10214" i="7"/>
  <c r="H10214" i="7" l="1"/>
  <c r="G10214" i="7"/>
  <c r="K10012" i="7"/>
  <c r="J10012" i="7"/>
  <c r="J10217" i="7"/>
  <c r="K10217" i="7"/>
  <c r="H10010" i="7"/>
  <c r="G10010" i="7"/>
  <c r="F10011" i="7"/>
  <c r="E10019" i="7"/>
  <c r="C10010" i="7"/>
  <c r="A10011" i="7"/>
  <c r="B10011" i="7" s="1"/>
  <c r="B10010" i="7"/>
  <c r="I10218" i="7"/>
  <c r="I10013" i="7"/>
  <c r="F10215" i="7"/>
  <c r="A10012" i="7" l="1"/>
  <c r="K10013" i="7"/>
  <c r="J10013" i="7"/>
  <c r="J10218" i="7"/>
  <c r="K10218" i="7"/>
  <c r="H10215" i="7"/>
  <c r="G10215" i="7"/>
  <c r="G10011" i="7"/>
  <c r="H10011" i="7"/>
  <c r="F10012" i="7"/>
  <c r="E10020" i="7"/>
  <c r="C10011" i="7"/>
  <c r="D10020" i="7"/>
  <c r="I10219" i="7"/>
  <c r="I10014" i="7"/>
  <c r="F10216" i="7"/>
  <c r="B10012" i="7"/>
  <c r="C10012" i="7"/>
  <c r="E10021" i="7"/>
  <c r="D10021" i="7"/>
  <c r="A10013" i="7"/>
  <c r="H10216" i="7" l="1"/>
  <c r="G10216" i="7"/>
  <c r="J10014" i="7"/>
  <c r="K10014" i="7"/>
  <c r="J10219" i="7"/>
  <c r="K10219" i="7"/>
  <c r="G10012" i="7"/>
  <c r="H10012" i="7"/>
  <c r="F10013" i="7"/>
  <c r="I10220" i="7"/>
  <c r="I10015" i="7"/>
  <c r="F10217" i="7"/>
  <c r="C10013" i="7"/>
  <c r="B10013" i="7"/>
  <c r="E10022" i="7"/>
  <c r="D10022" i="7"/>
  <c r="A10014" i="7"/>
  <c r="K10015" i="7" l="1"/>
  <c r="J10015" i="7"/>
  <c r="J10220" i="7"/>
  <c r="K10220" i="7"/>
  <c r="H10217" i="7"/>
  <c r="G10217" i="7"/>
  <c r="G10013" i="7"/>
  <c r="H10013" i="7"/>
  <c r="F10014" i="7"/>
  <c r="I10221" i="7"/>
  <c r="I10016" i="7"/>
  <c r="F10218" i="7"/>
  <c r="B10014" i="7"/>
  <c r="C10014" i="7"/>
  <c r="E10023" i="7"/>
  <c r="D10023" i="7"/>
  <c r="A10015" i="7"/>
  <c r="K10221" i="7" l="1"/>
  <c r="J10221" i="7"/>
  <c r="G10218" i="7"/>
  <c r="H10218" i="7"/>
  <c r="J10016" i="7"/>
  <c r="K10016" i="7"/>
  <c r="H10014" i="7"/>
  <c r="G10014" i="7"/>
  <c r="F10015" i="7"/>
  <c r="I10222" i="7"/>
  <c r="I10017" i="7"/>
  <c r="F10219" i="7"/>
  <c r="G10208" i="7"/>
  <c r="L10019" i="7" s="1"/>
  <c r="C10015" i="7"/>
  <c r="B10015" i="7"/>
  <c r="E10024" i="7"/>
  <c r="D10024" i="7"/>
  <c r="A10016" i="7"/>
  <c r="J10017" i="7" l="1"/>
  <c r="K10017" i="7"/>
  <c r="J10222" i="7"/>
  <c r="K10222" i="7"/>
  <c r="H10219" i="7"/>
  <c r="G10219" i="7"/>
  <c r="G10015" i="7"/>
  <c r="H10015" i="7"/>
  <c r="F10016" i="7"/>
  <c r="I10223" i="7"/>
  <c r="I10018" i="7"/>
  <c r="F10220" i="7"/>
  <c r="B10016" i="7"/>
  <c r="C10016" i="7"/>
  <c r="E10025" i="7"/>
  <c r="D10025" i="7"/>
  <c r="A10017" i="7"/>
  <c r="G10220" i="7" l="1"/>
  <c r="H10220" i="7"/>
  <c r="J10223" i="7"/>
  <c r="K10223" i="7"/>
  <c r="J10018" i="7"/>
  <c r="K10018" i="7"/>
  <c r="G10016" i="7"/>
  <c r="H10016" i="7"/>
  <c r="F10017" i="7"/>
  <c r="I10224" i="7"/>
  <c r="I10019" i="7"/>
  <c r="F10221" i="7"/>
  <c r="C10017" i="7"/>
  <c r="B10017" i="7"/>
  <c r="D10026" i="7"/>
  <c r="E10026" i="7"/>
  <c r="A10018" i="7"/>
  <c r="H10221" i="7" l="1"/>
  <c r="G10221" i="7"/>
  <c r="K10019" i="7"/>
  <c r="J10019" i="7"/>
  <c r="J10224" i="7"/>
  <c r="K10224" i="7"/>
  <c r="G10017" i="7"/>
  <c r="H10017" i="7"/>
  <c r="F10018" i="7"/>
  <c r="I10225" i="7"/>
  <c r="I10020" i="7"/>
  <c r="F10222" i="7"/>
  <c r="B10018" i="7"/>
  <c r="C10018" i="7"/>
  <c r="D10027" i="7"/>
  <c r="E10027" i="7"/>
  <c r="A10019" i="7"/>
  <c r="J10225" i="7" l="1"/>
  <c r="K10225" i="7"/>
  <c r="H10222" i="7"/>
  <c r="G10222" i="7"/>
  <c r="J10020" i="7"/>
  <c r="K10020" i="7"/>
  <c r="H10018" i="7"/>
  <c r="G10018" i="7"/>
  <c r="F10019" i="7"/>
  <c r="I10226" i="7"/>
  <c r="I10021" i="7"/>
  <c r="F10223" i="7"/>
  <c r="C10019" i="7"/>
  <c r="B10019" i="7"/>
  <c r="E10028" i="7"/>
  <c r="D10028" i="7"/>
  <c r="A10020" i="7"/>
  <c r="H10223" i="7" l="1"/>
  <c r="G10223" i="7"/>
  <c r="J10021" i="7"/>
  <c r="K10021" i="7"/>
  <c r="J10226" i="7"/>
  <c r="K10226" i="7"/>
  <c r="G10019" i="7"/>
  <c r="H10019" i="7"/>
  <c r="F10020" i="7"/>
  <c r="I10227" i="7"/>
  <c r="I10022" i="7"/>
  <c r="F10224" i="7"/>
  <c r="B10020" i="7"/>
  <c r="C10020" i="7"/>
  <c r="E10029" i="7"/>
  <c r="D10029" i="7"/>
  <c r="A10021" i="7"/>
  <c r="H10224" i="7" l="1"/>
  <c r="G10224" i="7"/>
  <c r="J10022" i="7"/>
  <c r="K10022" i="7"/>
  <c r="J10227" i="7"/>
  <c r="K10227" i="7"/>
  <c r="G10020" i="7"/>
  <c r="H10020" i="7"/>
  <c r="F10021" i="7"/>
  <c r="I10228" i="7"/>
  <c r="I10023" i="7"/>
  <c r="F10225" i="7"/>
  <c r="C10021" i="7"/>
  <c r="B10021" i="7"/>
  <c r="E10030" i="7"/>
  <c r="D10030" i="7"/>
  <c r="A10022" i="7"/>
  <c r="J10023" i="7" l="1"/>
  <c r="K10023" i="7"/>
  <c r="J10228" i="7"/>
  <c r="K10228" i="7"/>
  <c r="H10225" i="7"/>
  <c r="G10225" i="7"/>
  <c r="G10021" i="7"/>
  <c r="H10021" i="7"/>
  <c r="F10022" i="7"/>
  <c r="I10229" i="7"/>
  <c r="I10024" i="7"/>
  <c r="F10226" i="7"/>
  <c r="B10022" i="7"/>
  <c r="C10022" i="7"/>
  <c r="D10031" i="7"/>
  <c r="E10031" i="7"/>
  <c r="A10023" i="7"/>
  <c r="J10024" i="7" l="1"/>
  <c r="K10024" i="7"/>
  <c r="G10226" i="7"/>
  <c r="H10226" i="7"/>
  <c r="J10229" i="7"/>
  <c r="K10229" i="7"/>
  <c r="G10022" i="7"/>
  <c r="H10022" i="7"/>
  <c r="F10023" i="7"/>
  <c r="I10230" i="7"/>
  <c r="I10025" i="7"/>
  <c r="F10227" i="7"/>
  <c r="C10023" i="7"/>
  <c r="B10023" i="7"/>
  <c r="D10032" i="7"/>
  <c r="E10032" i="7"/>
  <c r="A10024" i="7"/>
  <c r="J10025" i="7" l="1"/>
  <c r="K10025" i="7"/>
  <c r="J10230" i="7"/>
  <c r="K10230" i="7"/>
  <c r="H10227" i="7"/>
  <c r="G10227" i="7"/>
  <c r="G10023" i="7"/>
  <c r="H10023" i="7"/>
  <c r="F10024" i="7"/>
  <c r="I10231" i="7"/>
  <c r="I10026" i="7"/>
  <c r="F10228" i="7"/>
  <c r="B10024" i="7"/>
  <c r="C10024" i="7"/>
  <c r="E10033" i="7"/>
  <c r="D10033" i="7"/>
  <c r="A10025" i="7"/>
  <c r="J10026" i="7" l="1"/>
  <c r="K10026" i="7"/>
  <c r="J10231" i="7"/>
  <c r="K10231" i="7"/>
  <c r="G10228" i="7"/>
  <c r="H10228" i="7"/>
  <c r="G10024" i="7"/>
  <c r="H10024" i="7"/>
  <c r="F10025" i="7"/>
  <c r="I10232" i="7"/>
  <c r="I10027" i="7"/>
  <c r="F10229" i="7"/>
  <c r="C10025" i="7"/>
  <c r="B10025" i="7"/>
  <c r="D10034" i="7"/>
  <c r="E10034" i="7"/>
  <c r="A10026" i="7"/>
  <c r="H10229" i="7" l="1"/>
  <c r="G10229" i="7"/>
  <c r="K10027" i="7"/>
  <c r="J10027" i="7"/>
  <c r="J10232" i="7"/>
  <c r="K10232" i="7"/>
  <c r="G10025" i="7"/>
  <c r="H10025" i="7"/>
  <c r="F10026" i="7"/>
  <c r="I10233" i="7"/>
  <c r="I10028" i="7"/>
  <c r="F10230" i="7"/>
  <c r="B10026" i="7"/>
  <c r="C10026" i="7"/>
  <c r="D10035" i="7"/>
  <c r="E10035" i="7"/>
  <c r="A10027" i="7"/>
  <c r="H10230" i="7" l="1"/>
  <c r="G10230" i="7"/>
  <c r="J10233" i="7"/>
  <c r="K10233" i="7"/>
  <c r="J10028" i="7"/>
  <c r="K10028" i="7"/>
  <c r="H10026" i="7"/>
  <c r="G10026" i="7"/>
  <c r="F10027" i="7"/>
  <c r="I10234" i="7"/>
  <c r="I10029" i="7"/>
  <c r="F10231" i="7"/>
  <c r="C10027" i="7"/>
  <c r="B10027" i="7"/>
  <c r="E10036" i="7"/>
  <c r="D10036" i="7"/>
  <c r="A10028" i="7"/>
  <c r="H10231" i="7" l="1"/>
  <c r="G10231" i="7"/>
  <c r="K10029" i="7"/>
  <c r="J10029" i="7"/>
  <c r="J10234" i="7"/>
  <c r="K10234" i="7"/>
  <c r="G10027" i="7"/>
  <c r="H10027" i="7"/>
  <c r="F10028" i="7"/>
  <c r="I10235" i="7"/>
  <c r="I10030" i="7"/>
  <c r="F10232" i="7"/>
  <c r="B10028" i="7"/>
  <c r="C10028" i="7"/>
  <c r="D10037" i="7"/>
  <c r="E10037" i="7"/>
  <c r="A10029" i="7"/>
  <c r="J10030" i="7" l="1"/>
  <c r="K10030" i="7"/>
  <c r="J10235" i="7"/>
  <c r="K10235" i="7"/>
  <c r="G10232" i="7"/>
  <c r="H10232" i="7"/>
  <c r="H10028" i="7"/>
  <c r="G10028" i="7"/>
  <c r="F10029" i="7"/>
  <c r="I10236" i="7"/>
  <c r="I10031" i="7"/>
  <c r="F10233" i="7"/>
  <c r="C10029" i="7"/>
  <c r="B10029" i="7"/>
  <c r="E10038" i="7"/>
  <c r="D10038" i="7"/>
  <c r="A10030" i="7"/>
  <c r="J10031" i="7" l="1"/>
  <c r="K10031" i="7"/>
  <c r="H10233" i="7"/>
  <c r="G10233" i="7"/>
  <c r="J10236" i="7"/>
  <c r="K10236" i="7"/>
  <c r="G10029" i="7"/>
  <c r="H10029" i="7"/>
  <c r="F10030" i="7"/>
  <c r="I10237" i="7"/>
  <c r="I10032" i="7"/>
  <c r="F10234" i="7"/>
  <c r="B10030" i="7"/>
  <c r="C10030" i="7"/>
  <c r="E10039" i="7"/>
  <c r="D10039" i="7"/>
  <c r="A10031" i="7"/>
  <c r="J10237" i="7" l="1"/>
  <c r="K10237" i="7"/>
  <c r="G10234" i="7"/>
  <c r="H10234" i="7"/>
  <c r="J10032" i="7"/>
  <c r="K10032" i="7"/>
  <c r="G10030" i="7"/>
  <c r="H10030" i="7"/>
  <c r="F10031" i="7"/>
  <c r="I10238" i="7"/>
  <c r="I10033" i="7"/>
  <c r="F10235" i="7"/>
  <c r="C10031" i="7"/>
  <c r="B10031" i="7"/>
  <c r="E10040" i="7"/>
  <c r="D10040" i="7"/>
  <c r="A10032" i="7"/>
  <c r="A10033" i="7" s="1"/>
  <c r="J10033" i="7" l="1"/>
  <c r="K10033" i="7"/>
  <c r="J10238" i="7"/>
  <c r="K10238" i="7"/>
  <c r="H10235" i="7"/>
  <c r="G10235" i="7"/>
  <c r="G10031" i="7"/>
  <c r="H10031" i="7"/>
  <c r="F10032" i="7"/>
  <c r="I10239" i="7"/>
  <c r="I10034" i="7"/>
  <c r="F10236" i="7"/>
  <c r="C10033" i="7"/>
  <c r="B10033" i="7"/>
  <c r="D10042" i="7"/>
  <c r="E10042" i="7"/>
  <c r="B10032" i="7"/>
  <c r="C10032" i="7"/>
  <c r="E10041" i="7"/>
  <c r="D10041" i="7"/>
  <c r="A10034" i="7"/>
  <c r="J10034" i="7" l="1"/>
  <c r="K10034" i="7"/>
  <c r="G10236" i="7"/>
  <c r="H10236" i="7"/>
  <c r="J10239" i="7"/>
  <c r="K10239" i="7"/>
  <c r="G10032" i="7"/>
  <c r="H10032" i="7"/>
  <c r="F10033" i="7"/>
  <c r="I10240" i="7"/>
  <c r="I10035" i="7"/>
  <c r="F10237" i="7"/>
  <c r="B10034" i="7"/>
  <c r="C10034" i="7"/>
  <c r="E10043" i="7"/>
  <c r="D10043" i="7"/>
  <c r="A10035" i="7"/>
  <c r="H10237" i="7" l="1"/>
  <c r="G10237" i="7"/>
  <c r="K10035" i="7"/>
  <c r="J10035" i="7"/>
  <c r="J10240" i="7"/>
  <c r="K10240" i="7"/>
  <c r="G10033" i="7"/>
  <c r="H10033" i="7"/>
  <c r="F10034" i="7"/>
  <c r="I10241" i="7"/>
  <c r="I10036" i="7"/>
  <c r="F10238" i="7"/>
  <c r="C10035" i="7"/>
  <c r="B10035" i="7"/>
  <c r="E10044" i="7"/>
  <c r="D10044" i="7"/>
  <c r="A10036" i="7"/>
  <c r="J10036" i="7" l="1"/>
  <c r="K10036" i="7"/>
  <c r="J10241" i="7"/>
  <c r="K10241" i="7"/>
  <c r="H10238" i="7"/>
  <c r="G10238" i="7"/>
  <c r="H10034" i="7"/>
  <c r="G10034" i="7"/>
  <c r="F10035" i="7"/>
  <c r="I10242" i="7"/>
  <c r="I10037" i="7"/>
  <c r="F10239" i="7"/>
  <c r="B10036" i="7"/>
  <c r="C10036" i="7"/>
  <c r="D10045" i="7"/>
  <c r="E10045" i="7"/>
  <c r="A10037" i="7"/>
  <c r="J10037" i="7" l="1"/>
  <c r="K10037" i="7"/>
  <c r="J10242" i="7"/>
  <c r="K10242" i="7"/>
  <c r="H10239" i="7"/>
  <c r="G10239" i="7"/>
  <c r="G10035" i="7"/>
  <c r="H10035" i="7"/>
  <c r="F10036" i="7"/>
  <c r="I10243" i="7"/>
  <c r="I10038" i="7"/>
  <c r="F10240" i="7"/>
  <c r="C10037" i="7"/>
  <c r="B10037" i="7"/>
  <c r="E10046" i="7"/>
  <c r="D10046" i="7"/>
  <c r="A10038" i="7"/>
  <c r="J10038" i="7" l="1"/>
  <c r="K10038" i="7"/>
  <c r="J10243" i="7"/>
  <c r="K10243" i="7"/>
  <c r="G10240" i="7"/>
  <c r="H10240" i="7"/>
  <c r="G10036" i="7"/>
  <c r="H10036" i="7"/>
  <c r="F10037" i="7"/>
  <c r="I10244" i="7"/>
  <c r="I10039" i="7"/>
  <c r="F10241" i="7"/>
  <c r="B10038" i="7"/>
  <c r="C10038" i="7"/>
  <c r="E10047" i="7"/>
  <c r="D10047" i="7"/>
  <c r="A10039" i="7"/>
  <c r="J10039" i="7" l="1"/>
  <c r="K10039" i="7"/>
  <c r="J10244" i="7"/>
  <c r="K10244" i="7"/>
  <c r="H10241" i="7"/>
  <c r="G10241" i="7"/>
  <c r="G10037" i="7"/>
  <c r="H10037" i="7"/>
  <c r="F10038" i="7"/>
  <c r="I10245" i="7"/>
  <c r="I10040" i="7"/>
  <c r="F10242" i="7"/>
  <c r="C10039" i="7"/>
  <c r="B10039" i="7"/>
  <c r="E10048" i="7"/>
  <c r="D10048" i="7"/>
  <c r="A10040" i="7"/>
  <c r="J10040" i="7" l="1"/>
  <c r="K10040" i="7"/>
  <c r="J10245" i="7"/>
  <c r="K10245" i="7"/>
  <c r="H10242" i="7"/>
  <c r="G10242" i="7"/>
  <c r="G10038" i="7"/>
  <c r="H10038" i="7"/>
  <c r="F10039" i="7"/>
  <c r="I10246" i="7"/>
  <c r="I10041" i="7"/>
  <c r="F10243" i="7"/>
  <c r="B10040" i="7"/>
  <c r="C10040" i="7"/>
  <c r="E10049" i="7"/>
  <c r="D10049" i="7"/>
  <c r="A10041" i="7"/>
  <c r="J10041" i="7" l="1"/>
  <c r="K10041" i="7"/>
  <c r="J10246" i="7"/>
  <c r="K10246" i="7"/>
  <c r="H10243" i="7"/>
  <c r="G10243" i="7"/>
  <c r="G10039" i="7"/>
  <c r="H10039" i="7"/>
  <c r="F10040" i="7"/>
  <c r="I10247" i="7"/>
  <c r="I10042" i="7"/>
  <c r="F10244" i="7"/>
  <c r="C10041" i="7"/>
  <c r="B10041" i="7"/>
  <c r="D10050" i="7"/>
  <c r="E10050" i="7"/>
  <c r="A10042" i="7"/>
  <c r="J10042" i="7" l="1"/>
  <c r="K10042" i="7"/>
  <c r="J10247" i="7"/>
  <c r="K10247" i="7"/>
  <c r="G10244" i="7"/>
  <c r="H10244" i="7"/>
  <c r="G10040" i="7"/>
  <c r="H10040" i="7"/>
  <c r="F10041" i="7"/>
  <c r="I10248" i="7"/>
  <c r="I10043" i="7"/>
  <c r="F10245" i="7"/>
  <c r="B10042" i="7"/>
  <c r="C10042" i="7"/>
  <c r="D10051" i="7"/>
  <c r="E10051" i="7"/>
  <c r="A10043" i="7"/>
  <c r="H10245" i="7" l="1"/>
  <c r="G10245" i="7"/>
  <c r="J10043" i="7"/>
  <c r="K10043" i="7"/>
  <c r="J10248" i="7"/>
  <c r="K10248" i="7"/>
  <c r="G10041" i="7"/>
  <c r="H10041" i="7"/>
  <c r="F10042" i="7"/>
  <c r="I10249" i="7"/>
  <c r="I10044" i="7"/>
  <c r="F10246" i="7"/>
  <c r="C10043" i="7"/>
  <c r="B10043" i="7"/>
  <c r="E10052" i="7"/>
  <c r="D10052" i="7"/>
  <c r="A10044" i="7"/>
  <c r="J10044" i="7" l="1"/>
  <c r="K10044" i="7"/>
  <c r="J10249" i="7"/>
  <c r="K10249" i="7"/>
  <c r="H10246" i="7"/>
  <c r="G10246" i="7"/>
  <c r="H10042" i="7"/>
  <c r="G10042" i="7"/>
  <c r="F10043" i="7"/>
  <c r="I10250" i="7"/>
  <c r="I10045" i="7"/>
  <c r="F10247" i="7"/>
  <c r="B10044" i="7"/>
  <c r="C10044" i="7"/>
  <c r="D10053" i="7"/>
  <c r="E10053" i="7"/>
  <c r="A10045" i="7"/>
  <c r="J10045" i="7" l="1"/>
  <c r="K10045" i="7"/>
  <c r="H10247" i="7"/>
  <c r="G10247" i="7"/>
  <c r="J10250" i="7"/>
  <c r="K10250" i="7"/>
  <c r="G10043" i="7"/>
  <c r="H10043" i="7"/>
  <c r="F10044" i="7"/>
  <c r="I10251" i="7"/>
  <c r="I10046" i="7"/>
  <c r="F10248" i="7"/>
  <c r="C10045" i="7"/>
  <c r="B10045" i="7"/>
  <c r="E10054" i="7"/>
  <c r="D10054" i="7"/>
  <c r="A10046" i="7"/>
  <c r="J10046" i="7" l="1"/>
  <c r="K10046" i="7"/>
  <c r="J10251" i="7"/>
  <c r="K10251" i="7"/>
  <c r="G10248" i="7"/>
  <c r="H10248" i="7"/>
  <c r="G10044" i="7"/>
  <c r="H10044" i="7"/>
  <c r="F10045" i="7"/>
  <c r="I10252" i="7"/>
  <c r="I10047" i="7"/>
  <c r="F10249" i="7"/>
  <c r="B10046" i="7"/>
  <c r="C10046" i="7"/>
  <c r="E10055" i="7"/>
  <c r="E10056" i="7" s="1"/>
  <c r="D10055" i="7"/>
  <c r="D10056" i="7" s="1"/>
  <c r="A10047" i="7"/>
  <c r="H10249" i="7" l="1"/>
  <c r="G10249" i="7"/>
  <c r="J10047" i="7"/>
  <c r="K10047" i="7"/>
  <c r="J10252" i="7"/>
  <c r="K10252" i="7"/>
  <c r="G10045" i="7"/>
  <c r="H10045" i="7"/>
  <c r="F10046" i="7"/>
  <c r="I10253" i="7"/>
  <c r="I10048" i="7"/>
  <c r="F10250" i="7"/>
  <c r="E10057" i="7"/>
  <c r="E10059" i="7"/>
  <c r="E10058" i="7"/>
  <c r="D10057" i="7"/>
  <c r="D10058" i="7"/>
  <c r="D10059" i="7"/>
  <c r="C10047" i="7"/>
  <c r="B10047" i="7"/>
  <c r="A10048" i="7"/>
  <c r="K10048" i="7" l="1"/>
  <c r="J10048" i="7"/>
  <c r="G10250" i="7"/>
  <c r="H10250" i="7"/>
  <c r="K10253" i="7"/>
  <c r="J10253" i="7"/>
  <c r="H10046" i="7"/>
  <c r="G10046" i="7"/>
  <c r="F10047" i="7"/>
  <c r="I10254" i="7"/>
  <c r="I10049" i="7"/>
  <c r="F10251" i="7"/>
  <c r="B10048" i="7"/>
  <c r="C10048" i="7"/>
  <c r="A10049" i="7"/>
  <c r="H10251" i="7" l="1"/>
  <c r="G10251" i="7"/>
  <c r="J10254" i="7"/>
  <c r="K10254" i="7"/>
  <c r="J10049" i="7"/>
  <c r="K10049" i="7"/>
  <c r="G10047" i="7"/>
  <c r="H10047" i="7"/>
  <c r="F10048" i="7"/>
  <c r="I10255" i="7"/>
  <c r="I10050" i="7"/>
  <c r="F10252" i="7"/>
  <c r="C10049" i="7"/>
  <c r="B10049" i="7"/>
  <c r="A10050" i="7"/>
  <c r="J10255" i="7" l="1"/>
  <c r="K10255" i="7"/>
  <c r="G10252" i="7"/>
  <c r="H10252" i="7"/>
  <c r="J10050" i="7"/>
  <c r="K10050" i="7"/>
  <c r="G10048" i="7"/>
  <c r="H10048" i="7"/>
  <c r="F10049" i="7"/>
  <c r="I10256" i="7"/>
  <c r="I10051" i="7"/>
  <c r="F10253" i="7"/>
  <c r="B10050" i="7"/>
  <c r="C10050" i="7"/>
  <c r="A10051" i="7"/>
  <c r="J10051" i="7" l="1"/>
  <c r="K10051" i="7"/>
  <c r="J10256" i="7"/>
  <c r="K10256" i="7"/>
  <c r="H10253" i="7"/>
  <c r="G10253" i="7"/>
  <c r="G10049" i="7"/>
  <c r="H10049" i="7"/>
  <c r="F10050" i="7"/>
  <c r="I10257" i="7"/>
  <c r="I10052" i="7"/>
  <c r="F10254" i="7"/>
  <c r="C10051" i="7"/>
  <c r="B10051" i="7"/>
  <c r="A10052" i="7"/>
  <c r="J10052" i="7" l="1"/>
  <c r="K10052" i="7"/>
  <c r="J10257" i="7"/>
  <c r="K10257" i="7"/>
  <c r="H10254" i="7"/>
  <c r="G10254" i="7"/>
  <c r="H10050" i="7"/>
  <c r="G10050" i="7"/>
  <c r="F10051" i="7"/>
  <c r="I10258" i="7"/>
  <c r="I10053" i="7"/>
  <c r="F10255" i="7"/>
  <c r="B10052" i="7"/>
  <c r="C10052" i="7"/>
  <c r="A10053" i="7"/>
  <c r="J10053" i="7" l="1"/>
  <c r="K10053" i="7"/>
  <c r="J10258" i="7"/>
  <c r="K10258" i="7"/>
  <c r="H10255" i="7"/>
  <c r="G10255" i="7"/>
  <c r="G10051" i="7"/>
  <c r="H10051" i="7"/>
  <c r="F10052" i="7"/>
  <c r="I10259" i="7"/>
  <c r="I10054" i="7"/>
  <c r="F10256" i="7"/>
  <c r="C10053" i="7"/>
  <c r="B10053" i="7"/>
  <c r="A10054" i="7"/>
  <c r="J10054" i="7" l="1"/>
  <c r="K10054" i="7"/>
  <c r="J10259" i="7"/>
  <c r="K10259" i="7"/>
  <c r="H10256" i="7"/>
  <c r="G10256" i="7"/>
  <c r="G10052" i="7"/>
  <c r="H10052" i="7"/>
  <c r="F10053" i="7"/>
  <c r="I10260" i="7"/>
  <c r="I10055" i="7"/>
  <c r="F10257" i="7"/>
  <c r="B10054" i="7"/>
  <c r="C10054" i="7"/>
  <c r="A10055" i="7"/>
  <c r="J10260" i="7" l="1"/>
  <c r="K10260" i="7"/>
  <c r="H10257" i="7"/>
  <c r="G10257" i="7"/>
  <c r="J10055" i="7"/>
  <c r="K10055" i="7"/>
  <c r="G10053" i="7"/>
  <c r="H10053" i="7"/>
  <c r="F10054" i="7"/>
  <c r="I10261" i="7"/>
  <c r="I10056" i="7"/>
  <c r="F10258" i="7"/>
  <c r="C10055" i="7"/>
  <c r="B10055" i="7"/>
  <c r="A10056" i="7"/>
  <c r="K10056" i="7" l="1"/>
  <c r="J10056" i="7"/>
  <c r="J10261" i="7"/>
  <c r="K10261" i="7"/>
  <c r="G10258" i="7"/>
  <c r="H10258" i="7"/>
  <c r="G10054" i="7"/>
  <c r="H10054" i="7"/>
  <c r="F10055" i="7"/>
  <c r="I10262" i="7"/>
  <c r="I10057" i="7"/>
  <c r="F10259" i="7"/>
  <c r="B10056" i="7"/>
  <c r="C10056" i="7"/>
  <c r="A10057" i="7"/>
  <c r="J10057" i="7" l="1"/>
  <c r="K10057" i="7"/>
  <c r="J10262" i="7"/>
  <c r="K10262" i="7"/>
  <c r="H10259" i="7"/>
  <c r="G10259" i="7"/>
  <c r="G10055" i="7"/>
  <c r="H10055" i="7"/>
  <c r="F10056" i="7"/>
  <c r="I10263" i="7"/>
  <c r="I10058" i="7"/>
  <c r="F10260" i="7"/>
  <c r="C10057" i="7"/>
  <c r="B10057" i="7"/>
  <c r="A10058" i="7"/>
  <c r="K10058" i="7" l="1"/>
  <c r="J10058" i="7"/>
  <c r="J10263" i="7"/>
  <c r="K10263" i="7"/>
  <c r="G10260" i="7"/>
  <c r="H10260" i="7"/>
  <c r="G10056" i="7"/>
  <c r="H10056" i="7"/>
  <c r="F10057" i="7"/>
  <c r="I10264" i="7"/>
  <c r="I10059" i="7"/>
  <c r="F10261" i="7"/>
  <c r="B10058" i="7"/>
  <c r="C10058" i="7"/>
  <c r="A10059" i="7"/>
  <c r="J10059" i="7" l="1"/>
  <c r="K10059" i="7"/>
  <c r="K10264" i="7"/>
  <c r="J10264" i="7"/>
  <c r="H10261" i="7"/>
  <c r="G10261" i="7"/>
  <c r="G10057" i="7"/>
  <c r="H10057" i="7"/>
  <c r="F10058" i="7"/>
  <c r="I10265" i="7"/>
  <c r="I10060" i="7"/>
  <c r="F10262" i="7"/>
  <c r="C10059" i="7"/>
  <c r="B10059" i="7"/>
  <c r="A10060" i="7"/>
  <c r="J10060" i="7" l="1"/>
  <c r="K10060" i="7"/>
  <c r="K10265" i="7"/>
  <c r="J10265" i="7"/>
  <c r="H10262" i="7"/>
  <c r="G10262" i="7"/>
  <c r="H10058" i="7"/>
  <c r="G10058" i="7"/>
  <c r="F10059" i="7"/>
  <c r="I10266" i="7"/>
  <c r="I10061" i="7"/>
  <c r="F10263" i="7"/>
  <c r="B10060" i="7"/>
  <c r="C10060" i="7"/>
  <c r="A10061" i="7"/>
  <c r="J10061" i="7" l="1"/>
  <c r="K10061" i="7"/>
  <c r="K10266" i="7"/>
  <c r="J10266" i="7"/>
  <c r="H10263" i="7"/>
  <c r="G10263" i="7"/>
  <c r="G10059" i="7"/>
  <c r="H10059" i="7"/>
  <c r="F10060" i="7"/>
  <c r="I10267" i="7"/>
  <c r="I10062" i="7"/>
  <c r="F10264" i="7"/>
  <c r="C10061" i="7"/>
  <c r="B10061" i="7"/>
  <c r="A10062" i="7"/>
  <c r="J10267" i="7" l="1"/>
  <c r="K10267" i="7"/>
  <c r="G10264" i="7"/>
  <c r="H10264" i="7"/>
  <c r="J10062" i="7"/>
  <c r="K10062" i="7"/>
  <c r="H10060" i="7"/>
  <c r="G10060" i="7"/>
  <c r="F10061" i="7"/>
  <c r="I10268" i="7"/>
  <c r="I10063" i="7"/>
  <c r="F10265" i="7"/>
  <c r="B10062" i="7"/>
  <c r="C10062" i="7"/>
  <c r="A10063" i="7"/>
  <c r="K10268" i="7" l="1"/>
  <c r="J10268" i="7"/>
  <c r="H10265" i="7"/>
  <c r="G10265" i="7"/>
  <c r="J10063" i="7"/>
  <c r="K10063" i="7"/>
  <c r="G10061" i="7"/>
  <c r="H10061" i="7"/>
  <c r="F10062" i="7"/>
  <c r="I10269" i="7"/>
  <c r="I10064" i="7"/>
  <c r="F10266" i="7"/>
  <c r="C10063" i="7"/>
  <c r="B10063" i="7"/>
  <c r="A10064" i="7"/>
  <c r="G10266" i="7" l="1"/>
  <c r="H10266" i="7"/>
  <c r="J10269" i="7"/>
  <c r="K10269" i="7"/>
  <c r="K10064" i="7"/>
  <c r="J10064" i="7"/>
  <c r="G10062" i="7"/>
  <c r="H10062" i="7"/>
  <c r="F10063" i="7"/>
  <c r="I10270" i="7"/>
  <c r="I10065" i="7"/>
  <c r="F10267" i="7"/>
  <c r="B10064" i="7"/>
  <c r="C10064" i="7"/>
  <c r="A10065" i="7"/>
  <c r="K10270" i="7" l="1"/>
  <c r="J10270" i="7"/>
  <c r="H10267" i="7"/>
  <c r="G10267" i="7"/>
  <c r="J10065" i="7"/>
  <c r="K10065" i="7"/>
  <c r="G10063" i="7"/>
  <c r="H10063" i="7"/>
  <c r="F10064" i="7"/>
  <c r="I10271" i="7"/>
  <c r="I10066" i="7"/>
  <c r="F10268" i="7"/>
  <c r="C10065" i="7"/>
  <c r="B10065" i="7"/>
  <c r="A10066" i="7"/>
  <c r="G10268" i="7" l="1"/>
  <c r="H10268" i="7"/>
  <c r="J10271" i="7"/>
  <c r="K10271" i="7"/>
  <c r="J10066" i="7"/>
  <c r="K10066" i="7"/>
  <c r="G10064" i="7"/>
  <c r="H10064" i="7"/>
  <c r="F10065" i="7"/>
  <c r="I10272" i="7"/>
  <c r="I10067" i="7"/>
  <c r="F10269" i="7"/>
  <c r="B10066" i="7"/>
  <c r="C10066" i="7"/>
  <c r="A10067" i="7"/>
  <c r="K10272" i="7" l="1"/>
  <c r="J10272" i="7"/>
  <c r="H10269" i="7"/>
  <c r="G10269" i="7"/>
  <c r="J10067" i="7"/>
  <c r="K10067" i="7"/>
  <c r="G10065" i="7"/>
  <c r="H10065" i="7"/>
  <c r="F10066" i="7"/>
  <c r="I10273" i="7"/>
  <c r="I10068" i="7"/>
  <c r="F10270" i="7"/>
  <c r="C10067" i="7"/>
  <c r="B10067" i="7"/>
  <c r="A10068" i="7"/>
  <c r="H10270" i="7" l="1"/>
  <c r="G10270" i="7"/>
  <c r="K10273" i="7"/>
  <c r="J10273" i="7"/>
  <c r="J10068" i="7"/>
  <c r="K10068" i="7"/>
  <c r="H10066" i="7"/>
  <c r="G10066" i="7"/>
  <c r="F10067" i="7"/>
  <c r="I10274" i="7"/>
  <c r="I10069" i="7"/>
  <c r="F10271" i="7"/>
  <c r="B10068" i="7"/>
  <c r="C10068" i="7"/>
  <c r="A10069" i="7"/>
  <c r="H10271" i="7" l="1"/>
  <c r="G10271" i="7"/>
  <c r="K10274" i="7"/>
  <c r="J10274" i="7"/>
  <c r="J10069" i="7"/>
  <c r="K10069" i="7"/>
  <c r="G10067" i="7"/>
  <c r="H10067" i="7"/>
  <c r="F10068" i="7"/>
  <c r="I10275" i="7"/>
  <c r="I10070" i="7"/>
  <c r="F10272" i="7"/>
  <c r="C10069" i="7"/>
  <c r="B10069" i="7"/>
  <c r="A10070" i="7"/>
  <c r="J10275" i="7" l="1"/>
  <c r="K10275" i="7"/>
  <c r="G10272" i="7"/>
  <c r="H10272" i="7"/>
  <c r="J10070" i="7"/>
  <c r="K10070" i="7"/>
  <c r="G10068" i="7"/>
  <c r="H10068" i="7"/>
  <c r="F10069" i="7"/>
  <c r="I10276" i="7"/>
  <c r="I10071" i="7"/>
  <c r="F10273" i="7"/>
  <c r="B10070" i="7"/>
  <c r="C10070" i="7"/>
  <c r="A10071" i="7"/>
  <c r="H10273" i="7" l="1"/>
  <c r="G10273" i="7"/>
  <c r="K10276" i="7"/>
  <c r="J10276" i="7"/>
  <c r="J10071" i="7"/>
  <c r="K10071" i="7"/>
  <c r="G10069" i="7"/>
  <c r="H10069" i="7"/>
  <c r="F10070" i="7"/>
  <c r="I10277" i="7"/>
  <c r="I10072" i="7"/>
  <c r="F10274" i="7"/>
  <c r="C10071" i="7"/>
  <c r="B10071" i="7"/>
  <c r="A10072" i="7"/>
  <c r="J10277" i="7" l="1"/>
  <c r="K10277" i="7"/>
  <c r="H10274" i="7"/>
  <c r="G10274" i="7"/>
  <c r="K10072" i="7"/>
  <c r="J10072" i="7"/>
  <c r="G10070" i="7"/>
  <c r="H10070" i="7"/>
  <c r="F10071" i="7"/>
  <c r="I10278" i="7"/>
  <c r="I10073" i="7"/>
  <c r="F10275" i="7"/>
  <c r="B10072" i="7"/>
  <c r="C10072" i="7"/>
  <c r="A10073" i="7"/>
  <c r="K10278" i="7" l="1"/>
  <c r="J10278" i="7"/>
  <c r="H10275" i="7"/>
  <c r="G10275" i="7"/>
  <c r="J10073" i="7"/>
  <c r="K10073" i="7"/>
  <c r="G10071" i="7"/>
  <c r="H10071" i="7"/>
  <c r="F10072" i="7"/>
  <c r="I10279" i="7"/>
  <c r="I10074" i="7"/>
  <c r="F10276" i="7"/>
  <c r="C10073" i="7"/>
  <c r="B10073" i="7"/>
  <c r="A10074" i="7"/>
  <c r="J10279" i="7" l="1"/>
  <c r="K10279" i="7"/>
  <c r="G10276" i="7"/>
  <c r="H10276" i="7"/>
  <c r="J10074" i="7"/>
  <c r="K10074" i="7"/>
  <c r="G10072" i="7"/>
  <c r="H10072" i="7"/>
  <c r="F10073" i="7"/>
  <c r="I10280" i="7"/>
  <c r="I10075" i="7"/>
  <c r="F10277" i="7"/>
  <c r="B10074" i="7"/>
  <c r="C10074" i="7"/>
  <c r="A10075" i="7"/>
  <c r="K10280" i="7" l="1"/>
  <c r="J10280" i="7"/>
  <c r="H10277" i="7"/>
  <c r="G10277" i="7"/>
  <c r="J10075" i="7"/>
  <c r="K10075" i="7"/>
  <c r="G10073" i="7"/>
  <c r="H10073" i="7"/>
  <c r="F10074" i="7"/>
  <c r="I10281" i="7"/>
  <c r="I10076" i="7"/>
  <c r="F10278" i="7"/>
  <c r="C10075" i="7"/>
  <c r="B10075" i="7"/>
  <c r="A10076" i="7"/>
  <c r="H10278" i="7" l="1"/>
  <c r="G10278" i="7"/>
  <c r="K10281" i="7"/>
  <c r="J10281" i="7"/>
  <c r="J10076" i="7"/>
  <c r="K10076" i="7"/>
  <c r="H10074" i="7"/>
  <c r="G10074" i="7"/>
  <c r="F10075" i="7"/>
  <c r="I10282" i="7"/>
  <c r="I10077" i="7"/>
  <c r="F10279" i="7"/>
  <c r="B10076" i="7"/>
  <c r="C10076" i="7"/>
  <c r="A10077" i="7"/>
  <c r="H10279" i="7" l="1"/>
  <c r="G10279" i="7"/>
  <c r="K10282" i="7"/>
  <c r="J10282" i="7"/>
  <c r="J10077" i="7"/>
  <c r="K10077" i="7"/>
  <c r="G10075" i="7"/>
  <c r="H10075" i="7"/>
  <c r="F10076" i="7"/>
  <c r="I10283" i="7"/>
  <c r="I10078" i="7"/>
  <c r="F10280" i="7"/>
  <c r="C10077" i="7"/>
  <c r="B10077" i="7"/>
  <c r="A10078" i="7"/>
  <c r="G10280" i="7" l="1"/>
  <c r="H10280" i="7"/>
  <c r="J10283" i="7"/>
  <c r="K10283" i="7"/>
  <c r="J10078" i="7"/>
  <c r="K10078" i="7"/>
  <c r="G10076" i="7"/>
  <c r="H10076" i="7"/>
  <c r="F10077" i="7"/>
  <c r="I10284" i="7"/>
  <c r="I10079" i="7"/>
  <c r="F10281" i="7"/>
  <c r="B10078" i="7"/>
  <c r="C10078" i="7"/>
  <c r="A10079" i="7"/>
  <c r="H10281" i="7" l="1"/>
  <c r="G10281" i="7"/>
  <c r="K10284" i="7"/>
  <c r="J10284" i="7"/>
  <c r="J10079" i="7"/>
  <c r="K10079" i="7"/>
  <c r="G10077" i="7"/>
  <c r="H10077" i="7"/>
  <c r="F10078" i="7"/>
  <c r="I10285" i="7"/>
  <c r="I10080" i="7"/>
  <c r="F10282" i="7"/>
  <c r="C10079" i="7"/>
  <c r="B10079" i="7"/>
  <c r="A10080" i="7"/>
  <c r="J10285" i="7" l="1"/>
  <c r="K10285" i="7"/>
  <c r="G10282" i="7"/>
  <c r="H10282" i="7"/>
  <c r="K10080" i="7"/>
  <c r="J10080" i="7"/>
  <c r="H10078" i="7"/>
  <c r="G10078" i="7"/>
  <c r="F10079" i="7"/>
  <c r="I10286" i="7"/>
  <c r="I10081" i="7"/>
  <c r="F10283" i="7"/>
  <c r="B10080" i="7"/>
  <c r="C10080" i="7"/>
  <c r="A10081" i="7"/>
  <c r="H10283" i="7" l="1"/>
  <c r="G10283" i="7"/>
  <c r="K10286" i="7"/>
  <c r="J10286" i="7"/>
  <c r="J10081" i="7"/>
  <c r="K10081" i="7"/>
  <c r="G10079" i="7"/>
  <c r="H10079" i="7"/>
  <c r="F10080" i="7"/>
  <c r="I10287" i="7"/>
  <c r="I10082" i="7"/>
  <c r="F10284" i="7"/>
  <c r="C10081" i="7"/>
  <c r="B10081" i="7"/>
  <c r="A10082" i="7"/>
  <c r="G10284" i="7" l="1"/>
  <c r="H10284" i="7"/>
  <c r="J10287" i="7"/>
  <c r="K10287" i="7"/>
  <c r="J10082" i="7"/>
  <c r="K10082" i="7"/>
  <c r="G10080" i="7"/>
  <c r="H10080" i="7"/>
  <c r="F10081" i="7"/>
  <c r="I10288" i="7"/>
  <c r="I10083" i="7"/>
  <c r="F10285" i="7"/>
  <c r="B10082" i="7"/>
  <c r="C10082" i="7"/>
  <c r="A10083" i="7"/>
  <c r="K10288" i="7" l="1"/>
  <c r="J10288" i="7"/>
  <c r="H10285" i="7"/>
  <c r="G10285" i="7"/>
  <c r="J10083" i="7"/>
  <c r="K10083" i="7"/>
  <c r="G10081" i="7"/>
  <c r="H10081" i="7"/>
  <c r="F10082" i="7"/>
  <c r="I10289" i="7"/>
  <c r="I10084" i="7"/>
  <c r="F10286" i="7"/>
  <c r="C10083" i="7"/>
  <c r="B10083" i="7"/>
  <c r="A10084" i="7"/>
  <c r="H10286" i="7" l="1"/>
  <c r="G10286" i="7"/>
  <c r="K10289" i="7"/>
  <c r="J10289" i="7"/>
  <c r="J10084" i="7"/>
  <c r="K10084" i="7"/>
  <c r="H10082" i="7"/>
  <c r="G10082" i="7"/>
  <c r="F10083" i="7"/>
  <c r="I10290" i="7"/>
  <c r="I10085" i="7"/>
  <c r="F10287" i="7"/>
  <c r="B10084" i="7"/>
  <c r="C10084" i="7"/>
  <c r="A10085" i="7"/>
  <c r="J10085" i="7" l="1"/>
  <c r="K10085" i="7"/>
  <c r="H10287" i="7"/>
  <c r="G10287" i="7"/>
  <c r="K10290" i="7"/>
  <c r="J10290" i="7"/>
  <c r="G10083" i="7"/>
  <c r="H10083" i="7"/>
  <c r="F10084" i="7"/>
  <c r="I10291" i="7"/>
  <c r="I10086" i="7"/>
  <c r="F10288" i="7"/>
  <c r="C10085" i="7"/>
  <c r="B10085" i="7"/>
  <c r="A10086" i="7"/>
  <c r="H10288" i="7" l="1"/>
  <c r="G10288" i="7"/>
  <c r="J10291" i="7"/>
  <c r="K10291" i="7"/>
  <c r="J10086" i="7"/>
  <c r="K10086" i="7"/>
  <c r="G10084" i="7"/>
  <c r="H10084" i="7"/>
  <c r="F10085" i="7"/>
  <c r="I10292" i="7"/>
  <c r="I10087" i="7"/>
  <c r="F10289" i="7"/>
  <c r="B10086" i="7"/>
  <c r="C10086" i="7"/>
  <c r="A10087" i="7"/>
  <c r="H10289" i="7" l="1"/>
  <c r="G10289" i="7"/>
  <c r="K10292" i="7"/>
  <c r="J10292" i="7"/>
  <c r="J10087" i="7"/>
  <c r="K10087" i="7"/>
  <c r="G10085" i="7"/>
  <c r="H10085" i="7"/>
  <c r="F10086" i="7"/>
  <c r="I10293" i="7"/>
  <c r="I10088" i="7"/>
  <c r="F10290" i="7"/>
  <c r="C10087" i="7"/>
  <c r="B10087" i="7"/>
  <c r="A10088" i="7"/>
  <c r="J10293" i="7" l="1"/>
  <c r="K10293" i="7"/>
  <c r="G10290" i="7"/>
  <c r="H10290" i="7"/>
  <c r="K10088" i="7"/>
  <c r="J10088" i="7"/>
  <c r="G10086" i="7"/>
  <c r="H10086" i="7"/>
  <c r="F10087" i="7"/>
  <c r="I10294" i="7"/>
  <c r="I10089" i="7"/>
  <c r="F10291" i="7"/>
  <c r="B10088" i="7"/>
  <c r="C10088" i="7"/>
  <c r="A10089" i="7"/>
  <c r="H10291" i="7" l="1"/>
  <c r="G10291" i="7"/>
  <c r="K10294" i="7"/>
  <c r="J10294" i="7"/>
  <c r="J10089" i="7"/>
  <c r="K10089" i="7"/>
  <c r="G10087" i="7"/>
  <c r="H10087" i="7"/>
  <c r="F10088" i="7"/>
  <c r="I10295" i="7"/>
  <c r="I10090" i="7"/>
  <c r="F10292" i="7"/>
  <c r="C10089" i="7"/>
  <c r="B10089" i="7"/>
  <c r="A10090" i="7"/>
  <c r="J10295" i="7" l="1"/>
  <c r="K10295" i="7"/>
  <c r="G10292" i="7"/>
  <c r="H10292" i="7"/>
  <c r="J10090" i="7"/>
  <c r="K10090" i="7"/>
  <c r="G10088" i="7"/>
  <c r="H10088" i="7"/>
  <c r="F10089" i="7"/>
  <c r="I10296" i="7"/>
  <c r="I10091" i="7"/>
  <c r="F10293" i="7"/>
  <c r="B10090" i="7"/>
  <c r="C10090" i="7"/>
  <c r="A10091" i="7"/>
  <c r="K10296" i="7" l="1"/>
  <c r="J10296" i="7"/>
  <c r="H10293" i="7"/>
  <c r="G10293" i="7"/>
  <c r="J10091" i="7"/>
  <c r="K10091" i="7"/>
  <c r="G10089" i="7"/>
  <c r="H10089" i="7"/>
  <c r="F10090" i="7"/>
  <c r="I10297" i="7"/>
  <c r="I10092" i="7"/>
  <c r="F10294" i="7"/>
  <c r="C10091" i="7"/>
  <c r="B10091" i="7"/>
  <c r="A10092" i="7"/>
  <c r="K10297" i="7" l="1"/>
  <c r="J10297" i="7"/>
  <c r="H10294" i="7"/>
  <c r="G10294" i="7"/>
  <c r="J10092" i="7"/>
  <c r="K10092" i="7"/>
  <c r="H10090" i="7"/>
  <c r="G10090" i="7"/>
  <c r="F10091" i="7"/>
  <c r="I10298" i="7"/>
  <c r="I10093" i="7"/>
  <c r="F10295" i="7"/>
  <c r="B10092" i="7"/>
  <c r="C10092" i="7"/>
  <c r="A10093" i="7"/>
  <c r="G10091" i="7" l="1"/>
  <c r="H10091" i="7"/>
  <c r="F10092" i="7"/>
  <c r="H10295" i="7"/>
  <c r="G10295" i="7"/>
  <c r="J10093" i="7"/>
  <c r="K10093" i="7"/>
  <c r="K10298" i="7"/>
  <c r="J10298" i="7"/>
  <c r="I10299" i="7"/>
  <c r="I10094" i="7"/>
  <c r="F10296" i="7"/>
  <c r="C10093" i="7"/>
  <c r="B10093" i="7"/>
  <c r="A10094" i="7"/>
  <c r="G10296" i="7" l="1"/>
  <c r="H10296" i="7"/>
  <c r="J10094" i="7"/>
  <c r="K10094" i="7"/>
  <c r="H10092" i="7"/>
  <c r="G10092" i="7"/>
  <c r="F10093" i="7"/>
  <c r="K10299" i="7"/>
  <c r="J10299" i="7"/>
  <c r="I10300" i="7"/>
  <c r="I10095" i="7"/>
  <c r="F10297" i="7"/>
  <c r="B10094" i="7"/>
  <c r="C10094" i="7"/>
  <c r="A10095" i="7"/>
  <c r="H10297" i="7" l="1"/>
  <c r="G10297" i="7"/>
  <c r="J10095" i="7"/>
  <c r="K10095" i="7"/>
  <c r="G10093" i="7"/>
  <c r="H10093" i="7"/>
  <c r="F10094" i="7"/>
  <c r="K10300" i="7"/>
  <c r="J10300" i="7"/>
  <c r="I10301" i="7"/>
  <c r="I10096" i="7"/>
  <c r="F10298" i="7"/>
  <c r="C10095" i="7"/>
  <c r="B10095" i="7"/>
  <c r="A10096" i="7"/>
  <c r="K10096" i="7" l="1"/>
  <c r="J10096" i="7"/>
  <c r="J10301" i="7"/>
  <c r="K10301" i="7"/>
  <c r="G10298" i="7"/>
  <c r="H10298" i="7"/>
  <c r="G10094" i="7"/>
  <c r="H10094" i="7"/>
  <c r="F10095" i="7"/>
  <c r="I10302" i="7"/>
  <c r="I10097" i="7"/>
  <c r="F10299" i="7"/>
  <c r="B10096" i="7"/>
  <c r="C10096" i="7"/>
  <c r="A10097" i="7"/>
  <c r="K10302" i="7" l="1"/>
  <c r="J10302" i="7"/>
  <c r="H10299" i="7"/>
  <c r="G10299" i="7"/>
  <c r="J10097" i="7"/>
  <c r="K10097" i="7"/>
  <c r="G10095" i="7"/>
  <c r="H10095" i="7"/>
  <c r="F10096" i="7"/>
  <c r="I10303" i="7"/>
  <c r="I10098" i="7"/>
  <c r="F10300" i="7"/>
  <c r="C10097" i="7"/>
  <c r="B10097" i="7"/>
  <c r="A10098" i="7"/>
  <c r="G10096" i="7" l="1"/>
  <c r="H10096" i="7"/>
  <c r="F10097" i="7"/>
  <c r="G10300" i="7"/>
  <c r="H10300" i="7"/>
  <c r="J10098" i="7"/>
  <c r="K10098" i="7"/>
  <c r="J10303" i="7"/>
  <c r="K10303" i="7"/>
  <c r="I10304" i="7"/>
  <c r="I10099" i="7"/>
  <c r="F10301" i="7"/>
  <c r="B10098" i="7"/>
  <c r="C10098" i="7"/>
  <c r="A10099" i="7"/>
  <c r="J10099" i="7" l="1"/>
  <c r="K10099" i="7"/>
  <c r="G10097" i="7"/>
  <c r="H10097" i="7"/>
  <c r="F10098" i="7"/>
  <c r="K10304" i="7"/>
  <c r="J10304" i="7"/>
  <c r="H10301" i="7"/>
  <c r="G10301" i="7"/>
  <c r="I10305" i="7"/>
  <c r="I10100" i="7"/>
  <c r="F10302" i="7"/>
  <c r="C10099" i="7"/>
  <c r="B10099" i="7"/>
  <c r="A10100" i="7"/>
  <c r="H10302" i="7" l="1"/>
  <c r="G10302" i="7"/>
  <c r="J10100" i="7"/>
  <c r="K10100" i="7"/>
  <c r="K10305" i="7"/>
  <c r="J10305" i="7"/>
  <c r="H10098" i="7"/>
  <c r="G10098" i="7"/>
  <c r="F10099" i="7"/>
  <c r="I10306" i="7"/>
  <c r="I10101" i="7"/>
  <c r="F10303" i="7"/>
  <c r="B10100" i="7"/>
  <c r="C10100" i="7"/>
  <c r="A10101" i="7"/>
  <c r="K10306" i="7" l="1"/>
  <c r="J10306" i="7"/>
  <c r="G10099" i="7"/>
  <c r="H10099" i="7"/>
  <c r="F10100" i="7"/>
  <c r="H10303" i="7"/>
  <c r="G10303" i="7"/>
  <c r="J10101" i="7"/>
  <c r="K10101" i="7"/>
  <c r="I10307" i="7"/>
  <c r="I10102" i="7"/>
  <c r="F10304" i="7"/>
  <c r="C10101" i="7"/>
  <c r="B10101" i="7"/>
  <c r="A10102" i="7"/>
  <c r="G10100" i="7" l="1"/>
  <c r="H10100" i="7"/>
  <c r="F10101" i="7"/>
  <c r="G10304" i="7"/>
  <c r="H10304" i="7"/>
  <c r="J10102" i="7"/>
  <c r="K10102" i="7"/>
  <c r="J10307" i="7"/>
  <c r="K10307" i="7"/>
  <c r="I10308" i="7"/>
  <c r="I10103" i="7"/>
  <c r="F10305" i="7"/>
  <c r="B10102" i="7"/>
  <c r="C10102" i="7"/>
  <c r="A10103" i="7"/>
  <c r="J10103" i="7" l="1"/>
  <c r="J10206" i="7" s="1"/>
  <c r="K10103" i="7"/>
  <c r="K10206" i="7" s="1"/>
  <c r="G10101" i="7"/>
  <c r="H10101" i="7"/>
  <c r="F10102" i="7"/>
  <c r="K10308" i="7"/>
  <c r="J10308" i="7"/>
  <c r="H10305" i="7"/>
  <c r="G10305" i="7"/>
  <c r="I10309" i="7"/>
  <c r="I10104" i="7"/>
  <c r="F10306" i="7"/>
  <c r="C10103" i="7"/>
  <c r="B10103" i="7"/>
  <c r="A10104" i="7"/>
  <c r="H10306" i="7" l="1"/>
  <c r="G10306" i="7"/>
  <c r="J10309" i="7"/>
  <c r="J10411" i="7" s="1"/>
  <c r="K10309" i="7"/>
  <c r="K10411" i="7" s="1"/>
  <c r="K10104" i="7"/>
  <c r="J10104" i="7"/>
  <c r="G10102" i="7"/>
  <c r="H10102" i="7"/>
  <c r="F10103" i="7"/>
  <c r="I10310" i="7"/>
  <c r="I10105" i="7"/>
  <c r="F10307" i="7"/>
  <c r="B10104" i="7"/>
  <c r="C10104" i="7"/>
  <c r="A10105" i="7"/>
  <c r="H10307" i="7" l="1"/>
  <c r="G10307" i="7"/>
  <c r="J10105" i="7"/>
  <c r="K10105" i="7"/>
  <c r="K10310" i="7"/>
  <c r="J10310" i="7"/>
  <c r="G10103" i="7"/>
  <c r="G10206" i="7" s="1"/>
  <c r="H10103" i="7"/>
  <c r="H10206" i="7" s="1"/>
  <c r="F10104" i="7"/>
  <c r="I10311" i="7"/>
  <c r="I10106" i="7"/>
  <c r="F10308" i="7"/>
  <c r="C10105" i="7"/>
  <c r="B10105" i="7"/>
  <c r="A10106" i="7"/>
  <c r="J10311" i="7" l="1"/>
  <c r="K10311" i="7"/>
  <c r="G10104" i="7"/>
  <c r="H10104" i="7"/>
  <c r="F10105" i="7"/>
  <c r="G10308" i="7"/>
  <c r="H10308" i="7"/>
  <c r="K10106" i="7"/>
  <c r="J10106" i="7"/>
  <c r="I10312" i="7"/>
  <c r="I10107" i="7"/>
  <c r="F10309" i="7"/>
  <c r="B10106" i="7"/>
  <c r="C10106" i="7"/>
  <c r="A10107" i="7"/>
  <c r="G10105" i="7" l="1"/>
  <c r="H10105" i="7"/>
  <c r="F10106" i="7"/>
  <c r="H10309" i="7"/>
  <c r="H10411" i="7" s="1"/>
  <c r="G10309" i="7"/>
  <c r="G10411" i="7" s="1"/>
  <c r="J10107" i="7"/>
  <c r="K10107" i="7"/>
  <c r="K10312" i="7"/>
  <c r="J10312" i="7"/>
  <c r="I10313" i="7"/>
  <c r="I10108" i="7"/>
  <c r="F10310" i="7"/>
  <c r="C10107" i="7"/>
  <c r="B10107" i="7"/>
  <c r="A10108" i="7"/>
  <c r="J10108" i="7" l="1"/>
  <c r="K10108" i="7"/>
  <c r="H10106" i="7"/>
  <c r="G10106" i="7"/>
  <c r="F10107" i="7"/>
  <c r="H10310" i="7"/>
  <c r="G10310" i="7"/>
  <c r="K10313" i="7"/>
  <c r="J10313" i="7"/>
  <c r="I10314" i="7"/>
  <c r="I10109" i="7"/>
  <c r="F10311" i="7"/>
  <c r="B10108" i="7"/>
  <c r="C10108" i="7"/>
  <c r="A10109" i="7"/>
  <c r="K10314" i="7" l="1"/>
  <c r="J10314" i="7"/>
  <c r="G10107" i="7"/>
  <c r="H10107" i="7"/>
  <c r="F10108" i="7"/>
  <c r="H10311" i="7"/>
  <c r="G10311" i="7"/>
  <c r="J10109" i="7"/>
  <c r="K10109" i="7"/>
  <c r="I10315" i="7"/>
  <c r="I10110" i="7"/>
  <c r="F10312" i="7"/>
  <c r="C10109" i="7"/>
  <c r="B10109" i="7"/>
  <c r="A10110" i="7"/>
  <c r="J10110" i="7" l="1"/>
  <c r="K10110" i="7"/>
  <c r="G10312" i="7"/>
  <c r="H10312" i="7"/>
  <c r="J10315" i="7"/>
  <c r="K10315" i="7"/>
  <c r="G10108" i="7"/>
  <c r="H10108" i="7"/>
  <c r="F10109" i="7"/>
  <c r="I10316" i="7"/>
  <c r="I10111" i="7"/>
  <c r="F10313" i="7"/>
  <c r="B10110" i="7"/>
  <c r="C10110" i="7"/>
  <c r="A10111" i="7"/>
  <c r="H10313" i="7" l="1"/>
  <c r="G10313" i="7"/>
  <c r="J10111" i="7"/>
  <c r="K10111" i="7"/>
  <c r="K10316" i="7"/>
  <c r="J10316" i="7"/>
  <c r="G10109" i="7"/>
  <c r="H10109" i="7"/>
  <c r="F10110" i="7"/>
  <c r="I10317" i="7"/>
  <c r="I10112" i="7"/>
  <c r="F10314" i="7"/>
  <c r="C10111" i="7"/>
  <c r="B10111" i="7"/>
  <c r="A10112" i="7"/>
  <c r="G10314" i="7" l="1"/>
  <c r="H10314" i="7"/>
  <c r="J10112" i="7"/>
  <c r="K10112" i="7"/>
  <c r="J10317" i="7"/>
  <c r="K10317" i="7"/>
  <c r="H10110" i="7"/>
  <c r="G10110" i="7"/>
  <c r="F10111" i="7"/>
  <c r="I10318" i="7"/>
  <c r="I10113" i="7"/>
  <c r="F10315" i="7"/>
  <c r="B10112" i="7"/>
  <c r="C10112" i="7"/>
  <c r="A10113" i="7"/>
  <c r="K10318" i="7" l="1"/>
  <c r="J10318" i="7"/>
  <c r="H10315" i="7"/>
  <c r="G10315" i="7"/>
  <c r="J10113" i="7"/>
  <c r="K10113" i="7"/>
  <c r="G10111" i="7"/>
  <c r="H10111" i="7"/>
  <c r="F10112" i="7"/>
  <c r="I10319" i="7"/>
  <c r="I10114" i="7"/>
  <c r="F10316" i="7"/>
  <c r="C10113" i="7"/>
  <c r="B10113" i="7"/>
  <c r="A10114" i="7"/>
  <c r="G10316" i="7" l="1"/>
  <c r="H10316" i="7"/>
  <c r="K10114" i="7"/>
  <c r="J10114" i="7"/>
  <c r="J10319" i="7"/>
  <c r="K10319" i="7"/>
  <c r="G10112" i="7"/>
  <c r="H10112" i="7"/>
  <c r="F10113" i="7"/>
  <c r="I10320" i="7"/>
  <c r="I10115" i="7"/>
  <c r="F10317" i="7"/>
  <c r="B10114" i="7"/>
  <c r="C10114" i="7"/>
  <c r="A10115" i="7"/>
  <c r="J10115" i="7" l="1"/>
  <c r="K10115" i="7"/>
  <c r="H10317" i="7"/>
  <c r="G10317" i="7"/>
  <c r="K10320" i="7"/>
  <c r="J10320" i="7"/>
  <c r="G10113" i="7"/>
  <c r="H10113" i="7"/>
  <c r="F10114" i="7"/>
  <c r="I10321" i="7"/>
  <c r="I10116" i="7"/>
  <c r="F10318" i="7"/>
  <c r="C10115" i="7"/>
  <c r="B10115" i="7"/>
  <c r="A10116" i="7"/>
  <c r="K10321" i="7" l="1"/>
  <c r="J10321" i="7"/>
  <c r="H10318" i="7"/>
  <c r="G10318" i="7"/>
  <c r="J10116" i="7"/>
  <c r="K10116" i="7"/>
  <c r="H10114" i="7"/>
  <c r="G10114" i="7"/>
  <c r="F10115" i="7"/>
  <c r="I10322" i="7"/>
  <c r="I10117" i="7"/>
  <c r="F10319" i="7"/>
  <c r="B10116" i="7"/>
  <c r="C10116" i="7"/>
  <c r="A10117" i="7"/>
  <c r="K10322" i="7" l="1"/>
  <c r="J10322" i="7"/>
  <c r="G10115" i="7"/>
  <c r="H10115" i="7"/>
  <c r="F10116" i="7"/>
  <c r="H10319" i="7"/>
  <c r="G10319" i="7"/>
  <c r="J10117" i="7"/>
  <c r="K10117" i="7"/>
  <c r="I10323" i="7"/>
  <c r="I10118" i="7"/>
  <c r="F10320" i="7"/>
  <c r="C10117" i="7"/>
  <c r="B10117" i="7"/>
  <c r="A10118" i="7"/>
  <c r="J10323" i="7" l="1"/>
  <c r="K10323" i="7"/>
  <c r="G10116" i="7"/>
  <c r="H10116" i="7"/>
  <c r="F10117" i="7"/>
  <c r="H10320" i="7"/>
  <c r="G10320" i="7"/>
  <c r="J10118" i="7"/>
  <c r="K10118" i="7"/>
  <c r="I10324" i="7"/>
  <c r="I10119" i="7"/>
  <c r="F10321" i="7"/>
  <c r="B10118" i="7"/>
  <c r="C10118" i="7"/>
  <c r="A10119" i="7"/>
  <c r="K10324" i="7" l="1"/>
  <c r="J10324" i="7"/>
  <c r="H10321" i="7"/>
  <c r="G10321" i="7"/>
  <c r="J10119" i="7"/>
  <c r="K10119" i="7"/>
  <c r="G10117" i="7"/>
  <c r="H10117" i="7"/>
  <c r="F10118" i="7"/>
  <c r="I10325" i="7"/>
  <c r="I10120" i="7"/>
  <c r="F10322" i="7"/>
  <c r="C10119" i="7"/>
  <c r="B10119" i="7"/>
  <c r="A10120" i="7"/>
  <c r="G10322" i="7" l="1"/>
  <c r="H10322" i="7"/>
  <c r="J10120" i="7"/>
  <c r="K10120" i="7"/>
  <c r="J10325" i="7"/>
  <c r="K10325" i="7"/>
  <c r="G10118" i="7"/>
  <c r="H10118" i="7"/>
  <c r="F10119" i="7"/>
  <c r="I10326" i="7"/>
  <c r="I10121" i="7"/>
  <c r="F10323" i="7"/>
  <c r="B10120" i="7"/>
  <c r="C10120" i="7"/>
  <c r="A10121" i="7"/>
  <c r="H10323" i="7" l="1"/>
  <c r="G10323" i="7"/>
  <c r="J10121" i="7"/>
  <c r="K10121" i="7"/>
  <c r="K10326" i="7"/>
  <c r="J10326" i="7"/>
  <c r="G10119" i="7"/>
  <c r="H10119" i="7"/>
  <c r="F10120" i="7"/>
  <c r="I10327" i="7"/>
  <c r="I10122" i="7"/>
  <c r="F10324" i="7"/>
  <c r="C10121" i="7"/>
  <c r="B10121" i="7"/>
  <c r="A10122" i="7"/>
  <c r="G10324" i="7" l="1"/>
  <c r="H10324" i="7"/>
  <c r="K10122" i="7"/>
  <c r="J10122" i="7"/>
  <c r="J10327" i="7"/>
  <c r="K10327" i="7"/>
  <c r="G10120" i="7"/>
  <c r="H10120" i="7"/>
  <c r="F10121" i="7"/>
  <c r="I10328" i="7"/>
  <c r="I10123" i="7"/>
  <c r="F10325" i="7"/>
  <c r="B10122" i="7"/>
  <c r="C10122" i="7"/>
  <c r="A10123" i="7"/>
  <c r="H10325" i="7" l="1"/>
  <c r="G10325" i="7"/>
  <c r="J10123" i="7"/>
  <c r="K10123" i="7"/>
  <c r="K10328" i="7"/>
  <c r="J10328" i="7"/>
  <c r="G10121" i="7"/>
  <c r="H10121" i="7"/>
  <c r="F10122" i="7"/>
  <c r="I10329" i="7"/>
  <c r="I10124" i="7"/>
  <c r="F10326" i="7"/>
  <c r="C10123" i="7"/>
  <c r="B10123" i="7"/>
  <c r="A10124" i="7"/>
  <c r="K10329" i="7" l="1"/>
  <c r="J10329" i="7"/>
  <c r="G10326" i="7"/>
  <c r="H10326" i="7"/>
  <c r="J10124" i="7"/>
  <c r="K10124" i="7"/>
  <c r="H10122" i="7"/>
  <c r="G10122" i="7"/>
  <c r="F10123" i="7"/>
  <c r="I10330" i="7"/>
  <c r="I10125" i="7"/>
  <c r="F10327" i="7"/>
  <c r="B10124" i="7"/>
  <c r="C10124" i="7"/>
  <c r="A10125" i="7"/>
  <c r="J10125" i="7" l="1"/>
  <c r="K10125" i="7"/>
  <c r="K10330" i="7"/>
  <c r="J10330" i="7"/>
  <c r="H10327" i="7"/>
  <c r="G10327" i="7"/>
  <c r="G10123" i="7"/>
  <c r="H10123" i="7"/>
  <c r="F10124" i="7"/>
  <c r="I10331" i="7"/>
  <c r="I10126" i="7"/>
  <c r="F10328" i="7"/>
  <c r="C10125" i="7"/>
  <c r="B10125" i="7"/>
  <c r="A10126" i="7"/>
  <c r="J10126" i="7" l="1"/>
  <c r="K10126" i="7"/>
  <c r="H10328" i="7"/>
  <c r="G10328" i="7"/>
  <c r="J10331" i="7"/>
  <c r="K10331" i="7"/>
  <c r="H10124" i="7"/>
  <c r="G10124" i="7"/>
  <c r="F10125" i="7"/>
  <c r="I10332" i="7"/>
  <c r="I10127" i="7"/>
  <c r="F10329" i="7"/>
  <c r="B10126" i="7"/>
  <c r="C10126" i="7"/>
  <c r="A10127" i="7"/>
  <c r="K10332" i="7" l="1"/>
  <c r="J10332" i="7"/>
  <c r="H10329" i="7"/>
  <c r="G10329" i="7"/>
  <c r="J10127" i="7"/>
  <c r="K10127" i="7"/>
  <c r="G10125" i="7"/>
  <c r="H10125" i="7"/>
  <c r="F10126" i="7"/>
  <c r="I10333" i="7"/>
  <c r="I10128" i="7"/>
  <c r="F10330" i="7"/>
  <c r="C10127" i="7"/>
  <c r="B10127" i="7"/>
  <c r="A10128" i="7"/>
  <c r="G10330" i="7" l="1"/>
  <c r="H10330" i="7"/>
  <c r="J10128" i="7"/>
  <c r="K10128" i="7"/>
  <c r="J10333" i="7"/>
  <c r="K10333" i="7"/>
  <c r="G10126" i="7"/>
  <c r="H10126" i="7"/>
  <c r="F10127" i="7"/>
  <c r="I10334" i="7"/>
  <c r="I10129" i="7"/>
  <c r="F10331" i="7"/>
  <c r="B10128" i="7"/>
  <c r="C10128" i="7"/>
  <c r="A10129" i="7"/>
  <c r="J10129" i="7" l="1"/>
  <c r="K10129" i="7"/>
  <c r="K10334" i="7"/>
  <c r="J10334" i="7"/>
  <c r="H10331" i="7"/>
  <c r="G10331" i="7"/>
  <c r="G10127" i="7"/>
  <c r="H10127" i="7"/>
  <c r="F10128" i="7"/>
  <c r="I10335" i="7"/>
  <c r="I10130" i="7"/>
  <c r="F10332" i="7"/>
  <c r="C10129" i="7"/>
  <c r="B10129" i="7"/>
  <c r="A10130" i="7"/>
  <c r="G10332" i="7" l="1"/>
  <c r="H10332" i="7"/>
  <c r="J10130" i="7"/>
  <c r="K10130" i="7"/>
  <c r="J10335" i="7"/>
  <c r="K10335" i="7"/>
  <c r="G10128" i="7"/>
  <c r="H10128" i="7"/>
  <c r="F10129" i="7"/>
  <c r="I10336" i="7"/>
  <c r="I10131" i="7"/>
  <c r="F10333" i="7"/>
  <c r="B10130" i="7"/>
  <c r="C10130" i="7"/>
  <c r="A10131" i="7"/>
  <c r="J10131" i="7" l="1"/>
  <c r="K10131" i="7"/>
  <c r="K10336" i="7"/>
  <c r="J10336" i="7"/>
  <c r="H10333" i="7"/>
  <c r="G10333" i="7"/>
  <c r="G10129" i="7"/>
  <c r="H10129" i="7"/>
  <c r="F10130" i="7"/>
  <c r="I10337" i="7"/>
  <c r="I10132" i="7"/>
  <c r="F10334" i="7"/>
  <c r="C10131" i="7"/>
  <c r="B10131" i="7"/>
  <c r="A10132" i="7"/>
  <c r="G10334" i="7" l="1"/>
  <c r="H10334" i="7"/>
  <c r="J10132" i="7"/>
  <c r="K10132" i="7"/>
  <c r="K10337" i="7"/>
  <c r="J10337" i="7"/>
  <c r="H10130" i="7"/>
  <c r="G10130" i="7"/>
  <c r="F10131" i="7"/>
  <c r="I10338" i="7"/>
  <c r="I10133" i="7"/>
  <c r="F10335" i="7"/>
  <c r="B10132" i="7"/>
  <c r="C10132" i="7"/>
  <c r="A10133" i="7"/>
  <c r="H10335" i="7" l="1"/>
  <c r="G10335" i="7"/>
  <c r="J10133" i="7"/>
  <c r="K10133" i="7"/>
  <c r="K10338" i="7"/>
  <c r="J10338" i="7"/>
  <c r="G10131" i="7"/>
  <c r="H10131" i="7"/>
  <c r="F10132" i="7"/>
  <c r="I10339" i="7"/>
  <c r="I10134" i="7"/>
  <c r="F10336" i="7"/>
  <c r="C10133" i="7"/>
  <c r="B10133" i="7"/>
  <c r="A10134" i="7"/>
  <c r="K10134" i="7" l="1"/>
  <c r="J10134" i="7"/>
  <c r="H10336" i="7"/>
  <c r="G10336" i="7"/>
  <c r="J10339" i="7"/>
  <c r="K10339" i="7"/>
  <c r="G10132" i="7"/>
  <c r="H10132" i="7"/>
  <c r="F10133" i="7"/>
  <c r="I10340" i="7"/>
  <c r="I10135" i="7"/>
  <c r="F10337" i="7"/>
  <c r="B10134" i="7"/>
  <c r="C10134" i="7"/>
  <c r="A10135" i="7"/>
  <c r="J10135" i="7" l="1"/>
  <c r="K10135" i="7"/>
  <c r="H10337" i="7"/>
  <c r="G10337" i="7"/>
  <c r="K10340" i="7"/>
  <c r="J10340" i="7"/>
  <c r="G10133" i="7"/>
  <c r="H10133" i="7"/>
  <c r="F10134" i="7"/>
  <c r="I10341" i="7"/>
  <c r="I10136" i="7"/>
  <c r="F10338" i="7"/>
  <c r="C10135" i="7"/>
  <c r="B10135" i="7"/>
  <c r="A10136" i="7"/>
  <c r="J10341" i="7" l="1"/>
  <c r="K10341" i="7"/>
  <c r="G10338" i="7"/>
  <c r="H10338" i="7"/>
  <c r="J10136" i="7"/>
  <c r="K10136" i="7"/>
  <c r="G10134" i="7"/>
  <c r="H10134" i="7"/>
  <c r="F10135" i="7"/>
  <c r="I10342" i="7"/>
  <c r="I10137" i="7"/>
  <c r="F10339" i="7"/>
  <c r="B10136" i="7"/>
  <c r="C10136" i="7"/>
  <c r="A10137" i="7"/>
  <c r="J10137" i="7" l="1"/>
  <c r="K10137" i="7"/>
  <c r="H10339" i="7"/>
  <c r="G10339" i="7"/>
  <c r="K10342" i="7"/>
  <c r="J10342" i="7"/>
  <c r="G10135" i="7"/>
  <c r="H10135" i="7"/>
  <c r="F10136" i="7"/>
  <c r="I10343" i="7"/>
  <c r="I10138" i="7"/>
  <c r="F10340" i="7"/>
  <c r="C10137" i="7"/>
  <c r="B10137" i="7"/>
  <c r="A10138" i="7"/>
  <c r="J10138" i="7" l="1"/>
  <c r="K10138" i="7"/>
  <c r="G10340" i="7"/>
  <c r="H10340" i="7"/>
  <c r="K10343" i="7"/>
  <c r="J10343" i="7"/>
  <c r="G10136" i="7"/>
  <c r="H10136" i="7"/>
  <c r="F10137" i="7"/>
  <c r="I10344" i="7"/>
  <c r="I10139" i="7"/>
  <c r="F10341" i="7"/>
  <c r="B10138" i="7"/>
  <c r="C10138" i="7"/>
  <c r="A10139" i="7"/>
  <c r="J10139" i="7" l="1"/>
  <c r="K10139" i="7"/>
  <c r="H10341" i="7"/>
  <c r="G10341" i="7"/>
  <c r="K10344" i="7"/>
  <c r="J10344" i="7"/>
  <c r="G10137" i="7"/>
  <c r="H10137" i="7"/>
  <c r="F10138" i="7"/>
  <c r="I10345" i="7"/>
  <c r="I10140" i="7"/>
  <c r="F10342" i="7"/>
  <c r="C10139" i="7"/>
  <c r="B10139" i="7"/>
  <c r="A10140" i="7"/>
  <c r="J10140" i="7" l="1"/>
  <c r="K10140" i="7"/>
  <c r="G10342" i="7"/>
  <c r="H10342" i="7"/>
  <c r="K10345" i="7"/>
  <c r="J10345" i="7"/>
  <c r="H10138" i="7"/>
  <c r="G10138" i="7"/>
  <c r="F10139" i="7"/>
  <c r="I10346" i="7"/>
  <c r="I10141" i="7"/>
  <c r="F10343" i="7"/>
  <c r="B10140" i="7"/>
  <c r="C10140" i="7"/>
  <c r="A10141" i="7"/>
  <c r="J10141" i="7" l="1"/>
  <c r="K10141" i="7"/>
  <c r="H10343" i="7"/>
  <c r="G10343" i="7"/>
  <c r="K10346" i="7"/>
  <c r="J10346" i="7"/>
  <c r="G10139" i="7"/>
  <c r="H10139" i="7"/>
  <c r="F10140" i="7"/>
  <c r="I10347" i="7"/>
  <c r="I10142" i="7"/>
  <c r="F10344" i="7"/>
  <c r="C10141" i="7"/>
  <c r="B10141" i="7"/>
  <c r="A10142" i="7"/>
  <c r="K10142" i="7" l="1"/>
  <c r="J10142" i="7"/>
  <c r="H10344" i="7"/>
  <c r="G10344" i="7"/>
  <c r="J10347" i="7"/>
  <c r="K10347" i="7"/>
  <c r="G10140" i="7"/>
  <c r="H10140" i="7"/>
  <c r="F10141" i="7"/>
  <c r="I10348" i="7"/>
  <c r="I10143" i="7"/>
  <c r="F10345" i="7"/>
  <c r="B10142" i="7"/>
  <c r="C10142" i="7"/>
  <c r="A10143" i="7"/>
  <c r="H10345" i="7" l="1"/>
  <c r="G10345" i="7"/>
  <c r="J10143" i="7"/>
  <c r="K10143" i="7"/>
  <c r="K10348" i="7"/>
  <c r="J10348" i="7"/>
  <c r="G10141" i="7"/>
  <c r="H10141" i="7"/>
  <c r="F10142" i="7"/>
  <c r="I10349" i="7"/>
  <c r="I10144" i="7"/>
  <c r="F10346" i="7"/>
  <c r="C10143" i="7"/>
  <c r="B10143" i="7"/>
  <c r="A10144" i="7"/>
  <c r="J10144" i="7" l="1"/>
  <c r="K10144" i="7"/>
  <c r="G10346" i="7"/>
  <c r="H10346" i="7"/>
  <c r="J10349" i="7"/>
  <c r="K10349" i="7"/>
  <c r="H10142" i="7"/>
  <c r="G10142" i="7"/>
  <c r="F10143" i="7"/>
  <c r="I10350" i="7"/>
  <c r="I10145" i="7"/>
  <c r="F10347" i="7"/>
  <c r="B10144" i="7"/>
  <c r="C10144" i="7"/>
  <c r="A10145" i="7"/>
  <c r="H10347" i="7" l="1"/>
  <c r="G10347" i="7"/>
  <c r="J10145" i="7"/>
  <c r="K10145" i="7"/>
  <c r="K10350" i="7"/>
  <c r="J10350" i="7"/>
  <c r="G10143" i="7"/>
  <c r="H10143" i="7"/>
  <c r="F10144" i="7"/>
  <c r="I10351" i="7"/>
  <c r="I10146" i="7"/>
  <c r="F10348" i="7"/>
  <c r="C10145" i="7"/>
  <c r="B10145" i="7"/>
  <c r="A10146" i="7"/>
  <c r="J10146" i="7" l="1"/>
  <c r="K10146" i="7"/>
  <c r="G10348" i="7"/>
  <c r="H10348" i="7"/>
  <c r="K10351" i="7"/>
  <c r="J10351" i="7"/>
  <c r="G10144" i="7"/>
  <c r="H10144" i="7"/>
  <c r="F10145" i="7"/>
  <c r="I10352" i="7"/>
  <c r="I10147" i="7"/>
  <c r="F10349" i="7"/>
  <c r="B10146" i="7"/>
  <c r="C10146" i="7"/>
  <c r="A10147" i="7"/>
  <c r="H10349" i="7" l="1"/>
  <c r="G10349" i="7"/>
  <c r="K10352" i="7"/>
  <c r="J10352" i="7"/>
  <c r="J10147" i="7"/>
  <c r="K10147" i="7"/>
  <c r="G10145" i="7"/>
  <c r="H10145" i="7"/>
  <c r="F10146" i="7"/>
  <c r="I10353" i="7"/>
  <c r="I10148" i="7"/>
  <c r="F10350" i="7"/>
  <c r="C10147" i="7"/>
  <c r="B10147" i="7"/>
  <c r="A10148" i="7"/>
  <c r="J10148" i="7" l="1"/>
  <c r="K10148" i="7"/>
  <c r="G10350" i="7"/>
  <c r="H10350" i="7"/>
  <c r="J10353" i="7"/>
  <c r="K10353" i="7"/>
  <c r="H10146" i="7"/>
  <c r="G10146" i="7"/>
  <c r="F10147" i="7"/>
  <c r="I10354" i="7"/>
  <c r="I10149" i="7"/>
  <c r="F10351" i="7"/>
  <c r="B10148" i="7"/>
  <c r="C10148" i="7"/>
  <c r="A10149" i="7"/>
  <c r="H10351" i="7" l="1"/>
  <c r="G10351" i="7"/>
  <c r="J10149" i="7"/>
  <c r="K10149" i="7"/>
  <c r="K10354" i="7"/>
  <c r="J10354" i="7"/>
  <c r="G10147" i="7"/>
  <c r="H10147" i="7"/>
  <c r="F10148" i="7"/>
  <c r="I10355" i="7"/>
  <c r="I10150" i="7"/>
  <c r="F10352" i="7"/>
  <c r="C10149" i="7"/>
  <c r="B10149" i="7"/>
  <c r="A10150" i="7"/>
  <c r="H10352" i="7" l="1"/>
  <c r="G10352" i="7"/>
  <c r="K10150" i="7"/>
  <c r="J10150" i="7"/>
  <c r="K10355" i="7"/>
  <c r="J10355" i="7"/>
  <c r="G10148" i="7"/>
  <c r="H10148" i="7"/>
  <c r="F10149" i="7"/>
  <c r="I10356" i="7"/>
  <c r="I10151" i="7"/>
  <c r="F10353" i="7"/>
  <c r="B10150" i="7"/>
  <c r="C10150" i="7"/>
  <c r="A10151" i="7"/>
  <c r="J10151" i="7" l="1"/>
  <c r="K10151" i="7"/>
  <c r="K10356" i="7"/>
  <c r="J10356" i="7"/>
  <c r="H10353" i="7"/>
  <c r="G10353" i="7"/>
  <c r="G10149" i="7"/>
  <c r="H10149" i="7"/>
  <c r="F10150" i="7"/>
  <c r="I10357" i="7"/>
  <c r="I10152" i="7"/>
  <c r="F10354" i="7"/>
  <c r="C10151" i="7"/>
  <c r="B10151" i="7"/>
  <c r="A10152" i="7"/>
  <c r="J10152" i="7" l="1"/>
  <c r="K10152" i="7"/>
  <c r="G10354" i="7"/>
  <c r="H10354" i="7"/>
  <c r="J10357" i="7"/>
  <c r="K10357" i="7"/>
  <c r="G10150" i="7"/>
  <c r="H10150" i="7"/>
  <c r="F10151" i="7"/>
  <c r="I10358" i="7"/>
  <c r="I10153" i="7"/>
  <c r="F10355" i="7"/>
  <c r="B10152" i="7"/>
  <c r="C10152" i="7"/>
  <c r="A10153" i="7"/>
  <c r="J10153" i="7" l="1"/>
  <c r="K10153" i="7"/>
  <c r="H10355" i="7"/>
  <c r="G10355" i="7"/>
  <c r="K10358" i="7"/>
  <c r="J10358" i="7"/>
  <c r="G10151" i="7"/>
  <c r="H10151" i="7"/>
  <c r="F10152" i="7"/>
  <c r="I10359" i="7"/>
  <c r="I10154" i="7"/>
  <c r="F10356" i="7"/>
  <c r="C10153" i="7"/>
  <c r="B10153" i="7"/>
  <c r="A10154" i="7"/>
  <c r="K10359" i="7" l="1"/>
  <c r="J10359" i="7"/>
  <c r="G10356" i="7"/>
  <c r="H10356" i="7"/>
  <c r="J10154" i="7"/>
  <c r="K10154" i="7"/>
  <c r="G10152" i="7"/>
  <c r="H10152" i="7"/>
  <c r="F10153" i="7"/>
  <c r="I10360" i="7"/>
  <c r="I10155" i="7"/>
  <c r="F10357" i="7"/>
  <c r="B10154" i="7"/>
  <c r="C10154" i="7"/>
  <c r="A10155" i="7"/>
  <c r="K10360" i="7" l="1"/>
  <c r="J10360" i="7"/>
  <c r="H10357" i="7"/>
  <c r="G10357" i="7"/>
  <c r="J10155" i="7"/>
  <c r="K10155" i="7"/>
  <c r="G10153" i="7"/>
  <c r="H10153" i="7"/>
  <c r="F10154" i="7"/>
  <c r="I10361" i="7"/>
  <c r="I10156" i="7"/>
  <c r="F10358" i="7"/>
  <c r="C10155" i="7"/>
  <c r="B10155" i="7"/>
  <c r="A10156" i="7"/>
  <c r="J10156" i="7" l="1"/>
  <c r="K10156" i="7"/>
  <c r="J10361" i="7"/>
  <c r="K10361" i="7"/>
  <c r="G10358" i="7"/>
  <c r="H10358" i="7"/>
  <c r="H10154" i="7"/>
  <c r="G10154" i="7"/>
  <c r="F10155" i="7"/>
  <c r="I10362" i="7"/>
  <c r="I10157" i="7"/>
  <c r="F10359" i="7"/>
  <c r="B10156" i="7"/>
  <c r="C10156" i="7"/>
  <c r="A10157" i="7"/>
  <c r="J10157" i="7" l="1"/>
  <c r="K10157" i="7"/>
  <c r="K10362" i="7"/>
  <c r="J10362" i="7"/>
  <c r="H10359" i="7"/>
  <c r="G10359" i="7"/>
  <c r="G10155" i="7"/>
  <c r="H10155" i="7"/>
  <c r="F10156" i="7"/>
  <c r="I10363" i="7"/>
  <c r="I10158" i="7"/>
  <c r="F10360" i="7"/>
  <c r="C10157" i="7"/>
  <c r="B10157" i="7"/>
  <c r="A10158" i="7"/>
  <c r="J10158" i="7" l="1"/>
  <c r="K10158" i="7"/>
  <c r="K10363" i="7"/>
  <c r="J10363" i="7"/>
  <c r="H10360" i="7"/>
  <c r="G10360" i="7"/>
  <c r="H10156" i="7"/>
  <c r="G10156" i="7"/>
  <c r="F10157" i="7"/>
  <c r="I10364" i="7"/>
  <c r="I10159" i="7"/>
  <c r="F10361" i="7"/>
  <c r="B10158" i="7"/>
  <c r="C10158" i="7"/>
  <c r="A10159" i="7"/>
  <c r="J10159" i="7" l="1"/>
  <c r="K10159" i="7"/>
  <c r="H10361" i="7"/>
  <c r="G10361" i="7"/>
  <c r="K10364" i="7"/>
  <c r="J10364" i="7"/>
  <c r="G10157" i="7"/>
  <c r="H10157" i="7"/>
  <c r="F10158" i="7"/>
  <c r="I10365" i="7"/>
  <c r="I10160" i="7"/>
  <c r="F10362" i="7"/>
  <c r="C10159" i="7"/>
  <c r="B10159" i="7"/>
  <c r="A10160" i="7"/>
  <c r="J10160" i="7" l="1"/>
  <c r="K10160" i="7"/>
  <c r="J10365" i="7"/>
  <c r="K10365" i="7"/>
  <c r="G10362" i="7"/>
  <c r="H10362" i="7"/>
  <c r="G10158" i="7"/>
  <c r="H10158" i="7"/>
  <c r="F10159" i="7"/>
  <c r="I10366" i="7"/>
  <c r="I10161" i="7"/>
  <c r="F10363" i="7"/>
  <c r="B10160" i="7"/>
  <c r="C10160" i="7"/>
  <c r="A10161" i="7"/>
  <c r="J10161" i="7" l="1"/>
  <c r="K10161" i="7"/>
  <c r="H10363" i="7"/>
  <c r="G10363" i="7"/>
  <c r="K10366" i="7"/>
  <c r="J10366" i="7"/>
  <c r="G10159" i="7"/>
  <c r="H10159" i="7"/>
  <c r="F10160" i="7"/>
  <c r="I10367" i="7"/>
  <c r="I10162" i="7"/>
  <c r="F10364" i="7"/>
  <c r="C10161" i="7"/>
  <c r="B10161" i="7"/>
  <c r="A10162" i="7"/>
  <c r="K10162" i="7" l="1"/>
  <c r="J10162" i="7"/>
  <c r="K10367" i="7"/>
  <c r="J10367" i="7"/>
  <c r="G10364" i="7"/>
  <c r="H10364" i="7"/>
  <c r="G10160" i="7"/>
  <c r="H10160" i="7"/>
  <c r="F10161" i="7"/>
  <c r="I10368" i="7"/>
  <c r="I10163" i="7"/>
  <c r="F10365" i="7"/>
  <c r="B10162" i="7"/>
  <c r="C10162" i="7"/>
  <c r="A10163" i="7"/>
  <c r="H10365" i="7" l="1"/>
  <c r="G10365" i="7"/>
  <c r="J10163" i="7"/>
  <c r="K10163" i="7"/>
  <c r="K10368" i="7"/>
  <c r="J10368" i="7"/>
  <c r="G10161" i="7"/>
  <c r="H10161" i="7"/>
  <c r="F10162" i="7"/>
  <c r="I10369" i="7"/>
  <c r="I10164" i="7"/>
  <c r="F10366" i="7"/>
  <c r="C10163" i="7"/>
  <c r="B10163" i="7"/>
  <c r="A10164" i="7"/>
  <c r="G10366" i="7" l="1"/>
  <c r="H10366" i="7"/>
  <c r="J10164" i="7"/>
  <c r="K10164" i="7"/>
  <c r="K10369" i="7"/>
  <c r="J10369" i="7"/>
  <c r="H10162" i="7"/>
  <c r="G10162" i="7"/>
  <c r="F10163" i="7"/>
  <c r="I10370" i="7"/>
  <c r="I10165" i="7"/>
  <c r="F10367" i="7"/>
  <c r="B10164" i="7"/>
  <c r="C10164" i="7"/>
  <c r="A10165" i="7"/>
  <c r="K10370" i="7" l="1"/>
  <c r="J10370" i="7"/>
  <c r="H10367" i="7"/>
  <c r="G10367" i="7"/>
  <c r="J10165" i="7"/>
  <c r="K10165" i="7"/>
  <c r="G10163" i="7"/>
  <c r="H10163" i="7"/>
  <c r="F10164" i="7"/>
  <c r="I10371" i="7"/>
  <c r="I10166" i="7"/>
  <c r="F10368" i="7"/>
  <c r="C10165" i="7"/>
  <c r="B10165" i="7"/>
  <c r="A10166" i="7"/>
  <c r="J10166" i="7" l="1"/>
  <c r="K10166" i="7"/>
  <c r="H10368" i="7"/>
  <c r="G10368" i="7"/>
  <c r="J10371" i="7"/>
  <c r="K10371" i="7"/>
  <c r="G10164" i="7"/>
  <c r="H10164" i="7"/>
  <c r="F10165" i="7"/>
  <c r="I10372" i="7"/>
  <c r="I10167" i="7"/>
  <c r="F10369" i="7"/>
  <c r="C10166" i="7"/>
  <c r="B10166" i="7"/>
  <c r="A10167" i="7"/>
  <c r="J10167" i="7" l="1"/>
  <c r="K10167" i="7"/>
  <c r="H10369" i="7"/>
  <c r="G10369" i="7"/>
  <c r="K10372" i="7"/>
  <c r="J10372" i="7"/>
  <c r="G10165" i="7"/>
  <c r="H10165" i="7"/>
  <c r="F10166" i="7"/>
  <c r="I10373" i="7"/>
  <c r="I10168" i="7"/>
  <c r="F10370" i="7"/>
  <c r="C10167" i="7"/>
  <c r="B10167" i="7"/>
  <c r="A10168" i="7"/>
  <c r="J10168" i="7" l="1"/>
  <c r="K10168" i="7"/>
  <c r="J10373" i="7"/>
  <c r="K10373" i="7"/>
  <c r="H10370" i="7"/>
  <c r="G10370" i="7"/>
  <c r="G10166" i="7"/>
  <c r="H10166" i="7"/>
  <c r="F10167" i="7"/>
  <c r="I10374" i="7"/>
  <c r="I10169" i="7"/>
  <c r="F10371" i="7"/>
  <c r="B10168" i="7"/>
  <c r="C10168" i="7"/>
  <c r="A10169" i="7"/>
  <c r="H10371" i="7" l="1"/>
  <c r="G10371" i="7"/>
  <c r="J10169" i="7"/>
  <c r="K10169" i="7"/>
  <c r="K10374" i="7"/>
  <c r="J10374" i="7"/>
  <c r="G10167" i="7"/>
  <c r="H10167" i="7"/>
  <c r="F10168" i="7"/>
  <c r="I10375" i="7"/>
  <c r="I10170" i="7"/>
  <c r="F10372" i="7"/>
  <c r="C10169" i="7"/>
  <c r="B10169" i="7"/>
  <c r="A10170" i="7"/>
  <c r="G10372" i="7" l="1"/>
  <c r="H10372" i="7"/>
  <c r="K10170" i="7"/>
  <c r="J10170" i="7"/>
  <c r="K10375" i="7"/>
  <c r="J10375" i="7"/>
  <c r="G10168" i="7"/>
  <c r="H10168" i="7"/>
  <c r="F10169" i="7"/>
  <c r="I10376" i="7"/>
  <c r="I10171" i="7"/>
  <c r="F10373" i="7"/>
  <c r="B10170" i="7"/>
  <c r="C10170" i="7"/>
  <c r="A10171" i="7"/>
  <c r="J10171" i="7" l="1"/>
  <c r="K10171" i="7"/>
  <c r="H10373" i="7"/>
  <c r="G10373" i="7"/>
  <c r="K10376" i="7"/>
  <c r="J10376" i="7"/>
  <c r="G10169" i="7"/>
  <c r="H10169" i="7"/>
  <c r="F10170" i="7"/>
  <c r="I10377" i="7"/>
  <c r="I10172" i="7"/>
  <c r="F10374" i="7"/>
  <c r="C10171" i="7"/>
  <c r="B10171" i="7"/>
  <c r="A10172" i="7"/>
  <c r="G10374" i="7" l="1"/>
  <c r="H10374" i="7"/>
  <c r="J10172" i="7"/>
  <c r="K10172" i="7"/>
  <c r="K10377" i="7"/>
  <c r="J10377" i="7"/>
  <c r="H10170" i="7"/>
  <c r="G10170" i="7"/>
  <c r="F10171" i="7"/>
  <c r="I10378" i="7"/>
  <c r="I10173" i="7"/>
  <c r="F10375" i="7"/>
  <c r="C10172" i="7"/>
  <c r="B10172" i="7"/>
  <c r="A10173" i="7"/>
  <c r="J10173" i="7" l="1"/>
  <c r="K10173" i="7"/>
  <c r="K10378" i="7"/>
  <c r="J10378" i="7"/>
  <c r="H10375" i="7"/>
  <c r="G10375" i="7"/>
  <c r="G10171" i="7"/>
  <c r="H10171" i="7"/>
  <c r="F10172" i="7"/>
  <c r="I10379" i="7"/>
  <c r="I10174" i="7"/>
  <c r="F10376" i="7"/>
  <c r="C10173" i="7"/>
  <c r="B10173" i="7"/>
  <c r="A10174" i="7"/>
  <c r="J10174" i="7" l="1"/>
  <c r="K10174" i="7"/>
  <c r="H10376" i="7"/>
  <c r="G10376" i="7"/>
  <c r="K10379" i="7"/>
  <c r="J10379" i="7"/>
  <c r="G10172" i="7"/>
  <c r="H10172" i="7"/>
  <c r="F10173" i="7"/>
  <c r="I10380" i="7"/>
  <c r="I10175" i="7"/>
  <c r="F10377" i="7"/>
  <c r="B10174" i="7"/>
  <c r="C10174" i="7"/>
  <c r="A10175" i="7"/>
  <c r="J10175" i="7" l="1"/>
  <c r="K10175" i="7"/>
  <c r="K10380" i="7"/>
  <c r="J10380" i="7"/>
  <c r="H10377" i="7"/>
  <c r="G10377" i="7"/>
  <c r="G10173" i="7"/>
  <c r="H10173" i="7"/>
  <c r="F10174" i="7"/>
  <c r="I10381" i="7"/>
  <c r="I10176" i="7"/>
  <c r="F10378" i="7"/>
  <c r="C10175" i="7"/>
  <c r="B10175" i="7"/>
  <c r="A10176" i="7"/>
  <c r="G10378" i="7" l="1"/>
  <c r="H10378" i="7"/>
  <c r="J10176" i="7"/>
  <c r="K10176" i="7"/>
  <c r="J10381" i="7"/>
  <c r="K10381" i="7"/>
  <c r="H10174" i="7"/>
  <c r="G10174" i="7"/>
  <c r="F10175" i="7"/>
  <c r="I10382" i="7"/>
  <c r="I10177" i="7"/>
  <c r="F10379" i="7"/>
  <c r="B10176" i="7"/>
  <c r="C10176" i="7"/>
  <c r="A10177" i="7"/>
  <c r="J10177" i="7" l="1"/>
  <c r="K10177" i="7"/>
  <c r="H10379" i="7"/>
  <c r="G10379" i="7"/>
  <c r="K10382" i="7"/>
  <c r="J10382" i="7"/>
  <c r="G10175" i="7"/>
  <c r="H10175" i="7"/>
  <c r="F10176" i="7"/>
  <c r="I10383" i="7"/>
  <c r="I10178" i="7"/>
  <c r="F10380" i="7"/>
  <c r="C10177" i="7"/>
  <c r="B10177" i="7"/>
  <c r="A10178" i="7"/>
  <c r="K10178" i="7" l="1"/>
  <c r="J10178" i="7"/>
  <c r="G10380" i="7"/>
  <c r="H10380" i="7"/>
  <c r="K10383" i="7"/>
  <c r="J10383" i="7"/>
  <c r="G10176" i="7"/>
  <c r="H10176" i="7"/>
  <c r="F10177" i="7"/>
  <c r="I10384" i="7"/>
  <c r="I10179" i="7"/>
  <c r="F10381" i="7"/>
  <c r="B10178" i="7"/>
  <c r="C10178" i="7"/>
  <c r="A10179" i="7"/>
  <c r="H10381" i="7" l="1"/>
  <c r="G10381" i="7"/>
  <c r="J10179" i="7"/>
  <c r="K10179" i="7"/>
  <c r="K10384" i="7"/>
  <c r="J10384" i="7"/>
  <c r="G10177" i="7"/>
  <c r="H10177" i="7"/>
  <c r="F10178" i="7"/>
  <c r="I10385" i="7"/>
  <c r="I10180" i="7"/>
  <c r="F10382" i="7"/>
  <c r="C10179" i="7"/>
  <c r="B10179" i="7"/>
  <c r="A10180" i="7"/>
  <c r="J10180" i="7" l="1"/>
  <c r="K10180" i="7"/>
  <c r="H10382" i="7"/>
  <c r="G10382" i="7"/>
  <c r="J10385" i="7"/>
  <c r="K10385" i="7"/>
  <c r="H10178" i="7"/>
  <c r="G10178" i="7"/>
  <c r="F10179" i="7"/>
  <c r="I10386" i="7"/>
  <c r="I10181" i="7"/>
  <c r="F10383" i="7"/>
  <c r="C10180" i="7"/>
  <c r="B10180" i="7"/>
  <c r="A10181" i="7"/>
  <c r="J10181" i="7" l="1"/>
  <c r="K10181" i="7"/>
  <c r="H10383" i="7"/>
  <c r="G10383" i="7"/>
  <c r="K10386" i="7"/>
  <c r="J10386" i="7"/>
  <c r="G10179" i="7"/>
  <c r="H10179" i="7"/>
  <c r="F10180" i="7"/>
  <c r="I10387" i="7"/>
  <c r="I10182" i="7"/>
  <c r="F10384" i="7"/>
  <c r="C10181" i="7"/>
  <c r="B10181" i="7"/>
  <c r="A10182" i="7"/>
  <c r="J10182" i="7" l="1"/>
  <c r="K10182" i="7"/>
  <c r="G10384" i="7"/>
  <c r="H10384" i="7"/>
  <c r="J10387" i="7"/>
  <c r="K10387" i="7"/>
  <c r="G10180" i="7"/>
  <c r="H10180" i="7"/>
  <c r="F10181" i="7"/>
  <c r="I10388" i="7"/>
  <c r="I10183" i="7"/>
  <c r="F10385" i="7"/>
  <c r="B10182" i="7"/>
  <c r="C10182" i="7"/>
  <c r="A10183" i="7"/>
  <c r="J10183" i="7" l="1"/>
  <c r="K10183" i="7"/>
  <c r="H10385" i="7"/>
  <c r="G10385" i="7"/>
  <c r="K10388" i="7"/>
  <c r="J10388" i="7"/>
  <c r="G10181" i="7"/>
  <c r="H10181" i="7"/>
  <c r="F10182" i="7"/>
  <c r="I10389" i="7"/>
  <c r="I10184" i="7"/>
  <c r="F10386" i="7"/>
  <c r="C10183" i="7"/>
  <c r="B10183" i="7"/>
  <c r="A10184" i="7"/>
  <c r="J10184" i="7" l="1"/>
  <c r="K10184" i="7"/>
  <c r="H10386" i="7"/>
  <c r="G10386" i="7"/>
  <c r="J10389" i="7"/>
  <c r="K10389" i="7"/>
  <c r="G10182" i="7"/>
  <c r="H10182" i="7"/>
  <c r="F10183" i="7"/>
  <c r="I10390" i="7"/>
  <c r="I10185" i="7"/>
  <c r="F10387" i="7"/>
  <c r="B10184" i="7"/>
  <c r="C10184" i="7"/>
  <c r="A10185" i="7"/>
  <c r="J10185" i="7" l="1"/>
  <c r="K10185" i="7"/>
  <c r="H10387" i="7"/>
  <c r="G10387" i="7"/>
  <c r="K10390" i="7"/>
  <c r="J10390" i="7"/>
  <c r="G10183" i="7"/>
  <c r="H10183" i="7"/>
  <c r="F10184" i="7"/>
  <c r="I10391" i="7"/>
  <c r="I10186" i="7"/>
  <c r="F10388" i="7"/>
  <c r="C10185" i="7"/>
  <c r="B10185" i="7"/>
  <c r="A10186" i="7"/>
  <c r="K10186" i="7" l="1"/>
  <c r="J10186" i="7"/>
  <c r="G10388" i="7"/>
  <c r="H10388" i="7"/>
  <c r="K10391" i="7"/>
  <c r="J10391" i="7"/>
  <c r="G10184" i="7"/>
  <c r="H10184" i="7"/>
  <c r="F10185" i="7"/>
  <c r="I10392" i="7"/>
  <c r="I10187" i="7"/>
  <c r="F10389" i="7"/>
  <c r="B10186" i="7"/>
  <c r="C10186" i="7"/>
  <c r="A10187" i="7"/>
  <c r="H10389" i="7" l="1"/>
  <c r="G10389" i="7"/>
  <c r="J10187" i="7"/>
  <c r="K10187" i="7"/>
  <c r="K10392" i="7"/>
  <c r="J10392" i="7"/>
  <c r="G10185" i="7"/>
  <c r="H10185" i="7"/>
  <c r="F10186" i="7"/>
  <c r="I10393" i="7"/>
  <c r="I10188" i="7"/>
  <c r="F10390" i="7"/>
  <c r="C10187" i="7"/>
  <c r="B10187" i="7"/>
  <c r="A10188" i="7"/>
  <c r="J10188" i="7" l="1"/>
  <c r="K10188" i="7"/>
  <c r="H10390" i="7"/>
  <c r="G10390" i="7"/>
  <c r="K10393" i="7"/>
  <c r="J10393" i="7"/>
  <c r="H10186" i="7"/>
  <c r="G10186" i="7"/>
  <c r="F10187" i="7"/>
  <c r="I10394" i="7"/>
  <c r="I10189" i="7"/>
  <c r="F10391" i="7"/>
  <c r="C10188" i="7"/>
  <c r="B10188" i="7"/>
  <c r="A10189" i="7"/>
  <c r="J10189" i="7" l="1"/>
  <c r="K10189" i="7"/>
  <c r="H10391" i="7"/>
  <c r="G10391" i="7"/>
  <c r="K10394" i="7"/>
  <c r="J10394" i="7"/>
  <c r="G10187" i="7"/>
  <c r="H10187" i="7"/>
  <c r="F10188" i="7"/>
  <c r="I10395" i="7"/>
  <c r="I10190" i="7"/>
  <c r="F10392" i="7"/>
  <c r="C10189" i="7"/>
  <c r="B10189" i="7"/>
  <c r="A10190" i="7"/>
  <c r="J10190" i="7" l="1"/>
  <c r="K10190" i="7"/>
  <c r="G10392" i="7"/>
  <c r="H10392" i="7"/>
  <c r="J10395" i="7"/>
  <c r="K10395" i="7"/>
  <c r="H10188" i="7"/>
  <c r="G10188" i="7"/>
  <c r="F10189" i="7"/>
  <c r="I10396" i="7"/>
  <c r="I10191" i="7"/>
  <c r="F10393" i="7"/>
  <c r="B10190" i="7"/>
  <c r="C10190" i="7"/>
  <c r="A10191" i="7"/>
  <c r="H10393" i="7" l="1"/>
  <c r="G10393" i="7"/>
  <c r="J10191" i="7"/>
  <c r="K10191" i="7"/>
  <c r="K10396" i="7"/>
  <c r="J10396" i="7"/>
  <c r="G10189" i="7"/>
  <c r="H10189" i="7"/>
  <c r="F10190" i="7"/>
  <c r="I10397" i="7"/>
  <c r="I10192" i="7"/>
  <c r="F10394" i="7"/>
  <c r="C10191" i="7"/>
  <c r="B10191" i="7"/>
  <c r="A10192" i="7"/>
  <c r="J10397" i="7" l="1"/>
  <c r="K10397" i="7"/>
  <c r="H10394" i="7"/>
  <c r="G10394" i="7"/>
  <c r="J10192" i="7"/>
  <c r="K10192" i="7"/>
  <c r="G10190" i="7"/>
  <c r="H10190" i="7"/>
  <c r="F10191" i="7"/>
  <c r="I10398" i="7"/>
  <c r="I10193" i="7"/>
  <c r="F10395" i="7"/>
  <c r="B10192" i="7"/>
  <c r="C10192" i="7"/>
  <c r="A10193" i="7"/>
  <c r="J10193" i="7" l="1"/>
  <c r="K10193" i="7"/>
  <c r="H10395" i="7"/>
  <c r="G10395" i="7"/>
  <c r="K10398" i="7"/>
  <c r="J10398" i="7"/>
  <c r="G10191" i="7"/>
  <c r="H10191" i="7"/>
  <c r="F10192" i="7"/>
  <c r="I10399" i="7"/>
  <c r="I10194" i="7"/>
  <c r="F10396" i="7"/>
  <c r="C10193" i="7"/>
  <c r="B10193" i="7"/>
  <c r="A10194" i="7"/>
  <c r="K10194" i="7" l="1"/>
  <c r="J10194" i="7"/>
  <c r="G10396" i="7"/>
  <c r="H10396" i="7"/>
  <c r="K10399" i="7"/>
  <c r="J10399" i="7"/>
  <c r="G10192" i="7"/>
  <c r="H10192" i="7"/>
  <c r="F10193" i="7"/>
  <c r="I10400" i="7"/>
  <c r="I10195" i="7"/>
  <c r="F10397" i="7"/>
  <c r="B10194" i="7"/>
  <c r="C10194" i="7"/>
  <c r="A10195" i="7"/>
  <c r="J10195" i="7" l="1"/>
  <c r="K10195" i="7"/>
  <c r="H10397" i="7"/>
  <c r="G10397" i="7"/>
  <c r="K10400" i="7"/>
  <c r="J10400" i="7"/>
  <c r="G10193" i="7"/>
  <c r="H10193" i="7"/>
  <c r="F10194" i="7"/>
  <c r="I10401" i="7"/>
  <c r="I10196" i="7"/>
  <c r="F10398" i="7"/>
  <c r="C10195" i="7"/>
  <c r="B10195" i="7"/>
  <c r="A10196" i="7"/>
  <c r="J10196" i="7" l="1"/>
  <c r="K10196" i="7"/>
  <c r="H10398" i="7"/>
  <c r="G10398" i="7"/>
  <c r="J10401" i="7"/>
  <c r="K10401" i="7"/>
  <c r="H10194" i="7"/>
  <c r="G10194" i="7"/>
  <c r="F10195" i="7"/>
  <c r="I10402" i="7"/>
  <c r="I10197" i="7"/>
  <c r="F10399" i="7"/>
  <c r="C10196" i="7"/>
  <c r="B10196" i="7"/>
  <c r="A10197" i="7"/>
  <c r="H10399" i="7" l="1"/>
  <c r="G10399" i="7"/>
  <c r="J10197" i="7"/>
  <c r="K10197" i="7"/>
  <c r="K10402" i="7"/>
  <c r="J10402" i="7"/>
  <c r="G10195" i="7"/>
  <c r="H10195" i="7"/>
  <c r="F10196" i="7"/>
  <c r="I10403" i="7"/>
  <c r="I10198" i="7"/>
  <c r="F10400" i="7"/>
  <c r="C10197" i="7"/>
  <c r="B10197" i="7"/>
  <c r="A10198" i="7"/>
  <c r="J10198" i="7" l="1"/>
  <c r="K10198" i="7"/>
  <c r="H10400" i="7"/>
  <c r="G10400" i="7"/>
  <c r="J10403" i="7"/>
  <c r="K10403" i="7"/>
  <c r="G10196" i="7"/>
  <c r="H10196" i="7"/>
  <c r="F10197" i="7"/>
  <c r="I10404" i="7"/>
  <c r="I10199" i="7"/>
  <c r="F10401" i="7"/>
  <c r="B10198" i="7"/>
  <c r="C10198" i="7"/>
  <c r="A10199" i="7"/>
  <c r="H10401" i="7" l="1"/>
  <c r="G10401" i="7"/>
  <c r="K10199" i="7"/>
  <c r="J10199" i="7"/>
  <c r="K10404" i="7"/>
  <c r="J10404" i="7"/>
  <c r="G10197" i="7"/>
  <c r="H10197" i="7"/>
  <c r="F10198" i="7"/>
  <c r="I10405" i="7"/>
  <c r="I10200" i="7"/>
  <c r="F10402" i="7"/>
  <c r="C10199" i="7"/>
  <c r="B10199" i="7"/>
  <c r="A10200" i="7"/>
  <c r="G10402" i="7" l="1"/>
  <c r="H10402" i="7"/>
  <c r="J10200" i="7"/>
  <c r="K10200" i="7"/>
  <c r="J10405" i="7"/>
  <c r="K10405" i="7"/>
  <c r="G10198" i="7"/>
  <c r="H10198" i="7"/>
  <c r="F10199" i="7"/>
  <c r="I10406" i="7"/>
  <c r="I10201" i="7"/>
  <c r="F10403" i="7"/>
  <c r="B10200" i="7"/>
  <c r="C10200" i="7"/>
  <c r="A10201" i="7"/>
  <c r="K10406" i="7" l="1"/>
  <c r="J10406" i="7"/>
  <c r="H10403" i="7"/>
  <c r="G10403" i="7"/>
  <c r="K10201" i="7"/>
  <c r="J10201" i="7"/>
  <c r="G10199" i="7"/>
  <c r="H10199" i="7"/>
  <c r="F10200" i="7"/>
  <c r="I10407" i="7"/>
  <c r="I10202" i="7"/>
  <c r="F10404" i="7"/>
  <c r="C10201" i="7"/>
  <c r="B10201" i="7"/>
  <c r="A10202" i="7"/>
  <c r="J10202" i="7" l="1"/>
  <c r="K10202" i="7"/>
  <c r="K10407" i="7"/>
  <c r="J10407" i="7"/>
  <c r="G10404" i="7"/>
  <c r="H10404" i="7"/>
  <c r="G10200" i="7"/>
  <c r="H10200" i="7"/>
  <c r="F10201" i="7"/>
  <c r="I10408" i="7"/>
  <c r="I10203" i="7"/>
  <c r="F10405" i="7"/>
  <c r="B10202" i="7"/>
  <c r="C10202" i="7"/>
  <c r="A10203" i="7"/>
  <c r="G10405" i="7" l="1"/>
  <c r="H10405" i="7"/>
  <c r="K10203" i="7"/>
  <c r="J10203" i="7"/>
  <c r="K10408" i="7"/>
  <c r="J10408" i="7"/>
  <c r="G10201" i="7"/>
  <c r="H10201" i="7"/>
  <c r="F10202" i="7"/>
  <c r="I10409" i="7"/>
  <c r="I10204" i="7"/>
  <c r="F10406" i="7"/>
  <c r="C10203" i="7"/>
  <c r="B10203" i="7"/>
  <c r="A10204" i="7"/>
  <c r="G10406" i="7" l="1"/>
  <c r="H10406" i="7"/>
  <c r="K10204" i="7"/>
  <c r="J10204" i="7"/>
  <c r="J10409" i="7"/>
  <c r="K10409" i="7"/>
  <c r="H10202" i="7"/>
  <c r="G10202" i="7"/>
  <c r="F10203" i="7"/>
  <c r="F10407" i="7"/>
  <c r="C10204" i="7"/>
  <c r="B10204" i="7"/>
  <c r="A10205" i="7"/>
  <c r="H10407" i="7" l="1"/>
  <c r="G10407" i="7"/>
  <c r="G10203" i="7"/>
  <c r="H10203" i="7"/>
  <c r="F10204" i="7"/>
  <c r="F10408" i="7"/>
  <c r="C10205" i="7"/>
  <c r="B10205" i="7"/>
  <c r="A10206" i="7"/>
  <c r="G10408" i="7" l="1"/>
  <c r="H10408" i="7"/>
  <c r="G10204" i="7"/>
  <c r="H10204" i="7"/>
  <c r="F10409" i="7"/>
  <c r="B10206" i="7"/>
  <c r="C10206" i="7"/>
  <c r="A10207" i="7"/>
  <c r="G10409" i="7" l="1"/>
  <c r="H10409" i="7"/>
  <c r="C10207" i="7"/>
  <c r="B10207" i="7"/>
  <c r="A10208" i="7"/>
  <c r="B10208" i="7" l="1"/>
  <c r="C10208" i="7"/>
  <c r="A10209" i="7"/>
  <c r="C10209" i="7" l="1"/>
  <c r="B10209" i="7"/>
  <c r="A10210" i="7"/>
  <c r="B10210" i="7" l="1"/>
  <c r="C10210" i="7"/>
  <c r="A10211" i="7"/>
  <c r="C10211" i="7" l="1"/>
  <c r="B10211" i="7"/>
  <c r="A10212" i="7"/>
  <c r="C10212" i="7" l="1"/>
  <c r="B10212" i="7"/>
  <c r="A10213" i="7"/>
  <c r="C10213" i="7" l="1"/>
  <c r="B10213" i="7"/>
  <c r="A10214" i="7"/>
  <c r="B10214" i="7" l="1"/>
  <c r="C10214" i="7"/>
  <c r="A10215" i="7"/>
  <c r="C10215" i="7" l="1"/>
  <c r="B10215" i="7"/>
  <c r="A10216" i="7"/>
  <c r="B10216" i="7" l="1"/>
  <c r="C10216" i="7"/>
  <c r="A10217" i="7"/>
  <c r="C10217" i="7" l="1"/>
  <c r="B10217" i="7"/>
  <c r="A10218" i="7"/>
  <c r="B10218" i="7" l="1"/>
  <c r="C10218" i="7"/>
  <c r="A10219" i="7"/>
  <c r="C10219" i="7" l="1"/>
  <c r="B10219" i="7"/>
  <c r="A10220" i="7"/>
  <c r="C10220" i="7" l="1"/>
  <c r="B10220" i="7"/>
  <c r="A10221" i="7"/>
  <c r="C10221" i="7" l="1"/>
  <c r="B10221" i="7"/>
  <c r="A10222" i="7"/>
  <c r="B10222" i="7" l="1"/>
  <c r="C10222" i="7"/>
  <c r="A10223" i="7"/>
  <c r="C10223" i="7" l="1"/>
  <c r="B10223" i="7"/>
  <c r="A10224" i="7"/>
  <c r="B10224" i="7" l="1"/>
  <c r="C10224" i="7"/>
  <c r="A10225" i="7"/>
  <c r="C10225" i="7" l="1"/>
  <c r="B10225" i="7"/>
  <c r="A10226" i="7"/>
  <c r="B10226" i="7" l="1"/>
  <c r="C10226" i="7"/>
  <c r="A10227" i="7"/>
  <c r="C10227" i="7" l="1"/>
  <c r="B10227" i="7"/>
  <c r="A10228" i="7"/>
  <c r="C10228" i="7" l="1"/>
  <c r="B10228" i="7"/>
  <c r="A10229" i="7"/>
  <c r="C10229" i="7" l="1"/>
  <c r="B10229" i="7"/>
  <c r="A10230" i="7"/>
  <c r="B10230" i="7" l="1"/>
  <c r="C10230" i="7"/>
  <c r="A10231" i="7"/>
  <c r="C10231" i="7" l="1"/>
  <c r="B10231" i="7"/>
  <c r="A10232" i="7"/>
  <c r="B10232" i="7" l="1"/>
  <c r="C10232" i="7"/>
  <c r="A10233" i="7"/>
  <c r="C10233" i="7" l="1"/>
  <c r="B10233" i="7"/>
  <c r="A10234" i="7"/>
  <c r="B10234" i="7" l="1"/>
  <c r="C10234" i="7"/>
  <c r="A10235" i="7"/>
  <c r="C10235" i="7" l="1"/>
  <c r="B10235" i="7"/>
  <c r="A10236" i="7"/>
  <c r="C10236" i="7" l="1"/>
  <c r="B10236" i="7"/>
  <c r="A10237" i="7"/>
  <c r="C10237" i="7" l="1"/>
  <c r="B10237" i="7"/>
  <c r="A10238" i="7"/>
  <c r="B10238" i="7" l="1"/>
  <c r="C10238" i="7"/>
  <c r="A10239" i="7"/>
  <c r="C10239" i="7" l="1"/>
  <c r="B10239" i="7"/>
  <c r="A10240" i="7"/>
  <c r="C10240" i="7" l="1"/>
  <c r="B10240" i="7"/>
  <c r="A10241" i="7"/>
  <c r="C10241" i="7" l="1"/>
  <c r="B10241" i="7"/>
  <c r="A10242" i="7"/>
  <c r="B10242" i="7" l="1"/>
  <c r="C10242" i="7"/>
  <c r="A10243" i="7"/>
  <c r="C10243" i="7" l="1"/>
  <c r="B10243" i="7"/>
  <c r="A10244" i="7"/>
  <c r="C10244" i="7" l="1"/>
  <c r="B10244" i="7"/>
  <c r="A10245" i="7"/>
  <c r="C10245" i="7" l="1"/>
  <c r="B10245" i="7"/>
  <c r="A10246" i="7"/>
  <c r="B10246" i="7" l="1"/>
  <c r="C10246" i="7"/>
  <c r="A10247" i="7"/>
  <c r="C10247" i="7" l="1"/>
  <c r="B10247" i="7"/>
  <c r="A10248" i="7"/>
  <c r="C10248" i="7" l="1"/>
  <c r="B10248" i="7"/>
  <c r="A10249" i="7"/>
  <c r="C10249" i="7" l="1"/>
  <c r="B10249" i="7"/>
  <c r="A10250" i="7"/>
  <c r="B10250" i="7" l="1"/>
  <c r="C10250" i="7"/>
  <c r="A10251" i="7"/>
  <c r="B10251" i="7" l="1"/>
  <c r="C10251" i="7"/>
  <c r="A10252" i="7"/>
  <c r="B10252" i="7" l="1"/>
  <c r="C10252" i="7"/>
  <c r="A10253" i="7"/>
  <c r="B10253" i="7" l="1"/>
  <c r="C10253" i="7"/>
  <c r="A10254" i="7"/>
  <c r="B10254" i="7" l="1"/>
  <c r="C10254" i="7"/>
  <c r="A10255" i="7"/>
  <c r="B10255" i="7" l="1"/>
  <c r="C10255" i="7"/>
  <c r="A10256" i="7"/>
  <c r="B10256" i="7" l="1"/>
  <c r="C10256" i="7"/>
  <c r="A10257" i="7"/>
  <c r="B10257" i="7" l="1"/>
  <c r="C10257" i="7"/>
  <c r="A10258" i="7"/>
  <c r="B10258" i="7" l="1"/>
  <c r="C10258" i="7"/>
  <c r="A10259" i="7"/>
  <c r="B10259" i="7" l="1"/>
  <c r="C10259" i="7"/>
  <c r="A10260" i="7"/>
  <c r="B10260" i="7" l="1"/>
  <c r="C10260" i="7"/>
  <c r="A10261" i="7"/>
  <c r="C10261" i="7" l="1"/>
  <c r="B10261" i="7"/>
  <c r="A10262" i="7"/>
  <c r="B10262" i="7" l="1"/>
  <c r="C10262" i="7"/>
  <c r="A10263" i="7"/>
  <c r="B10263" i="7" l="1"/>
  <c r="C10263" i="7"/>
  <c r="A10264" i="7"/>
  <c r="B10264" i="7" l="1"/>
  <c r="C10264" i="7"/>
  <c r="A10265" i="7"/>
  <c r="B10265" i="7" l="1"/>
  <c r="C10265" i="7"/>
  <c r="A10266" i="7"/>
  <c r="B10266" i="7" l="1"/>
  <c r="C10266" i="7"/>
  <c r="A10267" i="7"/>
  <c r="B10267" i="7" l="1"/>
  <c r="C10267" i="7"/>
  <c r="A10268" i="7"/>
  <c r="B10268" i="7" l="1"/>
  <c r="C10268" i="7"/>
  <c r="A10269" i="7"/>
  <c r="C10269" i="7" l="1"/>
  <c r="B10269" i="7"/>
  <c r="A10270" i="7"/>
  <c r="B10270" i="7" l="1"/>
  <c r="C10270" i="7"/>
  <c r="A10271" i="7"/>
  <c r="B10271" i="7" l="1"/>
  <c r="C10271" i="7"/>
  <c r="A10272" i="7"/>
  <c r="B10272" i="7" l="1"/>
  <c r="C10272" i="7"/>
  <c r="A10273" i="7"/>
  <c r="B10273" i="7" l="1"/>
  <c r="C10273" i="7"/>
  <c r="A10274" i="7"/>
  <c r="B10274" i="7" l="1"/>
  <c r="C10274" i="7"/>
  <c r="A10275" i="7"/>
  <c r="B10275" i="7" l="1"/>
  <c r="C10275" i="7"/>
  <c r="A10276" i="7"/>
  <c r="B10276" i="7" l="1"/>
  <c r="C10276" i="7"/>
  <c r="A10277" i="7"/>
  <c r="C10277" i="7" l="1"/>
  <c r="B10277" i="7"/>
  <c r="A10278" i="7"/>
  <c r="B10278" i="7" l="1"/>
  <c r="C10278" i="7"/>
  <c r="A10279" i="7"/>
  <c r="B10279" i="7" l="1"/>
  <c r="C10279" i="7"/>
  <c r="A10280" i="7"/>
  <c r="B10280" i="7" l="1"/>
  <c r="C10280" i="7"/>
  <c r="A10281" i="7"/>
  <c r="B10281" i="7" l="1"/>
  <c r="C10281" i="7"/>
  <c r="A10282" i="7"/>
  <c r="B10282" i="7" l="1"/>
  <c r="C10282" i="7"/>
  <c r="A10283" i="7"/>
  <c r="B10283" i="7" l="1"/>
  <c r="C10283" i="7"/>
  <c r="A10284" i="7"/>
  <c r="B10284" i="7" l="1"/>
  <c r="C10284" i="7"/>
  <c r="A10285" i="7"/>
  <c r="C10285" i="7" l="1"/>
  <c r="B10285" i="7"/>
  <c r="A10286" i="7"/>
  <c r="B10286" i="7" l="1"/>
  <c r="C10286" i="7"/>
  <c r="A10287" i="7"/>
  <c r="B10287" i="7" l="1"/>
  <c r="C10287" i="7"/>
  <c r="A10288" i="7"/>
  <c r="B10288" i="7" l="1"/>
  <c r="C10288" i="7"/>
  <c r="A10289" i="7"/>
  <c r="B10289" i="7" l="1"/>
  <c r="C10289" i="7"/>
  <c r="A10290" i="7"/>
  <c r="B10290" i="7" l="1"/>
  <c r="C10290" i="7"/>
  <c r="A10291" i="7"/>
  <c r="B10291" i="7" l="1"/>
  <c r="C10291" i="7"/>
  <c r="A10292" i="7"/>
  <c r="B10292" i="7" l="1"/>
  <c r="C10292" i="7"/>
  <c r="A10293" i="7"/>
  <c r="C10293" i="7" l="1"/>
  <c r="B10293" i="7"/>
  <c r="A10294" i="7"/>
  <c r="B10294" i="7" l="1"/>
  <c r="C10294" i="7"/>
  <c r="A10295" i="7"/>
  <c r="B10295" i="7" l="1"/>
  <c r="C10295" i="7"/>
  <c r="A10296" i="7"/>
  <c r="B10296" i="7" l="1"/>
  <c r="C10296" i="7"/>
  <c r="A10297" i="7"/>
  <c r="B10297" i="7" l="1"/>
  <c r="C10297" i="7"/>
  <c r="A10298" i="7"/>
  <c r="B10298" i="7" l="1"/>
  <c r="C10298" i="7"/>
  <c r="A10299" i="7"/>
  <c r="B10299" i="7" l="1"/>
  <c r="C10299" i="7"/>
  <c r="A10300" i="7"/>
  <c r="B10300" i="7" l="1"/>
  <c r="C10300" i="7"/>
  <c r="A10301" i="7"/>
  <c r="C10301" i="7" l="1"/>
  <c r="B10301" i="7"/>
  <c r="A10302" i="7"/>
  <c r="B10302" i="7" l="1"/>
  <c r="C10302" i="7"/>
  <c r="A10303" i="7"/>
  <c r="B10303" i="7" l="1"/>
  <c r="C10303" i="7"/>
  <c r="A10304" i="7"/>
  <c r="B10304" i="7" l="1"/>
  <c r="C10304" i="7"/>
  <c r="A10305" i="7"/>
  <c r="B10305" i="7" l="1"/>
  <c r="C10305" i="7"/>
  <c r="A10306" i="7"/>
  <c r="B10306" i="7" l="1"/>
  <c r="C10306" i="7"/>
  <c r="A10307" i="7"/>
  <c r="B10307" i="7" l="1"/>
  <c r="C10307" i="7"/>
  <c r="A10308" i="7"/>
  <c r="B10308" i="7" l="1"/>
  <c r="C10308" i="7"/>
  <c r="A10309" i="7"/>
  <c r="C10309" i="7" l="1"/>
  <c r="B10309" i="7"/>
  <c r="A10310" i="7"/>
  <c r="B10310" i="7" l="1"/>
  <c r="C10310" i="7"/>
  <c r="A10311" i="7"/>
  <c r="B10311" i="7" l="1"/>
  <c r="C10311" i="7"/>
  <c r="A10312" i="7"/>
  <c r="B10312" i="7" l="1"/>
  <c r="C10312" i="7"/>
  <c r="A10313" i="7"/>
  <c r="B10313" i="7" l="1"/>
  <c r="C10313" i="7"/>
  <c r="A10314" i="7"/>
  <c r="B10314" i="7" l="1"/>
  <c r="C10314" i="7"/>
  <c r="A10315" i="7"/>
  <c r="B10315" i="7" l="1"/>
  <c r="C10315" i="7"/>
  <c r="A10316" i="7"/>
  <c r="B10316" i="7" l="1"/>
  <c r="C10316" i="7"/>
  <c r="A10317" i="7"/>
  <c r="B10317" i="7" l="1"/>
  <c r="C10317" i="7"/>
  <c r="A10318" i="7"/>
  <c r="B10318" i="7" l="1"/>
  <c r="C10318" i="7"/>
  <c r="A10319" i="7"/>
  <c r="B10319" i="7" l="1"/>
  <c r="C10319" i="7"/>
  <c r="A10320" i="7"/>
  <c r="B10320" i="7" l="1"/>
  <c r="C10320" i="7"/>
  <c r="A10321" i="7"/>
  <c r="B10321" i="7" l="1"/>
  <c r="C10321" i="7"/>
  <c r="A10322" i="7"/>
  <c r="B10322" i="7" l="1"/>
  <c r="C10322" i="7"/>
  <c r="A10323" i="7"/>
  <c r="C10323" i="7" l="1"/>
  <c r="B10323" i="7"/>
  <c r="A10324" i="7"/>
  <c r="B10324" i="7" l="1"/>
  <c r="C10324" i="7"/>
  <c r="A10325" i="7"/>
  <c r="B10325" i="7" l="1"/>
  <c r="C10325" i="7"/>
  <c r="A10326" i="7"/>
  <c r="B10326" i="7" l="1"/>
  <c r="C10326" i="7"/>
  <c r="A10327" i="7"/>
  <c r="B10327" i="7" l="1"/>
  <c r="C10327" i="7"/>
  <c r="A10328" i="7"/>
  <c r="B10328" i="7" l="1"/>
  <c r="C10328" i="7"/>
  <c r="A10329" i="7"/>
  <c r="B10329" i="7" l="1"/>
  <c r="C10329" i="7"/>
  <c r="A10330" i="7"/>
  <c r="B10330" i="7" l="1"/>
  <c r="C10330" i="7"/>
  <c r="A10331" i="7"/>
  <c r="C10331" i="7" l="1"/>
  <c r="B10331" i="7"/>
  <c r="A10332" i="7"/>
  <c r="B10332" i="7" l="1"/>
  <c r="C10332" i="7"/>
  <c r="A10333" i="7"/>
  <c r="B10333" i="7" l="1"/>
  <c r="C10333" i="7"/>
  <c r="A10334" i="7"/>
  <c r="B10334" i="7" l="1"/>
  <c r="C10334" i="7"/>
  <c r="A10335" i="7"/>
  <c r="B10335" i="7" l="1"/>
  <c r="C10335" i="7"/>
  <c r="A10336" i="7"/>
  <c r="B10336" i="7" l="1"/>
  <c r="C10336" i="7"/>
  <c r="A10337" i="7"/>
  <c r="B10337" i="7" l="1"/>
  <c r="C10337" i="7"/>
  <c r="A10338" i="7"/>
  <c r="B10338" i="7" l="1"/>
  <c r="C10338" i="7"/>
  <c r="A10339" i="7"/>
  <c r="C10339" i="7" l="1"/>
  <c r="B10339" i="7"/>
  <c r="A10340" i="7"/>
  <c r="B10340" i="7" l="1"/>
  <c r="C10340" i="7"/>
  <c r="A10341" i="7"/>
  <c r="B10341" i="7" l="1"/>
  <c r="C10341" i="7"/>
  <c r="A10342" i="7"/>
  <c r="B10342" i="7" l="1"/>
  <c r="C10342" i="7"/>
  <c r="A10343" i="7"/>
  <c r="B10343" i="7" l="1"/>
  <c r="C10343" i="7"/>
  <c r="A10344" i="7"/>
  <c r="B10344" i="7" l="1"/>
  <c r="C10344" i="7"/>
  <c r="A10345" i="7"/>
  <c r="B10345" i="7" l="1"/>
  <c r="C10345" i="7"/>
  <c r="A10346" i="7"/>
  <c r="B10346" i="7" l="1"/>
  <c r="C10346" i="7"/>
  <c r="A10347" i="7"/>
  <c r="C10347" i="7" l="1"/>
  <c r="B10347" i="7"/>
  <c r="A10348" i="7"/>
  <c r="B10348" i="7" l="1"/>
  <c r="C10348" i="7"/>
  <c r="A10349" i="7"/>
  <c r="B10349" i="7" l="1"/>
  <c r="C10349" i="7"/>
  <c r="A10350" i="7"/>
  <c r="B10350" i="7" l="1"/>
  <c r="C10350" i="7"/>
  <c r="A10351" i="7"/>
  <c r="B10351" i="7" l="1"/>
  <c r="C10351" i="7"/>
  <c r="A10352" i="7"/>
  <c r="B10352" i="7" l="1"/>
  <c r="C10352" i="7"/>
  <c r="A10353" i="7"/>
  <c r="B10353" i="7" l="1"/>
  <c r="C10353" i="7"/>
  <c r="A10354" i="7"/>
  <c r="B10354" i="7" l="1"/>
  <c r="C10354" i="7"/>
  <c r="A10355" i="7"/>
  <c r="C10355" i="7" l="1"/>
  <c r="B10355" i="7"/>
  <c r="A10356" i="7"/>
  <c r="B10356" i="7" l="1"/>
  <c r="C10356" i="7"/>
  <c r="A10357" i="7"/>
  <c r="C10357" i="7" l="1"/>
  <c r="B10357" i="7"/>
  <c r="A10358" i="7"/>
  <c r="B10358" i="7" l="1"/>
  <c r="C10358" i="7"/>
  <c r="A10359" i="7"/>
  <c r="B10359" i="7" l="1"/>
  <c r="C10359" i="7"/>
  <c r="A10360" i="7"/>
  <c r="B10360" i="7" l="1"/>
  <c r="C10360" i="7"/>
  <c r="A10361" i="7"/>
  <c r="B10361" i="7" l="1"/>
  <c r="C10361" i="7"/>
  <c r="B5" i="9"/>
  <c r="B8" i="9"/>
  <c r="B6" i="9"/>
  <c r="B7" i="9"/>
  <c r="G6" i="9" l="1"/>
  <c r="G4" i="9"/>
</calcChain>
</file>

<file path=xl/sharedStrings.xml><?xml version="1.0" encoding="utf-8"?>
<sst xmlns="http://schemas.openxmlformats.org/spreadsheetml/2006/main" count="6068" uniqueCount="5230">
  <si>
    <t>cx</t>
    <phoneticPr fontId="1" type="noConversion"/>
  </si>
  <si>
    <t>cy</t>
    <phoneticPr fontId="1" type="noConversion"/>
  </si>
  <si>
    <t>转向</t>
    <phoneticPr fontId="1" type="noConversion"/>
  </si>
  <si>
    <t>转向线半径系数</t>
    <phoneticPr fontId="1" type="noConversion"/>
  </si>
  <si>
    <t>键相位置</t>
    <phoneticPr fontId="1" type="noConversion"/>
  </si>
  <si>
    <t>圆心</t>
    <phoneticPr fontId="1" type="noConversion"/>
  </si>
  <si>
    <t>键相线长</t>
    <phoneticPr fontId="1" type="noConversion"/>
  </si>
  <si>
    <t>转向线起始角度</t>
    <phoneticPr fontId="1" type="noConversion"/>
  </si>
  <si>
    <t>键相探头</t>
    <phoneticPr fontId="1" type="noConversion"/>
  </si>
  <si>
    <t>X向位置</t>
    <phoneticPr fontId="1" type="noConversion"/>
  </si>
  <si>
    <t>X向探头</t>
    <phoneticPr fontId="1" type="noConversion"/>
  </si>
  <si>
    <t>X向线长</t>
    <phoneticPr fontId="1" type="noConversion"/>
  </si>
  <si>
    <t>X向线宽</t>
    <phoneticPr fontId="1" type="noConversion"/>
  </si>
  <si>
    <t>X向线距离系数</t>
    <phoneticPr fontId="1" type="noConversion"/>
  </si>
  <si>
    <t>键相线距离系数</t>
    <phoneticPr fontId="1" type="noConversion"/>
  </si>
  <si>
    <t>键相线宽</t>
    <phoneticPr fontId="1" type="noConversion"/>
  </si>
  <si>
    <t>Y向探头</t>
    <phoneticPr fontId="1" type="noConversion"/>
  </si>
  <si>
    <t>YX向线长</t>
    <phoneticPr fontId="1" type="noConversion"/>
  </si>
  <si>
    <t>Y向线距离系数</t>
    <phoneticPr fontId="1" type="noConversion"/>
  </si>
  <si>
    <t>Y向线宽</t>
    <phoneticPr fontId="1" type="noConversion"/>
  </si>
  <si>
    <t>Y向位置</t>
    <phoneticPr fontId="1" type="noConversion"/>
  </si>
  <si>
    <t>探头线长</t>
    <phoneticPr fontId="1" type="noConversion"/>
  </si>
  <si>
    <t>探头线宽</t>
    <phoneticPr fontId="1" type="noConversion"/>
  </si>
  <si>
    <t>幅值</t>
    <phoneticPr fontId="1" type="noConversion"/>
  </si>
  <si>
    <t>相位</t>
    <phoneticPr fontId="1" type="noConversion"/>
  </si>
  <si>
    <t>X向振动一倍频Ax</t>
    <phoneticPr fontId="1" type="noConversion"/>
  </si>
  <si>
    <t>X向滞后角</t>
    <phoneticPr fontId="1" type="noConversion"/>
  </si>
  <si>
    <t>转向系数</t>
    <phoneticPr fontId="1" type="noConversion"/>
  </si>
  <si>
    <t>箭头线长</t>
    <phoneticPr fontId="1" type="noConversion"/>
  </si>
  <si>
    <t>基线</t>
    <phoneticPr fontId="1" type="noConversion"/>
  </si>
  <si>
    <t>X向振动矢量</t>
    <phoneticPr fontId="1" type="noConversion"/>
  </si>
  <si>
    <t>夹角</t>
    <phoneticPr fontId="1" type="noConversion"/>
  </si>
  <si>
    <t>X向</t>
    <phoneticPr fontId="1" type="noConversion"/>
  </si>
  <si>
    <t>夹角</t>
    <phoneticPr fontId="1" type="noConversion"/>
  </si>
  <si>
    <t>夹角</t>
    <phoneticPr fontId="1" type="noConversion"/>
  </si>
  <si>
    <t>圆图半径</t>
    <phoneticPr fontId="1" type="noConversion"/>
  </si>
  <si>
    <t>Y向振动一倍频Ay</t>
    <phoneticPr fontId="1" type="noConversion"/>
  </si>
  <si>
    <t>Y向滞后角</t>
    <phoneticPr fontId="1" type="noConversion"/>
  </si>
  <si>
    <t>Y向</t>
    <phoneticPr fontId="1" type="noConversion"/>
  </si>
  <si>
    <t>Y向振动矢量</t>
    <phoneticPr fontId="1" type="noConversion"/>
  </si>
  <si>
    <t>显示设置</t>
    <phoneticPr fontId="1" type="noConversion"/>
  </si>
  <si>
    <t>转速rpm</t>
    <phoneticPr fontId="1" type="noConversion"/>
  </si>
  <si>
    <t>加重半径mm</t>
    <phoneticPr fontId="1" type="noConversion"/>
  </si>
  <si>
    <t>幅值μm</t>
    <phoneticPr fontId="1" type="noConversion"/>
  </si>
  <si>
    <t>相位°</t>
    <phoneticPr fontId="1" type="noConversion"/>
  </si>
  <si>
    <t>键相位置°</t>
    <phoneticPr fontId="1" type="noConversion"/>
  </si>
  <si>
    <t>X向位置°</t>
    <phoneticPr fontId="1" type="noConversion"/>
  </si>
  <si>
    <t>Y向位置°</t>
    <phoneticPr fontId="1" type="noConversion"/>
  </si>
  <si>
    <t>Y向滞后角°</t>
    <phoneticPr fontId="1" type="noConversion"/>
  </si>
  <si>
    <t>X向滞后角°</t>
    <phoneticPr fontId="1" type="noConversion"/>
  </si>
  <si>
    <t>转子质量kg</t>
    <phoneticPr fontId="1" type="noConversion"/>
  </si>
  <si>
    <t>试加重质量g</t>
    <phoneticPr fontId="1" type="noConversion"/>
  </si>
  <si>
    <t>试加重产生激振力kgf</t>
    <phoneticPr fontId="1" type="noConversion"/>
  </si>
  <si>
    <t>加重1g产生激振力kgf</t>
    <phoneticPr fontId="1" type="noConversion"/>
  </si>
  <si>
    <t>Px,Py为不平衡矢量，
试加重在它反向</t>
    <phoneticPr fontId="1" type="noConversion"/>
  </si>
  <si>
    <t>数据</t>
    <phoneticPr fontId="1" type="noConversion"/>
  </si>
  <si>
    <t>Ax夹角线半径系数</t>
    <phoneticPr fontId="1" type="noConversion"/>
  </si>
  <si>
    <t>Px夹角线半径系数</t>
    <phoneticPr fontId="1" type="noConversion"/>
  </si>
  <si>
    <t>Ay夹角线半径系数</t>
    <phoneticPr fontId="1" type="noConversion"/>
  </si>
  <si>
    <t>Py夹角线半径系数</t>
    <phoneticPr fontId="1" type="noConversion"/>
  </si>
  <si>
    <t>按X向加重位置
(键相逆转向)°</t>
    <phoneticPr fontId="1" type="noConversion"/>
  </si>
  <si>
    <t>按Y向加重位置
(键相逆转向)°</t>
    <phoneticPr fontId="1" type="noConversion"/>
  </si>
  <si>
    <t>试加重激振力与转子
重力比%</t>
    <phoneticPr fontId="1" type="noConversion"/>
  </si>
  <si>
    <t>kg</t>
    <phoneticPr fontId="1" type="noConversion"/>
  </si>
  <si>
    <t>m</t>
    <phoneticPr fontId="1" type="noConversion"/>
  </si>
  <si>
    <t>灵敏系数</t>
    <phoneticPr fontId="1" type="noConversion"/>
  </si>
  <si>
    <t>um</t>
    <phoneticPr fontId="1" type="noConversion"/>
  </si>
  <si>
    <t>转速</t>
    <phoneticPr fontId="1" type="noConversion"/>
  </si>
  <si>
    <t>转子质量kg</t>
    <phoneticPr fontId="1" type="noConversion"/>
  </si>
  <si>
    <t>试加重位置</t>
    <phoneticPr fontId="1" type="noConversion"/>
  </si>
  <si>
    <t>原始振动</t>
    <phoneticPr fontId="1" type="noConversion"/>
  </si>
  <si>
    <t>加后振动</t>
    <phoneticPr fontId="1" type="noConversion"/>
  </si>
  <si>
    <t>不去试重
加重位置</t>
    <phoneticPr fontId="1" type="noConversion"/>
  </si>
  <si>
    <t>去试重
加重位置</t>
    <phoneticPr fontId="1" type="noConversion"/>
  </si>
  <si>
    <t>去试重</t>
    <phoneticPr fontId="1" type="noConversion"/>
  </si>
  <si>
    <t>不去试重</t>
    <phoneticPr fontId="1" type="noConversion"/>
  </si>
  <si>
    <t>时间</t>
  </si>
  <si>
    <t>转速</t>
  </si>
  <si>
    <t>风机水平振动</t>
  </si>
  <si>
    <t>风机垂直振动</t>
  </si>
  <si>
    <t>通频幅值</t>
  </si>
  <si>
    <t>1X分量</t>
  </si>
  <si>
    <t>110.3∠73°</t>
  </si>
  <si>
    <t>2.37∠343°</t>
  </si>
  <si>
    <t>103.3∠72°</t>
  </si>
  <si>
    <t>1.15∠2°</t>
  </si>
  <si>
    <t>99.3∠71°</t>
  </si>
  <si>
    <t>6.88∠342°</t>
  </si>
  <si>
    <t>94.46∠71°</t>
  </si>
  <si>
    <t>9.08∠340°</t>
  </si>
  <si>
    <t>90.66∠71°</t>
  </si>
  <si>
    <t>10.63∠343°</t>
  </si>
  <si>
    <t>87.57∠70°</t>
  </si>
  <si>
    <t>7.3∠336°</t>
  </si>
  <si>
    <t>83.94∠72°</t>
  </si>
  <si>
    <t>15.4∠332°</t>
  </si>
  <si>
    <t>82.19∠70°</t>
  </si>
  <si>
    <t>9.81∠337°</t>
  </si>
  <si>
    <t>80.24∠70°</t>
  </si>
  <si>
    <t>16.71∠340°</t>
  </si>
  <si>
    <t>77.33∠71°</t>
  </si>
  <si>
    <t>7.01∠344°</t>
  </si>
  <si>
    <t>76.54∠70°</t>
  </si>
  <si>
    <t>13.36∠342°</t>
  </si>
  <si>
    <t>74.6∠70°</t>
  </si>
  <si>
    <t>11.9∠343°</t>
  </si>
  <si>
    <t>73.24∠70°</t>
  </si>
  <si>
    <t>35.37∠354°</t>
  </si>
  <si>
    <t>72.65∠70°</t>
  </si>
  <si>
    <t>15.89∠357°</t>
  </si>
  <si>
    <t>70.36∠71°</t>
  </si>
  <si>
    <t>10.06∠345°</t>
  </si>
  <si>
    <t>70.27∠71°</t>
  </si>
  <si>
    <t>11.97∠338°</t>
  </si>
  <si>
    <t>69.5∠71°</t>
  </si>
  <si>
    <t>22.25∠345°</t>
  </si>
  <si>
    <t>67.53∠70°</t>
  </si>
  <si>
    <t>8.89∠343°</t>
  </si>
  <si>
    <t>67.03∠69°</t>
  </si>
  <si>
    <t>22.39∠1°</t>
  </si>
  <si>
    <t>61.89∠71°</t>
  </si>
  <si>
    <t>30.61∠3°</t>
  </si>
  <si>
    <t>62.5∠70°</t>
  </si>
  <si>
    <t>6.41∠333°</t>
  </si>
  <si>
    <t>61.58∠70°</t>
  </si>
  <si>
    <t>10.25∠346°</t>
  </si>
  <si>
    <t>60.79∠71°</t>
  </si>
  <si>
    <t>16.69∠346°</t>
  </si>
  <si>
    <t>60.77∠69°</t>
  </si>
  <si>
    <t>12.95∠342°</t>
  </si>
  <si>
    <t>60.01∠70°</t>
  </si>
  <si>
    <t>9.5∠353°</t>
  </si>
  <si>
    <t>61.04∠70°</t>
  </si>
  <si>
    <t>30.99∠2°</t>
  </si>
  <si>
    <t>59.07∠71°</t>
  </si>
  <si>
    <t>7.41∠336°</t>
  </si>
  <si>
    <t>60.3∠70°</t>
  </si>
  <si>
    <t>7.83∠338°</t>
  </si>
  <si>
    <t>58.76∠69°</t>
  </si>
  <si>
    <t>9.97∠349°</t>
  </si>
  <si>
    <t>59.72∠69°</t>
  </si>
  <si>
    <t>2.38∠322°</t>
  </si>
  <si>
    <t>59.1∠71°</t>
  </si>
  <si>
    <t>12.79∠342°</t>
  </si>
  <si>
    <t>58.83∠70°</t>
  </si>
  <si>
    <t>15.05∠339°</t>
  </si>
  <si>
    <t>58.56∠71°</t>
  </si>
  <si>
    <t>24.39∠352°</t>
  </si>
  <si>
    <t>58.17∠70°</t>
  </si>
  <si>
    <t>20.18∠345°</t>
  </si>
  <si>
    <t>58.43∠70°</t>
  </si>
  <si>
    <t>32.41∠345°</t>
  </si>
  <si>
    <t>57.42∠71°</t>
  </si>
  <si>
    <t>11.61∠350°</t>
  </si>
  <si>
    <t>57.37∠71°</t>
  </si>
  <si>
    <t>8.27∠2°</t>
  </si>
  <si>
    <t>56.76∠70°</t>
  </si>
  <si>
    <t>4.94∠356°</t>
  </si>
  <si>
    <t>58.89∠71°</t>
  </si>
  <si>
    <t>5.8∠3°</t>
  </si>
  <si>
    <t>56.95∠71°</t>
  </si>
  <si>
    <t>28.31∠350°</t>
  </si>
  <si>
    <t>57.39∠70°</t>
  </si>
  <si>
    <t>33.62∠353°</t>
  </si>
  <si>
    <t>56.31∠70°</t>
  </si>
  <si>
    <t>15.88∠359°</t>
  </si>
  <si>
    <t>58.06∠71°</t>
  </si>
  <si>
    <t>20.98∠346°</t>
  </si>
  <si>
    <t>57.65∠71°</t>
  </si>
  <si>
    <t>31.12∠350°</t>
  </si>
  <si>
    <t>56.97∠70°</t>
  </si>
  <si>
    <t>18.47∠348°</t>
  </si>
  <si>
    <t>57.11∠71°</t>
  </si>
  <si>
    <t>9.13∠322°</t>
  </si>
  <si>
    <t>56.46∠70°</t>
  </si>
  <si>
    <t>12.75∠345°</t>
  </si>
  <si>
    <t>57.73∠70°</t>
  </si>
  <si>
    <t>26.34∠360°</t>
  </si>
  <si>
    <t>56.65∠70°</t>
  </si>
  <si>
    <t>16.05∠346°</t>
  </si>
  <si>
    <t>57.25∠71°</t>
  </si>
  <si>
    <t>逆时针</t>
  </si>
  <si>
    <t>831.9∠61.7°</t>
  </si>
  <si>
    <t>4.02∠341°</t>
    <phoneticPr fontId="1" type="noConversion"/>
  </si>
  <si>
    <t>电机驱动端水平</t>
  </si>
  <si>
    <t>电机自由端水平</t>
  </si>
  <si>
    <t>0.25∠73°</t>
  </si>
  <si>
    <t>136.5∠69°</t>
  </si>
  <si>
    <t>3.31∠351°</t>
  </si>
  <si>
    <t>12.06∠173°</t>
  </si>
  <si>
    <t>0.21∠59°</t>
  </si>
  <si>
    <t>130.5∠68°</t>
  </si>
  <si>
    <t>3.23∠349°</t>
  </si>
  <si>
    <t>11.44∠174°</t>
  </si>
  <si>
    <t>0.22∠57°</t>
  </si>
  <si>
    <t>123∠66°</t>
  </si>
  <si>
    <t>2.83∠343°</t>
  </si>
  <si>
    <t>11.11∠174°</t>
  </si>
  <si>
    <t>0.28∠76°</t>
  </si>
  <si>
    <t>118∠66°</t>
  </si>
  <si>
    <t>3.05∠326°</t>
  </si>
  <si>
    <t>10.79∠178°</t>
  </si>
  <si>
    <t>0.3∠85°</t>
  </si>
  <si>
    <t>112.8∠66°</t>
  </si>
  <si>
    <t>2.98∠326°</t>
  </si>
  <si>
    <t>10.23∠177°</t>
  </si>
  <si>
    <t>0.29∠89°</t>
  </si>
  <si>
    <t>108.3∠66°</t>
  </si>
  <si>
    <t>2.93∠314°</t>
  </si>
  <si>
    <t>10.27∠180°</t>
  </si>
  <si>
    <t>0.3∠87°</t>
  </si>
  <si>
    <t>105.8∠65°</t>
  </si>
  <si>
    <t>3.57∠312°</t>
  </si>
  <si>
    <t>9.6∠181°</t>
  </si>
  <si>
    <t>0.31∠88°</t>
  </si>
  <si>
    <t>102.4∠66°</t>
  </si>
  <si>
    <t>3.42∠308°</t>
  </si>
  <si>
    <t>9.71∠184°</t>
  </si>
  <si>
    <t>0.29∠92°</t>
  </si>
  <si>
    <t>100.8∠65°</t>
  </si>
  <si>
    <t>3.57∠305°</t>
  </si>
  <si>
    <t>9.25∠183°</t>
  </si>
  <si>
    <t>0.27∠94°</t>
  </si>
  <si>
    <t>97.18∠66°</t>
  </si>
  <si>
    <t>3.77∠307°</t>
  </si>
  <si>
    <t>8.81∠184°</t>
  </si>
  <si>
    <t>0.29∠91°</t>
  </si>
  <si>
    <t>97.19∠65°</t>
  </si>
  <si>
    <t>4.02∠301°</t>
  </si>
  <si>
    <t>8.98∠188°</t>
  </si>
  <si>
    <t>0.27∠91°</t>
  </si>
  <si>
    <t>92.9∠65°</t>
  </si>
  <si>
    <t>4.18∠304°</t>
  </si>
  <si>
    <t>8.18∠185°</t>
  </si>
  <si>
    <t>0.32∠90°</t>
  </si>
  <si>
    <t>93.25∠64°</t>
  </si>
  <si>
    <t>4.16∠302°</t>
  </si>
  <si>
    <t>8.42∠186°</t>
  </si>
  <si>
    <t>0.3∠94°</t>
  </si>
  <si>
    <t>89.49∠65°</t>
  </si>
  <si>
    <t>4∠294°</t>
  </si>
  <si>
    <t>8.93∠188°</t>
  </si>
  <si>
    <t>0.33∠89°</t>
  </si>
  <si>
    <t>91.05∠65°</t>
  </si>
  <si>
    <t>4.08∠298°</t>
  </si>
  <si>
    <t>8.29∠188°</t>
  </si>
  <si>
    <t>0.3∠90°</t>
  </si>
  <si>
    <t>88.43∠64°</t>
  </si>
  <si>
    <t>4.51∠297°</t>
  </si>
  <si>
    <t>7.91∠190°</t>
  </si>
  <si>
    <t>3.98∠300°</t>
  </si>
  <si>
    <t>7.82∠185°</t>
  </si>
  <si>
    <t>0.32∠89°</t>
  </si>
  <si>
    <t>87.01∠64°</t>
  </si>
  <si>
    <t>4.21∠298°</t>
  </si>
  <si>
    <t>7.48∠186°</t>
  </si>
  <si>
    <t>0.31∠91°</t>
  </si>
  <si>
    <t>86.18∠65°</t>
  </si>
  <si>
    <t>4.36∠290°</t>
  </si>
  <si>
    <t>8.31∠190°</t>
  </si>
  <si>
    <t>86.95∠64°</t>
  </si>
  <si>
    <t>4.39∠298°</t>
  </si>
  <si>
    <t>7.71∠190°</t>
  </si>
  <si>
    <t>0.31∠89°</t>
  </si>
  <si>
    <t>84.96∠64°</t>
  </si>
  <si>
    <t>4.37∠295°</t>
  </si>
  <si>
    <t>7.65∠191°</t>
  </si>
  <si>
    <t>84.95∠66°</t>
  </si>
  <si>
    <t>4.15∠292°</t>
  </si>
  <si>
    <t>8.22∠191°</t>
  </si>
  <si>
    <t>84.57∠64°</t>
  </si>
  <si>
    <t>4.36∠299°</t>
  </si>
  <si>
    <t>7.32∠192°</t>
  </si>
  <si>
    <t>0.35∠91°</t>
  </si>
  <si>
    <t>82.75∠65°</t>
  </si>
  <si>
    <t>4.12∠294°</t>
  </si>
  <si>
    <t>7.78∠190°</t>
  </si>
  <si>
    <t>0.3∠91°</t>
  </si>
  <si>
    <t>82.47∠65°</t>
  </si>
  <si>
    <t>0.12∠96°</t>
  </si>
  <si>
    <t>5.16∠127°</t>
  </si>
  <si>
    <t>7.16∠294°</t>
  </si>
  <si>
    <t>4.13∠23°</t>
  </si>
  <si>
    <t>0.32∠91°</t>
  </si>
  <si>
    <t>81.66∠65°</t>
  </si>
  <si>
    <t>4.64∠294°</t>
  </si>
  <si>
    <t>7.76∠194°</t>
  </si>
  <si>
    <t>6.84∠190°</t>
  </si>
  <si>
    <t>0.31∠90°</t>
  </si>
  <si>
    <t>80.34∠65°</t>
  </si>
  <si>
    <t>4.28∠298°</t>
  </si>
  <si>
    <t>81.67∠64°</t>
  </si>
  <si>
    <t>4.93∠294°</t>
  </si>
  <si>
    <t>7.19∠197°</t>
  </si>
  <si>
    <t>0.14∠84°</t>
  </si>
  <si>
    <t>5.25∠127°</t>
  </si>
  <si>
    <t>6.96∠299°</t>
  </si>
  <si>
    <t>4.04∠22°</t>
  </si>
  <si>
    <t>79.68∠65°</t>
  </si>
  <si>
    <t>4.74∠293°</t>
  </si>
  <si>
    <t>7.18∠194°</t>
  </si>
  <si>
    <t>80.61∠64°</t>
  </si>
  <si>
    <t>4.34∠292°</t>
  </si>
  <si>
    <t>7.17∠191°</t>
  </si>
  <si>
    <t>0.28∠93°</t>
  </si>
  <si>
    <t>78.18∠64°</t>
  </si>
  <si>
    <t>4.46∠296°</t>
  </si>
  <si>
    <t>6.98∠191°</t>
  </si>
  <si>
    <t>80.62∠65°</t>
  </si>
  <si>
    <t>4.19∠298°</t>
  </si>
  <si>
    <t>7.05∠191°</t>
  </si>
  <si>
    <t>79.61∠65°</t>
  </si>
  <si>
    <t>7.02∠190°</t>
  </si>
  <si>
    <t>0.27∠93°</t>
  </si>
  <si>
    <t>78.9∠65°</t>
  </si>
  <si>
    <t>4.18∠293°</t>
  </si>
  <si>
    <t>7.57∠192°</t>
  </si>
  <si>
    <t>79.41∠64°</t>
  </si>
  <si>
    <t>4.57∠295°</t>
  </si>
  <si>
    <t>7.28∠194°</t>
  </si>
  <si>
    <t>7.1∠192°</t>
  </si>
  <si>
    <t>0.31∠92°</t>
  </si>
  <si>
    <t>78.75∠64°</t>
  </si>
  <si>
    <t>4.68∠288°</t>
  </si>
  <si>
    <t>0.28∠94°</t>
  </si>
  <si>
    <t>4.4∠294°</t>
  </si>
  <si>
    <t>7.09∠192°</t>
  </si>
  <si>
    <t>0.25∠94°</t>
  </si>
  <si>
    <t>79.29∠64°</t>
  </si>
  <si>
    <t>4.5∠297°</t>
  </si>
  <si>
    <t>6.72∠192°</t>
  </si>
  <si>
    <t>0.19∠94°</t>
  </si>
  <si>
    <t>78.79∠64°</t>
  </si>
  <si>
    <t>4.77∠295°</t>
  </si>
  <si>
    <t>7.08∠196°</t>
  </si>
  <si>
    <t>0.29∠93°</t>
  </si>
  <si>
    <t>79.05∠64°</t>
  </si>
  <si>
    <t>4.42∠294°</t>
  </si>
  <si>
    <t>6.8∠191°</t>
  </si>
  <si>
    <t>0.27∠92°</t>
  </si>
  <si>
    <t>78.01∠64°</t>
  </si>
  <si>
    <t>4.49∠293°</t>
  </si>
  <si>
    <t>6.79∠193°</t>
  </si>
  <si>
    <t>80∠64°</t>
  </si>
  <si>
    <t>4.45∠295°</t>
  </si>
  <si>
    <t>6.85∠192°</t>
  </si>
  <si>
    <t>0.32∠88°</t>
  </si>
  <si>
    <t>78.64∠65°</t>
  </si>
  <si>
    <t>4.13∠295°</t>
  </si>
  <si>
    <t>7.2∠191°</t>
  </si>
  <si>
    <t>79.71∠63°</t>
  </si>
  <si>
    <t>4.5∠292°</t>
  </si>
  <si>
    <t>7.37∠194°</t>
  </si>
  <si>
    <t>78.66∠64°</t>
  </si>
  <si>
    <t>4.25∠295°</t>
  </si>
  <si>
    <t>6.93∠190°</t>
  </si>
  <si>
    <t>78.13∠65°</t>
  </si>
  <si>
    <t>6.91∠193°</t>
  </si>
  <si>
    <t>0.34∠90°</t>
  </si>
  <si>
    <t>79.24∠65°</t>
  </si>
  <si>
    <t>4.16∠296°</t>
  </si>
  <si>
    <t>6.83∠191°</t>
  </si>
  <si>
    <t>77.65∠65°</t>
  </si>
  <si>
    <t>4.29∠297°</t>
  </si>
  <si>
    <t>7.26∠193°</t>
  </si>
  <si>
    <t>0.28∠91°</t>
  </si>
  <si>
    <t>78.31∠64°</t>
  </si>
  <si>
    <t>4.69∠294°</t>
  </si>
  <si>
    <t>7.08∠195°</t>
  </si>
  <si>
    <t>78.29∠64°</t>
  </si>
  <si>
    <t>4.55∠290°</t>
  </si>
  <si>
    <t>0.29∠94°</t>
  </si>
  <si>
    <t>79.3∠64°</t>
  </si>
  <si>
    <t>4.73∠294°</t>
  </si>
  <si>
    <t>6.93∠195°</t>
  </si>
  <si>
    <t>78.25∠64°</t>
  </si>
  <si>
    <t>4.7∠295°</t>
  </si>
  <si>
    <t>6.6∠192°</t>
  </si>
  <si>
    <t>78.84∠64°</t>
  </si>
  <si>
    <t>4.5∠298°</t>
  </si>
  <si>
    <t>6.55∠192°</t>
  </si>
  <si>
    <t>0.33∠88°</t>
  </si>
  <si>
    <t>78.1∠64°</t>
  </si>
  <si>
    <t>4.33∠293°</t>
  </si>
  <si>
    <t>78.86∠65°</t>
  </si>
  <si>
    <t>4.23∠298°</t>
  </si>
  <si>
    <t>6.92∠192°</t>
  </si>
  <si>
    <t>78.19∠65°</t>
  </si>
  <si>
    <t>4.68∠293°</t>
  </si>
  <si>
    <t>7.45∠196°</t>
  </si>
  <si>
    <t>0.32∠92°</t>
  </si>
  <si>
    <t>78.97∠64°</t>
  </si>
  <si>
    <t>4.23∠295°</t>
  </si>
  <si>
    <t>6.96∠192°</t>
  </si>
  <si>
    <t>79.22∠64°</t>
  </si>
  <si>
    <t>4.52∠297°</t>
  </si>
  <si>
    <t>6.57∠193°</t>
  </si>
  <si>
    <t>0.3∠92°</t>
  </si>
  <si>
    <t>77.14∠65°</t>
  </si>
  <si>
    <t>4.48∠295°</t>
  </si>
  <si>
    <t>6.69∠193°</t>
  </si>
  <si>
    <t>78.74∠64°</t>
  </si>
  <si>
    <t>4.44∠293°</t>
  </si>
  <si>
    <t>6.9∠192°</t>
  </si>
  <si>
    <t>0.28∠92°</t>
  </si>
  <si>
    <t>77.82∠65°</t>
  </si>
  <si>
    <t>4.31∠296°</t>
  </si>
  <si>
    <t>6.85∠194°</t>
  </si>
  <si>
    <t>77.72∠65°</t>
  </si>
  <si>
    <t>4.34∠294°</t>
  </si>
  <si>
    <t>7.09∠194°</t>
  </si>
  <si>
    <t>78.17∠65°</t>
  </si>
  <si>
    <t>7.22∠197°</t>
  </si>
  <si>
    <t>76.5∠65°</t>
  </si>
  <si>
    <t>4.31∠297°</t>
  </si>
  <si>
    <t>6.82∠192°</t>
  </si>
  <si>
    <t>78.43∠64°</t>
  </si>
  <si>
    <t>4.29∠296°</t>
  </si>
  <si>
    <t>6.92∠193°</t>
  </si>
  <si>
    <t>77.01∠64°</t>
  </si>
  <si>
    <t>4.42∠298°</t>
  </si>
  <si>
    <t>6.31∠191°</t>
  </si>
  <si>
    <t>77.95∠64°</t>
  </si>
  <si>
    <t>4.33∠298°</t>
  </si>
  <si>
    <t>6.81∠193°</t>
  </si>
  <si>
    <t>76.32∠64°</t>
  </si>
  <si>
    <t>7.1∠190°</t>
  </si>
  <si>
    <t>77.02∠64°</t>
  </si>
  <si>
    <t>4.26∠292°</t>
  </si>
  <si>
    <t>7.01∠191°</t>
  </si>
  <si>
    <t>77.09∠64°</t>
  </si>
  <si>
    <t>4.33∠289°</t>
  </si>
  <si>
    <t>7.29∠192°</t>
  </si>
  <si>
    <t>76.97∠64°</t>
  </si>
  <si>
    <t>4.65∠289°</t>
  </si>
  <si>
    <t>7.35∠195°</t>
  </si>
  <si>
    <t>77.78∠64°</t>
  </si>
  <si>
    <t>4.74∠294°</t>
  </si>
  <si>
    <t>6.9∠196°</t>
  </si>
  <si>
    <t>76.62∠65°</t>
  </si>
  <si>
    <t>6.75∠195°</t>
  </si>
  <si>
    <t>77.35∠64°</t>
  </si>
  <si>
    <t>4.72∠293°</t>
  </si>
  <si>
    <t>6.91∠191°</t>
  </si>
  <si>
    <t>77.93∠64°</t>
  </si>
  <si>
    <t>4.34∠296°</t>
  </si>
  <si>
    <t>6.88∠193°</t>
  </si>
  <si>
    <t>76.84∠64°</t>
  </si>
  <si>
    <t>4.4∠291°</t>
  </si>
  <si>
    <t>77.24∠63°</t>
  </si>
  <si>
    <t>4.21∠291°</t>
  </si>
  <si>
    <t>7.15∠193°</t>
  </si>
  <si>
    <t>75.95∠64°</t>
  </si>
  <si>
    <t>4.36∠294°</t>
  </si>
  <si>
    <t>7.03∠193°</t>
  </si>
  <si>
    <t>78.16∠64°</t>
  </si>
  <si>
    <t>4.41∠294°</t>
  </si>
  <si>
    <t>6.9∠194°</t>
  </si>
  <si>
    <t>77.19∠65°</t>
  </si>
  <si>
    <t>4.49∠297°</t>
  </si>
  <si>
    <t>6.56∠194°</t>
  </si>
  <si>
    <t>77.85∠64°</t>
  </si>
  <si>
    <t>4.24∠295°</t>
  </si>
  <si>
    <t>7.16∠193°</t>
  </si>
  <si>
    <t>77.91∠64°</t>
  </si>
  <si>
    <t>4.17∠296°</t>
  </si>
  <si>
    <t>6.8∠189°</t>
  </si>
  <si>
    <t>76.6∠64°</t>
  </si>
  <si>
    <t>4.35∠294°</t>
  </si>
  <si>
    <t>6.8∠192°</t>
  </si>
  <si>
    <t>77.42∠65°</t>
  </si>
  <si>
    <t>3.95∠295°</t>
  </si>
  <si>
    <t>6.99∠191°</t>
  </si>
  <si>
    <t>76.76∠64°</t>
  </si>
  <si>
    <t>6.97∠193°</t>
  </si>
  <si>
    <t>78.69∠65°</t>
  </si>
  <si>
    <t>4.46∠294°</t>
  </si>
  <si>
    <t>6.94∠194°</t>
  </si>
  <si>
    <t>77.11∠65°</t>
  </si>
  <si>
    <t>4.56∠294°</t>
  </si>
  <si>
    <t>7.14∠196°</t>
  </si>
  <si>
    <t>76.62∠64°</t>
  </si>
  <si>
    <t>4.17∠298°</t>
  </si>
  <si>
    <t>6.52∠190°</t>
  </si>
  <si>
    <t>4.45∠290°</t>
  </si>
  <si>
    <t>75.61∠64°</t>
  </si>
  <si>
    <t>77.54∠64°</t>
  </si>
  <si>
    <t>4.24∠293°</t>
  </si>
  <si>
    <t>7.14∠193°</t>
  </si>
  <si>
    <t>76.41∠64°</t>
  </si>
  <si>
    <t>3.9∠299°</t>
  </si>
  <si>
    <t>6.85∠189°</t>
  </si>
  <si>
    <t>77.5∠64°</t>
  </si>
  <si>
    <t>6.74∠193°</t>
  </si>
  <si>
    <t>76.07∠65°</t>
  </si>
  <si>
    <t>4.57∠297°</t>
  </si>
  <si>
    <t>6.95∠193°</t>
  </si>
  <si>
    <t>0.26∠94°</t>
  </si>
  <si>
    <t>76.71∠64°</t>
  </si>
  <si>
    <t>4.07∠293°</t>
  </si>
  <si>
    <t>7.2∠192°</t>
  </si>
  <si>
    <t>0.29∠90°</t>
  </si>
  <si>
    <t>76.85∠64°</t>
  </si>
  <si>
    <t>4.04∠295°</t>
  </si>
  <si>
    <t>6.86∠191°</t>
  </si>
  <si>
    <t>75.57∠64°</t>
  </si>
  <si>
    <t>4.3∠295°</t>
  </si>
  <si>
    <t>7.13∠193°</t>
  </si>
  <si>
    <t>76.6∠65°</t>
  </si>
  <si>
    <t>4.36∠291°</t>
  </si>
  <si>
    <t>76.14∠65°</t>
  </si>
  <si>
    <t>4.28∠292°</t>
  </si>
  <si>
    <t>7.21∠193°</t>
  </si>
  <si>
    <t>76.68∠65°</t>
  </si>
  <si>
    <t>3.97∠296°</t>
  </si>
  <si>
    <t>6.75∠190°</t>
  </si>
  <si>
    <t>76.35∠65°</t>
  </si>
  <si>
    <t>4.35∠295°</t>
  </si>
  <si>
    <t>6.77∠192°</t>
  </si>
  <si>
    <t>76.7∠64°</t>
  </si>
  <si>
    <t>4.11∠297°</t>
  </si>
  <si>
    <t>6.69∠192°</t>
  </si>
  <si>
    <t>76.98∠64°</t>
  </si>
  <si>
    <t>4.32∠294°</t>
  </si>
  <si>
    <t>7∠194°</t>
  </si>
  <si>
    <t>3.96∠295°</t>
  </si>
  <si>
    <t>6.96∠189°</t>
  </si>
  <si>
    <t>75.84∠65°</t>
  </si>
  <si>
    <t>4∠295°</t>
  </si>
  <si>
    <t>75.41∠64°</t>
  </si>
  <si>
    <t>3.94∠294°</t>
  </si>
  <si>
    <t>7.35∠191°</t>
  </si>
  <si>
    <t>4.17∠292°</t>
  </si>
  <si>
    <t>74.79∠65°</t>
  </si>
  <si>
    <t>4.13∠289°</t>
  </si>
  <si>
    <t>7.46∠193°</t>
  </si>
  <si>
    <t>76.44∠64°</t>
  </si>
  <si>
    <t>6.54∠190°</t>
  </si>
  <si>
    <t>74.84∠65°</t>
  </si>
  <si>
    <t>4.21∠294°</t>
  </si>
  <si>
    <t>6.77∠191°</t>
  </si>
  <si>
    <t>76.81∠64°</t>
  </si>
  <si>
    <t>4.25∠293°</t>
  </si>
  <si>
    <t>6.88∠191°</t>
  </si>
  <si>
    <t>75.58∠64°</t>
  </si>
  <si>
    <t>4.32∠293°</t>
  </si>
  <si>
    <t>7.04∠192°</t>
  </si>
  <si>
    <t>3.8∠288°</t>
  </si>
  <si>
    <t>7.59∠190°</t>
  </si>
  <si>
    <t>75.79∠64°</t>
  </si>
  <si>
    <t>3.95∠298°</t>
  </si>
  <si>
    <t>6.84∠189°</t>
  </si>
  <si>
    <t>75.92∠64°</t>
  </si>
  <si>
    <t>3.99∠294°</t>
  </si>
  <si>
    <t>7.04∠190°</t>
  </si>
  <si>
    <t>75.9∠64°</t>
  </si>
  <si>
    <t>4.19∠294°</t>
  </si>
  <si>
    <t>7.26∠191°</t>
  </si>
  <si>
    <t>77.15∠64°</t>
  </si>
  <si>
    <t>4.2∠296°</t>
  </si>
  <si>
    <t>75.23∠65°</t>
  </si>
  <si>
    <t>3.96∠294°</t>
  </si>
  <si>
    <t>7.2∠190°</t>
  </si>
  <si>
    <t>0.33∠90°</t>
  </si>
  <si>
    <t>3.44∠297°</t>
  </si>
  <si>
    <t>6.93∠186°</t>
  </si>
  <si>
    <t>75.41∠65°</t>
  </si>
  <si>
    <t>3.71∠296°</t>
  </si>
  <si>
    <t>6.81∠187°</t>
  </si>
  <si>
    <t>77.42∠64°</t>
  </si>
  <si>
    <t>6.93∠192°</t>
  </si>
  <si>
    <t>75.53∠65°</t>
  </si>
  <si>
    <t>4.26∠294°</t>
  </si>
  <si>
    <t>7.07∠193°</t>
  </si>
  <si>
    <t>3.97∠293°</t>
  </si>
  <si>
    <t>7.01∠190°</t>
  </si>
  <si>
    <t>76.03∠65°</t>
  </si>
  <si>
    <t>4.15∠299°</t>
  </si>
  <si>
    <t>6.79∠192°</t>
  </si>
  <si>
    <t>77.12∠64°</t>
  </si>
  <si>
    <t>4.41∠295°</t>
  </si>
  <si>
    <t>6.78∠193°</t>
  </si>
  <si>
    <t>75.57∠65°</t>
  </si>
  <si>
    <t>4.07∠292°</t>
  </si>
  <si>
    <t>7.3∠192°</t>
  </si>
  <si>
    <t>75.47∠65°</t>
  </si>
  <si>
    <t>3.84∠298°</t>
  </si>
  <si>
    <t>6.81∠189°</t>
  </si>
  <si>
    <t>76.7∠65°</t>
  </si>
  <si>
    <t>3.79∠292°</t>
  </si>
  <si>
    <t>7.32∠190°</t>
  </si>
  <si>
    <t>75.86∠64°</t>
  </si>
  <si>
    <t>4.01∠296°</t>
  </si>
  <si>
    <t>6.87∠189°</t>
  </si>
  <si>
    <t>76.63∠65°</t>
  </si>
  <si>
    <t>4.12∠293°</t>
  </si>
  <si>
    <t>6.89∠191°</t>
  </si>
  <si>
    <t>0.3∠89°</t>
  </si>
  <si>
    <t>76.75∠65°</t>
  </si>
  <si>
    <t>4.25∠298°</t>
  </si>
  <si>
    <t>6.52∠192°</t>
  </si>
  <si>
    <t>0.26∠92°</t>
  </si>
  <si>
    <t>75.54∠65°</t>
  </si>
  <si>
    <t>4.1∠298°</t>
  </si>
  <si>
    <t>76.33∠64°</t>
  </si>
  <si>
    <t>3.76∠294°</t>
  </si>
  <si>
    <t>6.93∠187°</t>
  </si>
  <si>
    <t>75.61∠65°</t>
  </si>
  <si>
    <t>3.77∠297°</t>
  </si>
  <si>
    <t>6.94∠188°</t>
  </si>
  <si>
    <t>74.98∠65°</t>
  </si>
  <si>
    <t>4.06∠290°</t>
  </si>
  <si>
    <t>6.79∠190°</t>
  </si>
  <si>
    <t>75.13∠64°</t>
  </si>
  <si>
    <t>4.11∠293°</t>
  </si>
  <si>
    <t>7.12∠191°</t>
  </si>
  <si>
    <t>76.36∠65°</t>
  </si>
  <si>
    <t>3.82∠293°</t>
  </si>
  <si>
    <t>7.15∠188°</t>
  </si>
  <si>
    <t>75.43∠64°</t>
  </si>
  <si>
    <t>4.02∠298°</t>
  </si>
  <si>
    <t>75.96∠64°</t>
  </si>
  <si>
    <t>3.7∠291°</t>
  </si>
  <si>
    <t>7.54∠189°</t>
  </si>
  <si>
    <t>0.28∠90°</t>
  </si>
  <si>
    <t>71.29∠82°</t>
  </si>
  <si>
    <t>3.68∠303°</t>
  </si>
  <si>
    <t>6.8∠208°</t>
  </si>
  <si>
    <t>66.12∠83°</t>
  </si>
  <si>
    <t>2.98∠282°</t>
  </si>
  <si>
    <t>7.76∠205°</t>
  </si>
  <si>
    <t>61.01∠83°</t>
  </si>
  <si>
    <t>2.52∠270°</t>
  </si>
  <si>
    <t>8.05∠202°</t>
  </si>
  <si>
    <t>55.92∠81°</t>
  </si>
  <si>
    <t>1.98∠225°</t>
  </si>
  <si>
    <t>51.18∠78°</t>
  </si>
  <si>
    <t>2.07∠176°</t>
  </si>
  <si>
    <t>9.39∠176°</t>
  </si>
  <si>
    <t>46.36∠79°</t>
  </si>
  <si>
    <t>3.54∠121°</t>
  </si>
  <si>
    <t>9.91∠156°</t>
  </si>
  <si>
    <t>41.77∠82°</t>
  </si>
  <si>
    <t>6.98∠67°</t>
  </si>
  <si>
    <t>9.53∠113°</t>
  </si>
  <si>
    <t>43.72∠90°</t>
  </si>
  <si>
    <t>10.14∠13°</t>
  </si>
  <si>
    <t>7.54∠43°</t>
  </si>
  <si>
    <t>49.77∠88°</t>
  </si>
  <si>
    <t>10.2∠303°</t>
  </si>
  <si>
    <t>8.16∠287°</t>
  </si>
  <si>
    <t>0.35∠90°</t>
  </si>
  <si>
    <t>45.36∠84°</t>
  </si>
  <si>
    <t>4.1∠270°</t>
  </si>
  <si>
    <t>5.51∠222°</t>
  </si>
  <si>
    <t>0.34∠89°</t>
  </si>
  <si>
    <t>44.36∠83°</t>
  </si>
  <si>
    <t>3.81∠252°</t>
  </si>
  <si>
    <t>6.24∠211°</t>
  </si>
  <si>
    <t>43.01∠82°</t>
  </si>
  <si>
    <t>3.39∠230°</t>
  </si>
  <si>
    <t>6.52∠199°</t>
  </si>
  <si>
    <t>0.35∠89°</t>
  </si>
  <si>
    <t>40.35∠79°</t>
  </si>
  <si>
    <t>2.9∠207°</t>
  </si>
  <si>
    <t>6.42∠186°</t>
  </si>
  <si>
    <t>38.52∠78°</t>
  </si>
  <si>
    <t>2.8∠184°</t>
  </si>
  <si>
    <t>6.53∠175°</t>
  </si>
  <si>
    <t>36.66∠80°</t>
  </si>
  <si>
    <t>1.95∠165°</t>
  </si>
  <si>
    <t>5.61∠169°</t>
  </si>
  <si>
    <t>0.35∠86°</t>
  </si>
  <si>
    <t>34.69∠79°</t>
  </si>
  <si>
    <t>1.86∠153°</t>
  </si>
  <si>
    <t>5.22∠162°</t>
  </si>
  <si>
    <t>33.68∠78°</t>
  </si>
  <si>
    <t>1.52∠142°</t>
  </si>
  <si>
    <t>4.66∠157°</t>
  </si>
  <si>
    <t>0.3∠95°</t>
  </si>
  <si>
    <t>32.1∠78°</t>
  </si>
  <si>
    <t>1.57∠142°</t>
  </si>
  <si>
    <t>4.42∠158°</t>
  </si>
  <si>
    <t>31.52∠77°</t>
  </si>
  <si>
    <t>1.46∠141°</t>
  </si>
  <si>
    <t>4.14∠157°</t>
  </si>
  <si>
    <t>0.34∠92°</t>
  </si>
  <si>
    <t>30.8∠78°</t>
  </si>
  <si>
    <t>1.27∠143°</t>
  </si>
  <si>
    <t>4.08∠160°</t>
  </si>
  <si>
    <t>29.05∠78°</t>
  </si>
  <si>
    <t>1.55∠137°</t>
  </si>
  <si>
    <t>4.15∠152°</t>
  </si>
  <si>
    <t>0.37∠91°</t>
  </si>
  <si>
    <t>29.29∠77°</t>
  </si>
  <si>
    <t>2∠135°</t>
  </si>
  <si>
    <t>4.34∠152°</t>
  </si>
  <si>
    <t>0.37∠92°</t>
  </si>
  <si>
    <t>28.06∠76°</t>
  </si>
  <si>
    <t>2.16∠124°</t>
  </si>
  <si>
    <t>4.17∠144°</t>
  </si>
  <si>
    <t>0.31∠93°</t>
  </si>
  <si>
    <t>28.09∠75°</t>
  </si>
  <si>
    <t>2.37∠111°</t>
  </si>
  <si>
    <t>4.11∠135°</t>
  </si>
  <si>
    <t>0.39∠91°</t>
  </si>
  <si>
    <t>27.52∠77°</t>
  </si>
  <si>
    <t>2.29∠101°</t>
  </si>
  <si>
    <t>3.76∠131°</t>
  </si>
  <si>
    <t>0.43∠91°</t>
  </si>
  <si>
    <t>26.92∠91°</t>
  </si>
  <si>
    <t>2.34∠112°</t>
  </si>
  <si>
    <t>3.38∠140°</t>
  </si>
  <si>
    <t>0.48∠90°</t>
  </si>
  <si>
    <t>27.55∠75°</t>
  </si>
  <si>
    <t>2.42∠95°</t>
  </si>
  <si>
    <t>3.26∠123°</t>
  </si>
  <si>
    <t>0.46∠92°</t>
  </si>
  <si>
    <t>28.22∠74°</t>
  </si>
  <si>
    <t>2.21∠100°</t>
  </si>
  <si>
    <t>2.97∠128°</t>
  </si>
  <si>
    <t>0.4∠93°</t>
  </si>
  <si>
    <t>26.1∠73°</t>
  </si>
  <si>
    <t>2.85∠100°</t>
  </si>
  <si>
    <t>3.47∠124°</t>
  </si>
  <si>
    <t>0.45∠91°</t>
  </si>
  <si>
    <t>26.15∠76°</t>
  </si>
  <si>
    <t>2.92∠89°</t>
  </si>
  <si>
    <t>3.01∠113°</t>
  </si>
  <si>
    <t>0.49∠90°</t>
  </si>
  <si>
    <t>24.26∠74°</t>
  </si>
  <si>
    <t>2.7∠86°</t>
  </si>
  <si>
    <t>2.77∠112°</t>
  </si>
  <si>
    <t>0.49∠89°</t>
  </si>
  <si>
    <t>25.33∠69°</t>
  </si>
  <si>
    <t>2.43∠78°</t>
  </si>
  <si>
    <t>2.26∠108°</t>
  </si>
  <si>
    <t>0.48∠91°</t>
  </si>
  <si>
    <t>22.39∠67°</t>
  </si>
  <si>
    <t>2.21∠74°</t>
  </si>
  <si>
    <t>2.05∠114°</t>
  </si>
  <si>
    <t>0.41∠93°</t>
  </si>
  <si>
    <t>22.3∠66°</t>
  </si>
  <si>
    <t>2.11∠70°</t>
  </si>
  <si>
    <t>2∠116°</t>
  </si>
  <si>
    <t>0.44∠93°</t>
  </si>
  <si>
    <t>22.58∠66°</t>
  </si>
  <si>
    <t>1.88∠68°</t>
  </si>
  <si>
    <t>1.95∠114°</t>
  </si>
  <si>
    <t>25.12∠65°</t>
  </si>
  <si>
    <t>2.1∠73°</t>
  </si>
  <si>
    <t>2.09∠111°</t>
  </si>
  <si>
    <t>24.79∠68°</t>
  </si>
  <si>
    <t>2.06∠75°</t>
  </si>
  <si>
    <t>2.03∠116°</t>
  </si>
  <si>
    <t>0.46∠93°</t>
  </si>
  <si>
    <t>25.94∠63°</t>
  </si>
  <si>
    <t>1.97∠70°</t>
  </si>
  <si>
    <t>2.02∠114°</t>
  </si>
  <si>
    <t>0.49∠92°</t>
  </si>
  <si>
    <t>26.79∠63°</t>
  </si>
  <si>
    <t>1.93∠69°</t>
  </si>
  <si>
    <t>1.84∠109°</t>
  </si>
  <si>
    <t>0.52∠92°</t>
  </si>
  <si>
    <t>29.51∠61°</t>
  </si>
  <si>
    <t>1.78∠110°</t>
  </si>
  <si>
    <t>0.48∠93°</t>
  </si>
  <si>
    <t>29.6∠52°</t>
  </si>
  <si>
    <t>2.11∠71°</t>
  </si>
  <si>
    <t>1.48∠102°</t>
  </si>
  <si>
    <t>0.53∠92°</t>
  </si>
  <si>
    <t>36.19∠42°</t>
  </si>
  <si>
    <t>2.6∠79°</t>
  </si>
  <si>
    <t>1.84∠100°</t>
  </si>
  <si>
    <t>0.49∠93°</t>
  </si>
  <si>
    <t>5.77∠43°</t>
  </si>
  <si>
    <t>2.43∠48°</t>
  </si>
  <si>
    <t>1.66∠70°</t>
  </si>
  <si>
    <t>0.59∠88°</t>
  </si>
  <si>
    <t>3.37∠132°</t>
  </si>
  <si>
    <t>2.22∠25°</t>
  </si>
  <si>
    <t>1.28∠46°</t>
  </si>
  <si>
    <t>0.55∠92°</t>
  </si>
  <si>
    <t>2.04∠84°</t>
  </si>
  <si>
    <t>2.02∠25°</t>
  </si>
  <si>
    <t>1.2∠47°</t>
  </si>
  <si>
    <t>0.63∠91°</t>
  </si>
  <si>
    <t>5.57∠79°</t>
  </si>
  <si>
    <t>1.92∠29°</t>
  </si>
  <si>
    <t>1.14∠44°</t>
  </si>
  <si>
    <t>0.57∠92°</t>
  </si>
  <si>
    <t>5.75∠78°</t>
  </si>
  <si>
    <t>1.76∠20°</t>
  </si>
  <si>
    <t>1.1∠36°</t>
  </si>
  <si>
    <t>0.6∠90°</t>
  </si>
  <si>
    <t>3.69∠67°</t>
  </si>
  <si>
    <t>1.8∠16°</t>
  </si>
  <si>
    <t>1.08∠25°</t>
  </si>
  <si>
    <t>0.6∠91°</t>
  </si>
  <si>
    <t>3.9∠81°</t>
  </si>
  <si>
    <t>1.59∠17°</t>
  </si>
  <si>
    <t>0.93∠16°</t>
  </si>
  <si>
    <t>1000g+焊条重</t>
    <phoneticPr fontId="1" type="noConversion"/>
  </si>
  <si>
    <t>15°</t>
    <phoneticPr fontId="1" type="noConversion"/>
  </si>
  <si>
    <t>第二次加重</t>
    <phoneticPr fontId="1" type="noConversion"/>
  </si>
  <si>
    <t>第一次加重</t>
    <phoneticPr fontId="1" type="noConversion"/>
  </si>
  <si>
    <t>170°</t>
    <phoneticPr fontId="1" type="noConversion"/>
  </si>
  <si>
    <t>风机出口侧水平振动</t>
  </si>
  <si>
    <t>风机出口侧垂直振动</t>
  </si>
  <si>
    <t>0.62∠153°</t>
  </si>
  <si>
    <t>4.27∠319°</t>
  </si>
  <si>
    <t>12.2∠142°</t>
  </si>
  <si>
    <t>0.78∠104°</t>
  </si>
  <si>
    <t>66.58∠275°</t>
  </si>
  <si>
    <t>165.9∠5°</t>
  </si>
  <si>
    <t>133.9∠101°</t>
  </si>
  <si>
    <t>1.66∠30°</t>
  </si>
  <si>
    <t>65.43∠275°</t>
  </si>
  <si>
    <t>163.5∠4°</t>
  </si>
  <si>
    <t>132.5∠100°</t>
  </si>
  <si>
    <t>3.73∠21°</t>
  </si>
  <si>
    <t>63.36∠274°</t>
  </si>
  <si>
    <t>163∠4°</t>
  </si>
  <si>
    <t>128.1∠99°</t>
  </si>
  <si>
    <t>4.51∠24°</t>
  </si>
  <si>
    <t>62.31∠274°</t>
  </si>
  <si>
    <t>162.1∠4°</t>
  </si>
  <si>
    <t>124.8∠100°</t>
  </si>
  <si>
    <t>5.93∠27°</t>
  </si>
  <si>
    <t>60.14∠274°</t>
  </si>
  <si>
    <t>161.3∠4°</t>
  </si>
  <si>
    <t>119.9∠102°</t>
  </si>
  <si>
    <t>6.44∠19°</t>
  </si>
  <si>
    <t>59.18∠275°</t>
  </si>
  <si>
    <t>159.4∠5°</t>
  </si>
  <si>
    <t>128.5∠99°</t>
  </si>
  <si>
    <t>8.92∠27°</t>
  </si>
  <si>
    <t>57.6∠274°</t>
  </si>
  <si>
    <t>159.6∠4°</t>
  </si>
  <si>
    <t>124.5∠100°</t>
  </si>
  <si>
    <t>9.67∠22°</t>
  </si>
  <si>
    <t>56.62∠274°</t>
  </si>
  <si>
    <t>157.5∠4°</t>
  </si>
  <si>
    <t>127.1∠100°</t>
  </si>
  <si>
    <t>11∠24°</t>
  </si>
  <si>
    <t>54.73∠273°</t>
  </si>
  <si>
    <t>157.2∠4°</t>
  </si>
  <si>
    <t>125.6∠99°</t>
  </si>
  <si>
    <t>11.31∠19°</t>
  </si>
  <si>
    <t>53.41∠274°</t>
  </si>
  <si>
    <t>155.4∠4°</t>
  </si>
  <si>
    <t>121.5∠100°</t>
  </si>
  <si>
    <t>12.24∠24°</t>
  </si>
  <si>
    <t>52.26∠274°</t>
  </si>
  <si>
    <t>154.6∠5°</t>
  </si>
  <si>
    <t>122.6∠100°</t>
  </si>
  <si>
    <t>13.58∠21°</t>
  </si>
  <si>
    <t>51.45∠273°</t>
  </si>
  <si>
    <t>153.1∠4°</t>
  </si>
  <si>
    <t>120.7∠100°</t>
  </si>
  <si>
    <t>14.1∠20°</t>
  </si>
  <si>
    <t>49.34∠273°</t>
  </si>
  <si>
    <t>153.2∠4°</t>
  </si>
  <si>
    <t>119.2∠99°</t>
  </si>
  <si>
    <t>15.15∠20°</t>
  </si>
  <si>
    <t>49.96∠273°</t>
  </si>
  <si>
    <t>151.5∠4°</t>
  </si>
  <si>
    <t>15.72∠20°</t>
  </si>
  <si>
    <t>47.8∠272°</t>
  </si>
  <si>
    <t>151.1∠4°</t>
  </si>
  <si>
    <t>117.9∠100°</t>
  </si>
  <si>
    <t>16.33∠21°</t>
  </si>
  <si>
    <t>47.63∠272°</t>
  </si>
  <si>
    <t>149.8∠4°</t>
  </si>
  <si>
    <t>115.4∠99°</t>
  </si>
  <si>
    <t>17.23∠20°</t>
  </si>
  <si>
    <t>46.42∠271°</t>
  </si>
  <si>
    <t>149.4∠4°</t>
  </si>
  <si>
    <t>114.9∠99°</t>
  </si>
  <si>
    <t>17.93∠22°</t>
  </si>
  <si>
    <t>45.85∠272°</t>
  </si>
  <si>
    <t>148.8∠5°</t>
  </si>
  <si>
    <t>113.9∠100°</t>
  </si>
  <si>
    <t>18.24∠20°</t>
  </si>
  <si>
    <t>45.05∠271°</t>
  </si>
  <si>
    <t>148.3∠4°</t>
  </si>
  <si>
    <t>115.6∠99°</t>
  </si>
  <si>
    <t>19.7∠21°</t>
  </si>
  <si>
    <t>44.64∠271°</t>
  </si>
  <si>
    <t>147∠4°</t>
  </si>
  <si>
    <t>114.7∠99°</t>
  </si>
  <si>
    <t>19.63∠21°</t>
  </si>
  <si>
    <t>43.22∠272°</t>
  </si>
  <si>
    <t>146.1∠4°</t>
  </si>
  <si>
    <t>111.7∠99°</t>
  </si>
  <si>
    <t>20.69∠21°</t>
  </si>
  <si>
    <t>42.41∠270°</t>
  </si>
  <si>
    <t>145.8∠4°</t>
  </si>
  <si>
    <t>111∠99°</t>
  </si>
  <si>
    <t>20.06∠19°</t>
  </si>
  <si>
    <t>41.39∠272°</t>
  </si>
  <si>
    <t>145.3∠4°</t>
  </si>
  <si>
    <t>104.7∠102°</t>
  </si>
  <si>
    <t>21.03∠19°</t>
  </si>
  <si>
    <t>40.99∠270°</t>
  </si>
  <si>
    <t>143.8∠3°</t>
  </si>
  <si>
    <t>110.9∠99°</t>
  </si>
  <si>
    <t>22.61∠20°</t>
  </si>
  <si>
    <t>40.21∠270°</t>
  </si>
  <si>
    <t>143.4∠3°</t>
  </si>
  <si>
    <t>107.8∠99°</t>
  </si>
  <si>
    <t>22.83∠20°</t>
  </si>
  <si>
    <t>38.88∠271°</t>
  </si>
  <si>
    <t>142.8∠4°</t>
  </si>
  <si>
    <t>108∠100°</t>
  </si>
  <si>
    <t>23.21∠20°</t>
  </si>
  <si>
    <t>38.92∠270°</t>
  </si>
  <si>
    <t>141.6∠3°</t>
  </si>
  <si>
    <t>107.2∠98°</t>
  </si>
  <si>
    <t>23.79∠20°</t>
  </si>
  <si>
    <t>37.88∠269°</t>
  </si>
  <si>
    <t>140.8∠4°</t>
  </si>
  <si>
    <t>101.8∠99°</t>
  </si>
  <si>
    <t>24.15∠20°</t>
  </si>
  <si>
    <t>38.12∠270°</t>
  </si>
  <si>
    <t>141.8∠4°</t>
  </si>
  <si>
    <t>107.3∠99°</t>
  </si>
  <si>
    <t>25.3∠19°</t>
  </si>
  <si>
    <t>37.1∠269°</t>
  </si>
  <si>
    <t>140.4∠3°</t>
  </si>
  <si>
    <t>99.67∠100°</t>
  </si>
  <si>
    <t>25.02∠18°</t>
  </si>
  <si>
    <t>36.45∠269°</t>
  </si>
  <si>
    <t>139.5∠4°</t>
  </si>
  <si>
    <t>105.5∠99°</t>
  </si>
  <si>
    <t>25.93∠21°</t>
  </si>
  <si>
    <t>35.55∠269°</t>
  </si>
  <si>
    <t>139.2∠4°</t>
  </si>
  <si>
    <t>102.4∠101°</t>
  </si>
  <si>
    <t>25.85∠19°</t>
  </si>
  <si>
    <t>35.93∠269°</t>
  </si>
  <si>
    <t>138.3∠4°</t>
  </si>
  <si>
    <t>98.98∠100°</t>
  </si>
  <si>
    <t>26.25∠19°</t>
  </si>
  <si>
    <t>35.16∠269°</t>
  </si>
  <si>
    <t>138.6∠4°</t>
  </si>
  <si>
    <t>103.4∠99°</t>
  </si>
  <si>
    <t>26.81∠17°</t>
  </si>
  <si>
    <t>34.75∠268°</t>
  </si>
  <si>
    <t>137.8∠3°</t>
  </si>
  <si>
    <t>103.2∠98°</t>
  </si>
  <si>
    <t>27.16∠20°</t>
  </si>
  <si>
    <t>34.13∠269°</t>
  </si>
  <si>
    <t>137.4∠4°</t>
  </si>
  <si>
    <t>99.84∠100°</t>
  </si>
  <si>
    <t>27.68∠17°</t>
  </si>
  <si>
    <t>33.54∠268°</t>
  </si>
  <si>
    <t>136.8∠3°</t>
  </si>
  <si>
    <t>27.86∠20°</t>
  </si>
  <si>
    <t>33.04∠269°</t>
  </si>
  <si>
    <t>136.7∠4°</t>
  </si>
  <si>
    <t>101.9∠99°</t>
  </si>
  <si>
    <t>28.55∠19°</t>
  </si>
  <si>
    <t>33.2∠267°</t>
  </si>
  <si>
    <t>136.6∠2°</t>
  </si>
  <si>
    <t>101.3∠98°</t>
  </si>
  <si>
    <t>29.07∠18°</t>
  </si>
  <si>
    <t>32.5∠267°</t>
  </si>
  <si>
    <t>135.4∠3°</t>
  </si>
  <si>
    <t>100.3∠98°</t>
  </si>
  <si>
    <t>29.53∠19°</t>
  </si>
  <si>
    <t>32.4∠267°</t>
  </si>
  <si>
    <t>134.9∠3°</t>
  </si>
  <si>
    <t>99.82∠98°</t>
  </si>
  <si>
    <t>29.77∠19°</t>
  </si>
  <si>
    <t>31.64∠268°</t>
  </si>
  <si>
    <t>135.5∠4°</t>
  </si>
  <si>
    <t>98.38∠99°</t>
  </si>
  <si>
    <t>29.59∠20°</t>
  </si>
  <si>
    <t>30.91∠267°</t>
  </si>
  <si>
    <t>134.3∠3°</t>
  </si>
  <si>
    <t>99.05∠98°</t>
  </si>
  <si>
    <t>30.09∠20°</t>
  </si>
  <si>
    <t>30.66∠267°</t>
  </si>
  <si>
    <t>133.9∠3°</t>
  </si>
  <si>
    <t>97.05∠99°</t>
  </si>
  <si>
    <t>30.29∠19°</t>
  </si>
  <si>
    <t>30.8∠266°</t>
  </si>
  <si>
    <t>134.4∠4°</t>
  </si>
  <si>
    <t>94.21∠98°</t>
  </si>
  <si>
    <t>30.69∠18°</t>
  </si>
  <si>
    <t>29.73∠266°</t>
  </si>
  <si>
    <t>133.4∠3°</t>
  </si>
  <si>
    <t>96.31∠98°</t>
  </si>
  <si>
    <t>31.46∠19°</t>
  </si>
  <si>
    <t>30.38∠267°</t>
  </si>
  <si>
    <t>133.4∠4°</t>
  </si>
  <si>
    <t>98.62∠99°</t>
  </si>
  <si>
    <t>31.42∠18°</t>
  </si>
  <si>
    <t>29.6∠267°</t>
  </si>
  <si>
    <t>132.4∠3°</t>
  </si>
  <si>
    <t>95.82∠98°</t>
  </si>
  <si>
    <t>31.3∠19°</t>
  </si>
  <si>
    <t>30.07∠266°</t>
  </si>
  <si>
    <t>132.6∠4°</t>
  </si>
  <si>
    <t>97.45∠99°</t>
  </si>
  <si>
    <t>31.91∠18°</t>
  </si>
  <si>
    <t>28.86∠266°</t>
  </si>
  <si>
    <t>131.6∠4°</t>
  </si>
  <si>
    <t>92.74∠100°</t>
  </si>
  <si>
    <t>31.97∠19°</t>
  </si>
  <si>
    <t>28.77∠266°</t>
  </si>
  <si>
    <t>131.9∠4°</t>
  </si>
  <si>
    <t>95.89∠99°</t>
  </si>
  <si>
    <t>32.57∠19°</t>
  </si>
  <si>
    <t>28.54∠266°</t>
  </si>
  <si>
    <t>92.31∠99°</t>
  </si>
  <si>
    <t>32.53∠19°</t>
  </si>
  <si>
    <t>28.51∠266°</t>
  </si>
  <si>
    <t>131.5∠4°</t>
  </si>
  <si>
    <t>88.34∠100°</t>
  </si>
  <si>
    <t>32.5∠18°</t>
  </si>
  <si>
    <t>27.76∠266°</t>
  </si>
  <si>
    <t>130.7∠3°</t>
  </si>
  <si>
    <t>93.6∠99°</t>
  </si>
  <si>
    <t>32.94∠18°</t>
  </si>
  <si>
    <t>28.01∠266°</t>
  </si>
  <si>
    <t>130∠4°</t>
  </si>
  <si>
    <t>95.19∠99°</t>
  </si>
  <si>
    <t>33.25∠18°</t>
  </si>
  <si>
    <t>27.86∠264°</t>
  </si>
  <si>
    <t>129.7∠3°</t>
  </si>
  <si>
    <t>95.37∠98°</t>
  </si>
  <si>
    <t>33.51∠18°</t>
  </si>
  <si>
    <t>27.23∠266°</t>
  </si>
  <si>
    <t>129.3∠3°</t>
  </si>
  <si>
    <t>93.77∠99°</t>
  </si>
  <si>
    <t>34.07∠19°</t>
  </si>
  <si>
    <t>27.19∠264°</t>
  </si>
  <si>
    <t>130.2∠4°</t>
  </si>
  <si>
    <t>93.58∠97°</t>
  </si>
  <si>
    <t>34.21∠19°</t>
  </si>
  <si>
    <t>26.73∠265°</t>
  </si>
  <si>
    <t>130.1∠4°</t>
  </si>
  <si>
    <t>92.76∠99°</t>
  </si>
  <si>
    <t>33.88∠18°</t>
  </si>
  <si>
    <t>26.59∠265°</t>
  </si>
  <si>
    <t>93.14∠99°</t>
  </si>
  <si>
    <t>34.37∠18°</t>
  </si>
  <si>
    <t>26.71∠264°</t>
  </si>
  <si>
    <t>129.2∠3°</t>
  </si>
  <si>
    <t>91.83∠98°</t>
  </si>
  <si>
    <t>34.94∠19°</t>
  </si>
  <si>
    <t>26.41∠266°</t>
  </si>
  <si>
    <t>129∠4°</t>
  </si>
  <si>
    <t>92.36∠99°</t>
  </si>
  <si>
    <t>34.4∠18°</t>
  </si>
  <si>
    <t>25.62∠265°</t>
  </si>
  <si>
    <t>127.9∠3°</t>
  </si>
  <si>
    <t>92.79∠98°</t>
  </si>
  <si>
    <t>35.06∠20°</t>
  </si>
  <si>
    <t>25.85∠264°</t>
  </si>
  <si>
    <t>129.5∠4°</t>
  </si>
  <si>
    <t>93∠98°</t>
  </si>
  <si>
    <t>35.22∠19°</t>
  </si>
  <si>
    <t>25.69∠265°</t>
  </si>
  <si>
    <t>128.8∠4°</t>
  </si>
  <si>
    <t>91.16∠99°</t>
  </si>
  <si>
    <t>35.68∠19°</t>
  </si>
  <si>
    <t>26.14∠265°</t>
  </si>
  <si>
    <t>128.9∠4°</t>
  </si>
  <si>
    <t>90.9∠99°</t>
  </si>
  <si>
    <t>35.74∠21°</t>
  </si>
  <si>
    <t>24.89∠265°</t>
  </si>
  <si>
    <t>128.4∠4°</t>
  </si>
  <si>
    <t>89.25∠99°</t>
  </si>
  <si>
    <t>35.64∠20°</t>
  </si>
  <si>
    <t>24.92∠266°</t>
  </si>
  <si>
    <t>127.1∠4°</t>
  </si>
  <si>
    <t>91.09∠99°</t>
  </si>
  <si>
    <t>35.53∠19°</t>
  </si>
  <si>
    <t>25.19∠265°</t>
  </si>
  <si>
    <t>126.7∠4°</t>
  </si>
  <si>
    <t>90.49∠99°</t>
  </si>
  <si>
    <t>36.01∠19°</t>
  </si>
  <si>
    <t>24.92∠265°</t>
  </si>
  <si>
    <t>127∠4°</t>
  </si>
  <si>
    <t>90.61∠99°</t>
  </si>
  <si>
    <t>36.38∠20°</t>
  </si>
  <si>
    <t>24.89∠264°</t>
  </si>
  <si>
    <t>127∠5°</t>
  </si>
  <si>
    <t>83.57∠99°</t>
  </si>
  <si>
    <t>36.97∠19°</t>
  </si>
  <si>
    <t>23.91∠263°</t>
  </si>
  <si>
    <t>87.34∠98°</t>
  </si>
  <si>
    <t>36.19∠18°</t>
  </si>
  <si>
    <t>24.38∠264°</t>
  </si>
  <si>
    <t>126∠3°</t>
  </si>
  <si>
    <t>90.15∠98°</t>
  </si>
  <si>
    <t>36.04∠20°</t>
  </si>
  <si>
    <t>23.99∠263°</t>
  </si>
  <si>
    <t>126.1∠4°</t>
  </si>
  <si>
    <t>86.72∠98°</t>
  </si>
  <si>
    <t>37.44∠19°</t>
  </si>
  <si>
    <t>23.82∠264°</t>
  </si>
  <si>
    <t>126.5∠4°</t>
  </si>
  <si>
    <t>89.93∠98°</t>
  </si>
  <si>
    <t>37.33∠19°</t>
  </si>
  <si>
    <t>23.47∠263°</t>
  </si>
  <si>
    <t>126.2∠4°</t>
  </si>
  <si>
    <t>89.17∠98°</t>
  </si>
  <si>
    <t>37.24∠18°</t>
  </si>
  <si>
    <t>125.2∠4°</t>
  </si>
  <si>
    <t>89.27∠98°</t>
  </si>
  <si>
    <t>37.66∠18°</t>
  </si>
  <si>
    <t>23.51∠263°</t>
  </si>
  <si>
    <t>124.8∠4°</t>
  </si>
  <si>
    <t>88.76∠98°</t>
  </si>
  <si>
    <t>37.12∠19°</t>
  </si>
  <si>
    <t>23.39∠263°</t>
  </si>
  <si>
    <t>124.5∠5°</t>
  </si>
  <si>
    <t>85.35∠100°</t>
  </si>
  <si>
    <t>37.1∠19°</t>
  </si>
  <si>
    <t>22.59∠262°</t>
  </si>
  <si>
    <t>124.5∠3°</t>
  </si>
  <si>
    <t>87.73∠97°</t>
  </si>
  <si>
    <t>37.69∠19°</t>
  </si>
  <si>
    <t>22.59∠263°</t>
  </si>
  <si>
    <t>88.3∠98°</t>
  </si>
  <si>
    <t>37.9∠20°</t>
  </si>
  <si>
    <t>22.84∠263°</t>
  </si>
  <si>
    <t>125.1∠4°</t>
  </si>
  <si>
    <t>83.12∠97°</t>
  </si>
  <si>
    <t>39.23∠20°</t>
  </si>
  <si>
    <t>22.7∠263°</t>
  </si>
  <si>
    <t>86.72∠99°</t>
  </si>
  <si>
    <t>38.58∠20°</t>
  </si>
  <si>
    <t>22.61∠263°</t>
  </si>
  <si>
    <t>123.9∠4°</t>
  </si>
  <si>
    <t>86.02∠99°</t>
  </si>
  <si>
    <t>38.4∠18°</t>
  </si>
  <si>
    <t>21.8∠262°</t>
  </si>
  <si>
    <t>123.6∠3°</t>
  </si>
  <si>
    <t>87.91∠97°</t>
  </si>
  <si>
    <t>38.99∠19°</t>
  </si>
  <si>
    <t>22.44∠262°</t>
  </si>
  <si>
    <t>124.4∠4°</t>
  </si>
  <si>
    <t>86.37∠99°</t>
  </si>
  <si>
    <t>38.6∠18°</t>
  </si>
  <si>
    <t>22.55∠263°</t>
  </si>
  <si>
    <t>123.1∠3°</t>
  </si>
  <si>
    <t>87.85∠98°</t>
  </si>
  <si>
    <t>39.28∠19°</t>
  </si>
  <si>
    <t>22.64∠263°</t>
  </si>
  <si>
    <t>123.2∠5°</t>
  </si>
  <si>
    <t>87.9∠99°</t>
  </si>
  <si>
    <t>38.81∠19°</t>
  </si>
  <si>
    <t>22.3∠263°</t>
  </si>
  <si>
    <t>122∠4°</t>
  </si>
  <si>
    <t>38.32∠20°</t>
  </si>
  <si>
    <t>21.66∠261°</t>
  </si>
  <si>
    <t>122.7∠3°</t>
  </si>
  <si>
    <t>86.13∠97°</t>
  </si>
  <si>
    <t>38.85∠19°</t>
  </si>
  <si>
    <t>21.43∠262°</t>
  </si>
  <si>
    <t>122.8∠4°</t>
  </si>
  <si>
    <t>86.32∠99°</t>
  </si>
  <si>
    <t>38.9∠18°</t>
  </si>
  <si>
    <t>21.18∠260°</t>
  </si>
  <si>
    <t>122.5∠3°</t>
  </si>
  <si>
    <t>85.79∠97°</t>
  </si>
  <si>
    <t>40.71∠20°</t>
  </si>
  <si>
    <t>21.72∠262°</t>
  </si>
  <si>
    <t>122.6∠4°</t>
  </si>
  <si>
    <t>86.56∠98°</t>
  </si>
  <si>
    <t>39.89∠20°</t>
  </si>
  <si>
    <t>21.06∠261°</t>
  </si>
  <si>
    <t>122.4∠4°</t>
  </si>
  <si>
    <t>82.38∠99°</t>
  </si>
  <si>
    <t>39.43∠20°</t>
  </si>
  <si>
    <t>20.56∠262°</t>
  </si>
  <si>
    <t>121∠3°</t>
  </si>
  <si>
    <t>80.73∠97°</t>
  </si>
  <si>
    <t>39.86∠19°</t>
  </si>
  <si>
    <t>21.01∠260°</t>
  </si>
  <si>
    <t>121.9∠3°</t>
  </si>
  <si>
    <t>85.19∠97°</t>
  </si>
  <si>
    <t>39.27∠19°</t>
  </si>
  <si>
    <t>20.94∠261°</t>
  </si>
  <si>
    <t>120.5∠3°</t>
  </si>
  <si>
    <t>85.64∠97°</t>
  </si>
  <si>
    <t>40.04∠20°</t>
  </si>
  <si>
    <t>20.71∠261°</t>
  </si>
  <si>
    <t>120.4∠4°</t>
  </si>
  <si>
    <t>85.64∠98°</t>
  </si>
  <si>
    <t>40.4∠21°</t>
  </si>
  <si>
    <t>20.8∠262°</t>
  </si>
  <si>
    <t>121.3∠4°</t>
  </si>
  <si>
    <t>85.62∠98°</t>
  </si>
  <si>
    <t>39.32∠20°</t>
  </si>
  <si>
    <t>20.74∠261°</t>
  </si>
  <si>
    <t>119.9∠4°</t>
  </si>
  <si>
    <t>85∠98°</t>
  </si>
  <si>
    <t>40.19∠18°</t>
  </si>
  <si>
    <t>20.06∠260°</t>
  </si>
  <si>
    <t>120.3∠3°</t>
  </si>
  <si>
    <t>83.6∠97°</t>
  </si>
  <si>
    <t>40.21∠18°</t>
  </si>
  <si>
    <t>20.38∠261°</t>
  </si>
  <si>
    <t>119.9∠3°</t>
  </si>
  <si>
    <t>84.14∠98°</t>
  </si>
  <si>
    <t>40.9∠20°</t>
  </si>
  <si>
    <t>20.43∠260°</t>
  </si>
  <si>
    <t>120.9∠4°</t>
  </si>
  <si>
    <t>85.03∠98°</t>
  </si>
  <si>
    <t>39.35∠19°</t>
  </si>
  <si>
    <t>20.41∠261°</t>
  </si>
  <si>
    <t>120.1∠4°</t>
  </si>
  <si>
    <t>84.98∠98°</t>
  </si>
  <si>
    <t>39.83∠18°</t>
  </si>
  <si>
    <t>19.87∠260°</t>
  </si>
  <si>
    <t>82.76∠97°</t>
  </si>
  <si>
    <t>40.72∠20°</t>
  </si>
  <si>
    <t>19.4∠261°</t>
  </si>
  <si>
    <t>120∠3°</t>
  </si>
  <si>
    <t>81.04∠97°</t>
  </si>
  <si>
    <t>39.85∠19°</t>
  </si>
  <si>
    <t>20.25∠261°</t>
  </si>
  <si>
    <t>82.55∠98°</t>
  </si>
  <si>
    <t>41.28∠20°</t>
  </si>
  <si>
    <t>19.9∠260°</t>
  </si>
  <si>
    <t>83.32∠97°</t>
  </si>
  <si>
    <t>40.99∠21°</t>
  </si>
  <si>
    <t>19.62∠262°</t>
  </si>
  <si>
    <t>119.4∠4°</t>
  </si>
  <si>
    <t>81.28∠98°</t>
  </si>
  <si>
    <t>39.56∠21°</t>
  </si>
  <si>
    <t>19.68∠261°</t>
  </si>
  <si>
    <t>118.2∠4°</t>
  </si>
  <si>
    <t>82.67∠99°</t>
  </si>
  <si>
    <t>39.14∠19°</t>
  </si>
  <si>
    <t>19.65∠261°</t>
  </si>
  <si>
    <t>118.1∠3°</t>
  </si>
  <si>
    <t>82.89∠97°</t>
  </si>
  <si>
    <t>38.66∠18°</t>
  </si>
  <si>
    <t>20.04∠260°</t>
  </si>
  <si>
    <t>118.5∠3°</t>
  </si>
  <si>
    <t>83.59∠98°</t>
  </si>
  <si>
    <t>39.92∠18°</t>
  </si>
  <si>
    <t>19.98∠260°</t>
  </si>
  <si>
    <t>117.8∠3°</t>
  </si>
  <si>
    <t>81.8∠97°</t>
  </si>
  <si>
    <t>40.14∠19°</t>
  </si>
  <si>
    <t>20.11∠260°</t>
  </si>
  <si>
    <t>117.9∠3°</t>
  </si>
  <si>
    <t>82.28∠97°</t>
  </si>
  <si>
    <t>20.1∠260°</t>
  </si>
  <si>
    <t>118.4∠3°</t>
  </si>
  <si>
    <t>82.65∠97°</t>
  </si>
  <si>
    <t>38.85∠18°</t>
  </si>
  <si>
    <t>19.4∠260°</t>
  </si>
  <si>
    <t>117.7∠3°</t>
  </si>
  <si>
    <t>81.84∠98°</t>
  </si>
  <si>
    <t>39.6∠18°</t>
  </si>
  <si>
    <t>19.8∠260°</t>
  </si>
  <si>
    <t>83.84∠97°</t>
  </si>
  <si>
    <t>19.72∠260°</t>
  </si>
  <si>
    <t>117.8∠4°</t>
  </si>
  <si>
    <t>82.33∠98°</t>
  </si>
  <si>
    <t>38.6∠19°</t>
  </si>
  <si>
    <t>19.59∠260°</t>
  </si>
  <si>
    <t>118.3∠3°</t>
  </si>
  <si>
    <t>84.28∠98°</t>
  </si>
  <si>
    <t>39.49∠20°</t>
  </si>
  <si>
    <t>19.58∠259°</t>
  </si>
  <si>
    <t>82.27∠97°</t>
  </si>
  <si>
    <t>40.08∠20°</t>
  </si>
  <si>
    <t>18.91∠260°</t>
  </si>
  <si>
    <t>118.8∠4°</t>
  </si>
  <si>
    <t>80.98∠98°</t>
  </si>
  <si>
    <t>39.59∠21°</t>
  </si>
  <si>
    <t>19.33∠262°</t>
  </si>
  <si>
    <t>118.1∠4°</t>
  </si>
  <si>
    <t>82.32∠99°</t>
  </si>
  <si>
    <t>40.2∠20°</t>
  </si>
  <si>
    <t>19.6∠260°</t>
  </si>
  <si>
    <t>118.6∠3°</t>
  </si>
  <si>
    <t>80.23∠97°</t>
  </si>
  <si>
    <t>39.5∠21°</t>
  </si>
  <si>
    <t>19.35∠262°</t>
  </si>
  <si>
    <t>84.5∠99°</t>
  </si>
  <si>
    <t>40.54∠20°</t>
  </si>
  <si>
    <t>19.65∠260°</t>
  </si>
  <si>
    <t>117.6∠3°</t>
  </si>
  <si>
    <t>82.81∠97°</t>
  </si>
  <si>
    <t>39.65∠19°</t>
  </si>
  <si>
    <t>19.38∠263°</t>
  </si>
  <si>
    <t>117.5∠4°</t>
  </si>
  <si>
    <t>83.65∠98°</t>
  </si>
  <si>
    <t>40.14∠20°</t>
  </si>
  <si>
    <t>19.25∠261°</t>
  </si>
  <si>
    <t>80.95∠98°</t>
  </si>
  <si>
    <t>39.74∠19°</t>
  </si>
  <si>
    <t>18.94∠261°</t>
  </si>
  <si>
    <t>82.65∠98°</t>
  </si>
  <si>
    <t>40.5∠20°</t>
  </si>
  <si>
    <t>19.04∠261°</t>
  </si>
  <si>
    <t>117.3∠4°</t>
  </si>
  <si>
    <t>81.18∠99°</t>
  </si>
  <si>
    <t>19.47∠263°</t>
  </si>
  <si>
    <t>116.6∠4°</t>
  </si>
  <si>
    <t>80.33∠98°</t>
  </si>
  <si>
    <t>40.17∠20°</t>
  </si>
  <si>
    <t>19.11∠260°</t>
  </si>
  <si>
    <t>117.6∠4°</t>
  </si>
  <si>
    <t>81.65∠97°</t>
  </si>
  <si>
    <t>40.3∠19°</t>
  </si>
  <si>
    <t>18.61∠261°</t>
  </si>
  <si>
    <t>116.4∠4°</t>
  </si>
  <si>
    <t>80.22∠100°</t>
  </si>
  <si>
    <t>40.27∠20°</t>
  </si>
  <si>
    <t>19.25∠259°</t>
  </si>
  <si>
    <t>81.88∠99°</t>
  </si>
  <si>
    <t>19.27∠259°</t>
  </si>
  <si>
    <t>116.9∠3°</t>
  </si>
  <si>
    <t>79.59∠98°</t>
  </si>
  <si>
    <t>39.73∠19°</t>
  </si>
  <si>
    <t>18.47∠260°</t>
  </si>
  <si>
    <t>76.07∠95°</t>
  </si>
  <si>
    <t>39.36∠20°</t>
  </si>
  <si>
    <t>18.88∠261°</t>
  </si>
  <si>
    <t>116.9∠4°</t>
  </si>
  <si>
    <t>81.62∠98°</t>
  </si>
  <si>
    <t>39.89∠19°</t>
  </si>
  <si>
    <t>18.97∠260°</t>
  </si>
  <si>
    <t>117∠4°</t>
  </si>
  <si>
    <t>80.46∠99°</t>
  </si>
  <si>
    <t>39.7∠20°</t>
  </si>
  <si>
    <t>18.14∠261°</t>
  </si>
  <si>
    <t>80.76∠98°</t>
  </si>
  <si>
    <t>40.46∠18°</t>
  </si>
  <si>
    <t>18.66∠259°</t>
  </si>
  <si>
    <t>117.1∠3°</t>
  </si>
  <si>
    <t>81.77∠97°</t>
  </si>
  <si>
    <t>40.3∠20°</t>
  </si>
  <si>
    <t>18.74∠260°</t>
  </si>
  <si>
    <t>117.1∠4°</t>
  </si>
  <si>
    <t>82.52∠98°</t>
  </si>
  <si>
    <t>40.34∠20°</t>
  </si>
  <si>
    <t>18.52∠261°</t>
  </si>
  <si>
    <t>115.5∠4°</t>
  </si>
  <si>
    <t>80.83∠98°</t>
  </si>
  <si>
    <t>40.29∠21°</t>
  </si>
  <si>
    <t>18.53∠260°</t>
  </si>
  <si>
    <t>116∠3°</t>
  </si>
  <si>
    <t>80.99∠99°</t>
  </si>
  <si>
    <t>40.1∠19°</t>
  </si>
  <si>
    <t>18.52∠259°</t>
  </si>
  <si>
    <t>116.5∠4°</t>
  </si>
  <si>
    <t>79.42∠98°</t>
  </si>
  <si>
    <t>39.92∠19°</t>
  </si>
  <si>
    <t>19.14∠260°</t>
  </si>
  <si>
    <t>115.8∠4°</t>
  </si>
  <si>
    <t>81.69∠98°</t>
  </si>
  <si>
    <t>39.91∠20°</t>
  </si>
  <si>
    <t>18.59∠260°</t>
  </si>
  <si>
    <t>116∠4°</t>
  </si>
  <si>
    <t>79.7∠98°</t>
  </si>
  <si>
    <t>40.01∠19°</t>
  </si>
  <si>
    <t>18.39∠261°</t>
  </si>
  <si>
    <t>116.4∠3°</t>
  </si>
  <si>
    <t>80.05∠97°</t>
  </si>
  <si>
    <t>18.13∠259°</t>
  </si>
  <si>
    <t>115.9∠3°</t>
  </si>
  <si>
    <t>76.89∠99°</t>
  </si>
  <si>
    <t>39.88∠19°</t>
  </si>
  <si>
    <t>18.68∠260°</t>
  </si>
  <si>
    <t>80.1∠97°</t>
  </si>
  <si>
    <t>40.57∠20°</t>
  </si>
  <si>
    <t>18.62∠260°</t>
  </si>
  <si>
    <t>116.3∠4°</t>
  </si>
  <si>
    <t>80.22∠98°</t>
  </si>
  <si>
    <t>40.11∠20°</t>
  </si>
  <si>
    <t>18.19∠260°</t>
  </si>
  <si>
    <t>80.49∠98°</t>
  </si>
  <si>
    <t>18.74∠261°</t>
  </si>
  <si>
    <t>115.7∠4°</t>
  </si>
  <si>
    <t>81.3∠98°</t>
  </si>
  <si>
    <t>40.23∠19°</t>
  </si>
  <si>
    <t>17.83∠260°</t>
  </si>
  <si>
    <t>115.6∠3°</t>
  </si>
  <si>
    <t>40.21∠20°</t>
  </si>
  <si>
    <t>18.29∠262°</t>
  </si>
  <si>
    <t>115.9∠4°</t>
  </si>
  <si>
    <t>78.25∠100°</t>
  </si>
  <si>
    <t>40.04∠19°</t>
  </si>
  <si>
    <t>18.44∠259°</t>
  </si>
  <si>
    <t>115.6∠4°</t>
  </si>
  <si>
    <t>80.11∠98°</t>
  </si>
  <si>
    <t>39.38∠18°</t>
  </si>
  <si>
    <t>17.83∠262°</t>
  </si>
  <si>
    <t>115.1∠4°</t>
  </si>
  <si>
    <t>75.08∠100°</t>
  </si>
  <si>
    <t>39.65∠20°</t>
  </si>
  <si>
    <t>18.45∠262°</t>
  </si>
  <si>
    <t>115.4∠4°</t>
  </si>
  <si>
    <t>78.83∠99°</t>
  </si>
  <si>
    <t>40.58∠19°</t>
  </si>
  <si>
    <t>18.31∠260°</t>
  </si>
  <si>
    <t>79.55∠97°</t>
  </si>
  <si>
    <t>40∠20°</t>
  </si>
  <si>
    <t>18.42∠261°</t>
  </si>
  <si>
    <t>79.53∠99°</t>
  </si>
  <si>
    <t>40.21∠19°</t>
  </si>
  <si>
    <t>18.24∠260°</t>
  </si>
  <si>
    <t>115.1∠3°</t>
  </si>
  <si>
    <t>80.62∠99°</t>
  </si>
  <si>
    <t>40.44∠20°</t>
  </si>
  <si>
    <t>18.14∠260°</t>
  </si>
  <si>
    <t>79.61∠98°</t>
  </si>
  <si>
    <t>40.38∠20°</t>
  </si>
  <si>
    <t>18.26∠260°</t>
  </si>
  <si>
    <t>76.96∠98°</t>
  </si>
  <si>
    <t>40.29∠20°</t>
  </si>
  <si>
    <t>17.42∠261°</t>
  </si>
  <si>
    <t>114.9∠4°</t>
  </si>
  <si>
    <t>79.23∠98°</t>
  </si>
  <si>
    <t>18.45∠261°</t>
  </si>
  <si>
    <t>115.3∠4°</t>
  </si>
  <si>
    <t>80.01∠98°</t>
  </si>
  <si>
    <t>40.31∠19°</t>
  </si>
  <si>
    <t>17.3∠260°</t>
  </si>
  <si>
    <t>80.14∠98°</t>
  </si>
  <si>
    <t>39.94∠19°</t>
  </si>
  <si>
    <t>17.73∠260°</t>
  </si>
  <si>
    <t>77.62∠97°</t>
  </si>
  <si>
    <t>40.49∠20°</t>
  </si>
  <si>
    <t>18.58∠261°</t>
  </si>
  <si>
    <t>115.2∠4°</t>
  </si>
  <si>
    <t>81.08∠97°</t>
  </si>
  <si>
    <t>40.78∠20°</t>
  </si>
  <si>
    <t>18.03∠261°</t>
  </si>
  <si>
    <t>80.36∠99°</t>
  </si>
  <si>
    <t>40.71∠19°</t>
  </si>
  <si>
    <t>17.82∠260°</t>
  </si>
  <si>
    <t>81.16∠98°</t>
  </si>
  <si>
    <t>39.99∠19°</t>
  </si>
  <si>
    <t>17.67∠260°</t>
  </si>
  <si>
    <t>79.49∠98°</t>
  </si>
  <si>
    <t>40.33∠22°</t>
  </si>
  <si>
    <t>17.85∠261°</t>
  </si>
  <si>
    <t>79.94∠98°</t>
  </si>
  <si>
    <t>40.32∠20°</t>
  </si>
  <si>
    <t>17.89∠261°</t>
  </si>
  <si>
    <t>114.8∠4°</t>
  </si>
  <si>
    <t>79.9∠98°</t>
  </si>
  <si>
    <t>40.58∠20°</t>
  </si>
  <si>
    <t>17.96∠261°</t>
  </si>
  <si>
    <t>115.4∠3°</t>
  </si>
  <si>
    <t>79.62∠97°</t>
  </si>
  <si>
    <t>17.92∠260°</t>
  </si>
  <si>
    <t>114.5∠4°</t>
  </si>
  <si>
    <t>79.31∠98°</t>
  </si>
  <si>
    <t>39.9∠20°</t>
  </si>
  <si>
    <t>17.84∠259°</t>
  </si>
  <si>
    <t>78.67∠97°</t>
  </si>
  <si>
    <t>40.39∠19°</t>
  </si>
  <si>
    <t>17.74∠259°</t>
  </si>
  <si>
    <t>115.2∠3°</t>
  </si>
  <si>
    <t>78.76∠97°</t>
  </si>
  <si>
    <t>40.27∠19°</t>
  </si>
  <si>
    <t>18.03∠260°</t>
  </si>
  <si>
    <t>78.9∠98°</t>
  </si>
  <si>
    <t>39.76∠20°</t>
  </si>
  <si>
    <t>18.38∠262°</t>
  </si>
  <si>
    <t>114.3∠3°</t>
  </si>
  <si>
    <t>39.95∠19°</t>
  </si>
  <si>
    <t>17.84∠261°</t>
  </si>
  <si>
    <t>115∠4°</t>
  </si>
  <si>
    <t>80.24∠98°</t>
  </si>
  <si>
    <t>39.82∠18°</t>
  </si>
  <si>
    <t>17.53∠261°</t>
  </si>
  <si>
    <t>115∠3°</t>
  </si>
  <si>
    <t>79.77∠99°</t>
  </si>
  <si>
    <t>40.25∠19°</t>
  </si>
  <si>
    <t>17.91∠262°</t>
  </si>
  <si>
    <t>78.79∠100°</t>
  </si>
  <si>
    <t>40.47∠20°</t>
  </si>
  <si>
    <t>18.36∠261°</t>
  </si>
  <si>
    <t>114.6∠4°</t>
  </si>
  <si>
    <t>78.8∠98°</t>
  </si>
  <si>
    <t>40.84∠21°</t>
  </si>
  <si>
    <t>18.2∠261°</t>
  </si>
  <si>
    <t>114.3∠4°</t>
  </si>
  <si>
    <t>79.99∠97°</t>
  </si>
  <si>
    <t>39.74∠20°</t>
  </si>
  <si>
    <t>18.12∠261°</t>
  </si>
  <si>
    <t>114.7∠4°</t>
  </si>
  <si>
    <t>78.97∠98°</t>
  </si>
  <si>
    <t>39.67∠20°</t>
  </si>
  <si>
    <t>17.58∠262°</t>
  </si>
  <si>
    <t>114.4∠5°</t>
  </si>
  <si>
    <t>79.52∠98°</t>
  </si>
  <si>
    <t>41.15∠20°</t>
  </si>
  <si>
    <t>18∠261°</t>
  </si>
  <si>
    <t>78.49∠98°</t>
  </si>
  <si>
    <t>39.92∠20°</t>
  </si>
  <si>
    <t>17.94∠261°</t>
  </si>
  <si>
    <t>114.6∠5°</t>
  </si>
  <si>
    <t>79.13∠98°</t>
  </si>
  <si>
    <t>40.18∠19°</t>
  </si>
  <si>
    <t>17.55∠260°</t>
  </si>
  <si>
    <t>114.2∠4°</t>
  </si>
  <si>
    <t>79.89∠97°</t>
  </si>
  <si>
    <t>40.83∠19°</t>
  </si>
  <si>
    <t>78.07∠97°</t>
  </si>
  <si>
    <t>40.94∠20°</t>
  </si>
  <si>
    <t>17.7∠260°</t>
  </si>
  <si>
    <t>77.76∠99°</t>
  </si>
  <si>
    <t>40.38∠19°</t>
  </si>
  <si>
    <t>17.82∠259°</t>
  </si>
  <si>
    <t>113.7∠4°</t>
  </si>
  <si>
    <t>77.56∠98°</t>
  </si>
  <si>
    <t>39.88∠20°</t>
  </si>
  <si>
    <t>17.9∠261°</t>
  </si>
  <si>
    <t>114∠4°</t>
  </si>
  <si>
    <t>76.74∠98°</t>
  </si>
  <si>
    <t>40.67∠19°</t>
  </si>
  <si>
    <t>17.61∠259°</t>
  </si>
  <si>
    <t>67.58∠100°</t>
  </si>
  <si>
    <t>40.02∠21°</t>
  </si>
  <si>
    <t>17.15∠259°</t>
  </si>
  <si>
    <t>114.1∠5°</t>
  </si>
  <si>
    <t>77.52∠99°</t>
  </si>
  <si>
    <t>17.19∠260°</t>
  </si>
  <si>
    <t>113.8∠4°</t>
  </si>
  <si>
    <t>74.85∠98°</t>
  </si>
  <si>
    <t>39.62∠19°</t>
  </si>
  <si>
    <t>114.1∠3°</t>
  </si>
  <si>
    <t>74.99∠96°</t>
  </si>
  <si>
    <t>40.39∠20°</t>
  </si>
  <si>
    <t>17.78∠260°</t>
  </si>
  <si>
    <t>76.09∠99°</t>
  </si>
  <si>
    <t>39.69∠19°</t>
  </si>
  <si>
    <t>17.49∠260°</t>
  </si>
  <si>
    <t>78.7∠98°</t>
  </si>
  <si>
    <t>39.91∠19°</t>
  </si>
  <si>
    <t>17.57∠261°</t>
  </si>
  <si>
    <t>113.8∠3°</t>
  </si>
  <si>
    <t>78.42∠98°</t>
  </si>
  <si>
    <t>40.65∠19°</t>
  </si>
  <si>
    <t>17.86∠261°</t>
  </si>
  <si>
    <t>78.02∠99°</t>
  </si>
  <si>
    <t>40.13∠18°</t>
  </si>
  <si>
    <t>17.64∠259°</t>
  </si>
  <si>
    <t>77.08∠96°</t>
  </si>
  <si>
    <t>17.31∠260°</t>
  </si>
  <si>
    <t>113.6∠4°</t>
  </si>
  <si>
    <t>77.86∠100°</t>
  </si>
  <si>
    <t>17.63∠260°</t>
  </si>
  <si>
    <t>78.79∠98°</t>
  </si>
  <si>
    <t>114.2∠3°</t>
  </si>
  <si>
    <t>71.47∠99°</t>
  </si>
  <si>
    <t>40.24∠19°</t>
  </si>
  <si>
    <t>17.33∠261°</t>
  </si>
  <si>
    <t>79.63∠99°</t>
  </si>
  <si>
    <t>40.22∠21°</t>
  </si>
  <si>
    <t>17.79∠262°</t>
  </si>
  <si>
    <t>76.47∠98°</t>
  </si>
  <si>
    <t>17.48∠260°</t>
  </si>
  <si>
    <t>113.9∠3°</t>
  </si>
  <si>
    <t>79.1∠97°</t>
  </si>
  <si>
    <t>39.97∠20°</t>
  </si>
  <si>
    <t>17.36∠260°</t>
  </si>
  <si>
    <t>76.19∠98°</t>
  </si>
  <si>
    <t>39.78∠21°</t>
  </si>
  <si>
    <t>18.34∠262°</t>
  </si>
  <si>
    <t>79.8∠98°</t>
  </si>
  <si>
    <t>40.4∠19°</t>
  </si>
  <si>
    <t>78.44∠98°</t>
  </si>
  <si>
    <t>40.13∠20°</t>
  </si>
  <si>
    <t>17.87∠260°</t>
  </si>
  <si>
    <t>113.1∠3°</t>
  </si>
  <si>
    <t>79.69∠97°</t>
  </si>
  <si>
    <t>113.2∠4°</t>
  </si>
  <si>
    <t>79.48∠98°</t>
  </si>
  <si>
    <t>39.87∠20°</t>
  </si>
  <si>
    <t>17.6∠261°</t>
  </si>
  <si>
    <t>113∠4°</t>
  </si>
  <si>
    <t>76.4∠98°</t>
  </si>
  <si>
    <t>40.23∠20°</t>
  </si>
  <si>
    <t>17.89∠259°</t>
  </si>
  <si>
    <t>75.6∠97°</t>
  </si>
  <si>
    <t>17.53∠260°</t>
  </si>
  <si>
    <t>113.4∠3°</t>
  </si>
  <si>
    <t>76.41∠97°</t>
  </si>
  <si>
    <t>40.33∠20°</t>
  </si>
  <si>
    <t>17.86∠260°</t>
  </si>
  <si>
    <t>113.2∠3°</t>
  </si>
  <si>
    <t>77.2∠96°</t>
  </si>
  <si>
    <t>40.11∠21°</t>
  </si>
  <si>
    <t>17.76∠261°</t>
  </si>
  <si>
    <t>71.74∠98°</t>
  </si>
  <si>
    <t>39.94∠20°</t>
  </si>
  <si>
    <t>17.79∠261°</t>
  </si>
  <si>
    <t>113.4∠4°</t>
  </si>
  <si>
    <t>75.78∠98°</t>
  </si>
  <si>
    <t>39.48∠20°</t>
  </si>
  <si>
    <t>17.68∠260°</t>
  </si>
  <si>
    <t>112.4∠3°</t>
  </si>
  <si>
    <t>72.91∠100°</t>
  </si>
  <si>
    <t>17.43∠259°</t>
  </si>
  <si>
    <t>71.42∠97°</t>
  </si>
  <si>
    <t>39.34∠19°</t>
  </si>
  <si>
    <t>17.38∠259°</t>
  </si>
  <si>
    <t>112.5∠3°</t>
  </si>
  <si>
    <t>76.99∠98°</t>
  </si>
  <si>
    <t>17.43∠260°</t>
  </si>
  <si>
    <t>113.3∠4°</t>
  </si>
  <si>
    <t>78.38∠98°</t>
  </si>
  <si>
    <t>39.3∠20°</t>
  </si>
  <si>
    <t>17.41∠260°</t>
  </si>
  <si>
    <t>112.8∠3°</t>
  </si>
  <si>
    <t>76.91∠98°</t>
  </si>
  <si>
    <t>39.36∠19°</t>
  </si>
  <si>
    <t>17.31∠259°</t>
  </si>
  <si>
    <t>112.9∠4°</t>
  </si>
  <si>
    <t>76.27∠104°</t>
  </si>
  <si>
    <t>39.72∠21°</t>
  </si>
  <si>
    <t>17.29∠260°</t>
  </si>
  <si>
    <t>77.68∠97°</t>
  </si>
  <si>
    <t>39.6∠19°</t>
  </si>
  <si>
    <t>78.52∠97°</t>
  </si>
  <si>
    <t>17.9∠259°</t>
  </si>
  <si>
    <t>112.9∠3°</t>
  </si>
  <si>
    <t>75.09∠97°</t>
  </si>
  <si>
    <t>39.71∠20°</t>
  </si>
  <si>
    <t>17.39∠260°</t>
  </si>
  <si>
    <t>76.69∠97°</t>
  </si>
  <si>
    <t>39.13∠20°</t>
  </si>
  <si>
    <t>17.66∠261°</t>
  </si>
  <si>
    <t>112.7∠4°</t>
  </si>
  <si>
    <t>76.76∠99°</t>
  </si>
  <si>
    <t>39.61∠20°</t>
  </si>
  <si>
    <t>18.28∠261°</t>
  </si>
  <si>
    <t>113.1∠4°</t>
  </si>
  <si>
    <t>78.99∠99°</t>
  </si>
  <si>
    <t>39.81∠20°</t>
  </si>
  <si>
    <t>17.82∠261°</t>
  </si>
  <si>
    <t>76.77∠98°</t>
  </si>
  <si>
    <t>39.78∠20°</t>
  </si>
  <si>
    <t>77.52∠96°</t>
  </si>
  <si>
    <t>39.19∠20°</t>
  </si>
  <si>
    <t>17.69∠259°</t>
  </si>
  <si>
    <t>113.3∠3°</t>
  </si>
  <si>
    <t>77.32∠94°</t>
  </si>
  <si>
    <t>39.46∠20°</t>
  </si>
  <si>
    <t>17.08∠259°</t>
  </si>
  <si>
    <t>76.11∠97°</t>
  </si>
  <si>
    <t>39.3∠21°</t>
  </si>
  <si>
    <t>17.8∠262°</t>
  </si>
  <si>
    <t>113.6∠5°</t>
  </si>
  <si>
    <t>78.72∠99°</t>
  </si>
  <si>
    <t>78.7∠97°</t>
  </si>
  <si>
    <t>18.07∠262°</t>
  </si>
  <si>
    <t>75.4∠96°</t>
  </si>
  <si>
    <t>39.55∠21°</t>
  </si>
  <si>
    <t>18.47∠261°</t>
  </si>
  <si>
    <t>70.63∠96°</t>
  </si>
  <si>
    <t>40.52∠20°</t>
  </si>
  <si>
    <t>17.63∠262°</t>
  </si>
  <si>
    <t>113.4∠5°</t>
  </si>
  <si>
    <t>76.03∠98°</t>
  </si>
  <si>
    <t>39.63∠20°</t>
  </si>
  <si>
    <t>17.97∠261°</t>
  </si>
  <si>
    <t>75.24∠98°</t>
  </si>
  <si>
    <t>39.54∠20°</t>
  </si>
  <si>
    <t>17.89∠262°</t>
  </si>
  <si>
    <t>113∠5°</t>
  </si>
  <si>
    <t>74.35∠97°</t>
  </si>
  <si>
    <t>39.66∠19°</t>
  </si>
  <si>
    <t>18.25∠261°</t>
  </si>
  <si>
    <t>79.33∠98°</t>
  </si>
  <si>
    <t>113.3∠5°</t>
  </si>
  <si>
    <t>76.06∠99°</t>
  </si>
  <si>
    <t>18.31∠261°</t>
  </si>
  <si>
    <t>74.94∠98°</t>
  </si>
  <si>
    <t>39.76∠21°</t>
  </si>
  <si>
    <t>18.26∠261°</t>
  </si>
  <si>
    <t>112.6∠4°</t>
  </si>
  <si>
    <t>78.72∠98°</t>
  </si>
  <si>
    <t>39.5∠20°</t>
  </si>
  <si>
    <t>17.74∠261°</t>
  </si>
  <si>
    <t>112.8∠4°</t>
  </si>
  <si>
    <t>77.88∠98°</t>
  </si>
  <si>
    <t>38.98∠19°</t>
  </si>
  <si>
    <t>18.32∠261°</t>
  </si>
  <si>
    <t>77.18∠99°</t>
  </si>
  <si>
    <t>40.39∠22°</t>
  </si>
  <si>
    <t>112.7∠5°</t>
  </si>
  <si>
    <t>77.45∠98°</t>
  </si>
  <si>
    <t>39.73∠21°</t>
  </si>
  <si>
    <t>17.67∠261°</t>
  </si>
  <si>
    <t>112.2∠5°</t>
  </si>
  <si>
    <t>75.42∠99°</t>
  </si>
  <si>
    <t>39.37∠20°</t>
  </si>
  <si>
    <t>75.74∠99°</t>
  </si>
  <si>
    <t>18.12∠259°</t>
  </si>
  <si>
    <t>71.89∠96°</t>
  </si>
  <si>
    <t>18.22∠261°</t>
  </si>
  <si>
    <t>77.01∠98°</t>
  </si>
  <si>
    <t>39.53∠21°</t>
  </si>
  <si>
    <t>17.99∠260°</t>
  </si>
  <si>
    <t>76.73∠99°</t>
  </si>
  <si>
    <t>39.77∠20°</t>
  </si>
  <si>
    <t>78.33∠98°</t>
  </si>
  <si>
    <t>39.2∠20°</t>
  </si>
  <si>
    <t>76.65∠97°</t>
  </si>
  <si>
    <t>17.68∠261°</t>
  </si>
  <si>
    <t>112.7∠3°</t>
  </si>
  <si>
    <t>77.87∠98°</t>
  </si>
  <si>
    <t>17.81∠261°</t>
  </si>
  <si>
    <t>74.48∠98°</t>
  </si>
  <si>
    <t>39.57∠21°</t>
  </si>
  <si>
    <t>17.72∠261°</t>
  </si>
  <si>
    <t>69.08∠100°</t>
  </si>
  <si>
    <t>39.13∠21°</t>
  </si>
  <si>
    <t>18.17∠261°</t>
  </si>
  <si>
    <t>112.4∠4°</t>
  </si>
  <si>
    <t>77.5∠98°</t>
  </si>
  <si>
    <t>39.52∠21°</t>
  </si>
  <si>
    <t>75.69∠99°</t>
  </si>
  <si>
    <t>39.49∠21°</t>
  </si>
  <si>
    <t>112.5∠4°</t>
  </si>
  <si>
    <t>78.56∠98°</t>
  </si>
  <si>
    <t>39.21∠20°</t>
  </si>
  <si>
    <t>78.48∠98°</t>
  </si>
  <si>
    <t>18.41∠261°</t>
  </si>
  <si>
    <t>73.35∠100°</t>
  </si>
  <si>
    <t>39.91∠21°</t>
  </si>
  <si>
    <t>76.44∠97°</t>
  </si>
  <si>
    <t>39.85∠21°</t>
  </si>
  <si>
    <t>17.93∠262°</t>
  </si>
  <si>
    <t>112.6∠5°</t>
  </si>
  <si>
    <t>77.7∠100°</t>
  </si>
  <si>
    <t>39.58∠20°</t>
  </si>
  <si>
    <t>18.36∠259°</t>
  </si>
  <si>
    <t>77.96∠97°</t>
  </si>
  <si>
    <t>39.07∠20°</t>
  </si>
  <si>
    <t>18.15∠261°</t>
  </si>
  <si>
    <t>112.3∠4°</t>
  </si>
  <si>
    <t>76.14∠97°</t>
  </si>
  <si>
    <t>39.31∠19°</t>
  </si>
  <si>
    <t>18.09∠260°</t>
  </si>
  <si>
    <t>112∠3°</t>
  </si>
  <si>
    <t>75.32∠97°</t>
  </si>
  <si>
    <t>39.75∠20°</t>
  </si>
  <si>
    <t>17.94∠260°</t>
  </si>
  <si>
    <t>112.1∠4°</t>
  </si>
  <si>
    <t>78.4∠98°</t>
  </si>
  <si>
    <t>18.21∠260°</t>
  </si>
  <si>
    <t>76.89∠98°</t>
  </si>
  <si>
    <t>18.3∠260°</t>
  </si>
  <si>
    <t>75.48∠98°</t>
  </si>
  <si>
    <t>17.26∠262°</t>
  </si>
  <si>
    <t>39.54∠19°</t>
  </si>
  <si>
    <t>17.78∠259°</t>
  </si>
  <si>
    <t>73.77∠98°</t>
  </si>
  <si>
    <t>17.77∠261°</t>
  </si>
  <si>
    <t>71.05∠98°</t>
  </si>
  <si>
    <t>39.71∠19°</t>
  </si>
  <si>
    <t>73.51∠97°</t>
  </si>
  <si>
    <t>39.06∠21°</t>
  </si>
  <si>
    <t>17.49∠261°</t>
  </si>
  <si>
    <t>74.31∠97°</t>
  </si>
  <si>
    <t>39.44∠18°</t>
  </si>
  <si>
    <t>17.51∠260°</t>
  </si>
  <si>
    <t>111.9∠3°</t>
  </si>
  <si>
    <t>74.8∠100°</t>
  </si>
  <si>
    <t>39.14∠20°</t>
  </si>
  <si>
    <t>17.65∠260°</t>
  </si>
  <si>
    <t>72.2∠100°</t>
  </si>
  <si>
    <t>39.83∠20°</t>
  </si>
  <si>
    <t>18.32∠260°</t>
  </si>
  <si>
    <t>76.06∠98°</t>
  </si>
  <si>
    <t>39.7∠21°</t>
  </si>
  <si>
    <t>17.79∠260°</t>
  </si>
  <si>
    <t>74.99∠99°</t>
  </si>
  <si>
    <t>17.62∠261°</t>
  </si>
  <si>
    <t>112∠4°</t>
  </si>
  <si>
    <t>76.75∠97°</t>
  </si>
  <si>
    <t>17.73∠262°</t>
  </si>
  <si>
    <t>112.3∠5°</t>
  </si>
  <si>
    <t>76.72∠98°</t>
  </si>
  <si>
    <t>75.87∠98°</t>
  </si>
  <si>
    <t>39.52∠20°</t>
  </si>
  <si>
    <t>17.95∠260°</t>
  </si>
  <si>
    <t>112.5∠5°</t>
  </si>
  <si>
    <t>72.72∠98°</t>
  </si>
  <si>
    <t>18.09∠261°</t>
  </si>
  <si>
    <t>71.49∠96°</t>
  </si>
  <si>
    <t>38.94∠20°</t>
  </si>
  <si>
    <t>18.04∠262°</t>
  </si>
  <si>
    <t>73.41∠98°</t>
  </si>
  <si>
    <t>78.24∠97°</t>
  </si>
  <si>
    <t>39.17∠20°</t>
  </si>
  <si>
    <t>18.11∠261°</t>
  </si>
  <si>
    <t>112.2∠3°</t>
  </si>
  <si>
    <t>74.37∠98°</t>
  </si>
  <si>
    <t>17.9∠260°</t>
  </si>
  <si>
    <t>78.84∠98°</t>
  </si>
  <si>
    <t>39.84∠20°</t>
  </si>
  <si>
    <t>76.95∠101°</t>
  </si>
  <si>
    <t>39.28∠21°</t>
  </si>
  <si>
    <t>18.23∠261°</t>
  </si>
  <si>
    <t>77.34∠98°</t>
  </si>
  <si>
    <t>39.05∠20°</t>
  </si>
  <si>
    <t>74.49∠97°</t>
  </si>
  <si>
    <t>39.26∠20°</t>
  </si>
  <si>
    <t>18.48∠261°</t>
  </si>
  <si>
    <t>74.67∠98°</t>
  </si>
  <si>
    <t>39.43∠19°</t>
  </si>
  <si>
    <t>18.21∠261°</t>
  </si>
  <si>
    <t>66.71∠100°</t>
  </si>
  <si>
    <t>39.34∠20°</t>
  </si>
  <si>
    <t>70.38∠100°</t>
  </si>
  <si>
    <t>39.21∠19°</t>
  </si>
  <si>
    <t>18.62∠261°</t>
  </si>
  <si>
    <t>65.44∠102°</t>
  </si>
  <si>
    <t>69.88∠102°</t>
  </si>
  <si>
    <t>39.54∠21°</t>
  </si>
  <si>
    <t>18.34∠261°</t>
  </si>
  <si>
    <t>75.56∠99°</t>
  </si>
  <si>
    <t>39.3∠19°</t>
  </si>
  <si>
    <t>77.45∠99°</t>
  </si>
  <si>
    <t>39.64∠21°</t>
  </si>
  <si>
    <t>70.26∠98°</t>
  </si>
  <si>
    <t>74.24∠98°</t>
  </si>
  <si>
    <t>18.63∠260°</t>
  </si>
  <si>
    <t>75.55∠99°</t>
  </si>
  <si>
    <t>38.97∠21°</t>
  </si>
  <si>
    <t>18.3∠261°</t>
  </si>
  <si>
    <t>73.23∠102°</t>
  </si>
  <si>
    <t>39.01∠20°</t>
  </si>
  <si>
    <t>68.76∠99°</t>
  </si>
  <si>
    <t>18.07∠261°</t>
  </si>
  <si>
    <t>71.08∠96°</t>
  </si>
  <si>
    <t>18∠260°</t>
  </si>
  <si>
    <t>74.42∠97°</t>
  </si>
  <si>
    <t>38.96∠21°</t>
  </si>
  <si>
    <t>72.52∠98°</t>
  </si>
  <si>
    <t>38.71∠20°</t>
  </si>
  <si>
    <t>18.46∠260°</t>
  </si>
  <si>
    <t>76.43∠100°</t>
  </si>
  <si>
    <t>39.03∠20°</t>
  </si>
  <si>
    <t>17.77∠260°</t>
  </si>
  <si>
    <t>76.02∠98°</t>
  </si>
  <si>
    <t>39.45∠19°</t>
  </si>
  <si>
    <t>18.16∠260°</t>
  </si>
  <si>
    <t>69.97∠96°</t>
  </si>
  <si>
    <t>39.41∠21°</t>
  </si>
  <si>
    <t>18.25∠260°</t>
  </si>
  <si>
    <t>72.86∠98°</t>
  </si>
  <si>
    <t>17.7∠261°</t>
  </si>
  <si>
    <t>72.92∠98°</t>
  </si>
  <si>
    <t>38.84∠20°</t>
  </si>
  <si>
    <t>18.38∠261°</t>
  </si>
  <si>
    <t>76.1∠97°</t>
  </si>
  <si>
    <t>39.6∠21°</t>
  </si>
  <si>
    <t>73.54∠100°</t>
  </si>
  <si>
    <t>38.98∠21°</t>
  </si>
  <si>
    <t>18.89∠262°</t>
  </si>
  <si>
    <t>70.03∠98°</t>
  </si>
  <si>
    <t>39.71∠21°</t>
  </si>
  <si>
    <t>18.44∠261°</t>
  </si>
  <si>
    <t>73.03∠97°</t>
  </si>
  <si>
    <t>60.51∠98°</t>
  </si>
  <si>
    <t>18.47∠262°</t>
  </si>
  <si>
    <t>54.83∠106°</t>
  </si>
  <si>
    <t>39.59∠20°</t>
  </si>
  <si>
    <t>18.67∠261°</t>
  </si>
  <si>
    <t>71.04∠98°</t>
  </si>
  <si>
    <t>39.42∠20°</t>
  </si>
  <si>
    <t>18.43∠261°</t>
  </si>
  <si>
    <t>59.74∠104°</t>
  </si>
  <si>
    <t>39.79∠21°</t>
  </si>
  <si>
    <t>19.5∠263°</t>
  </si>
  <si>
    <t>113.5∠5°</t>
  </si>
  <si>
    <t>68.32∠99°</t>
  </si>
  <si>
    <t>39.15∠21°</t>
  </si>
  <si>
    <t>18.53∠262°</t>
  </si>
  <si>
    <t>113.2∠5°</t>
  </si>
  <si>
    <t>72.55∠98°</t>
  </si>
  <si>
    <t>39.61∠22°</t>
  </si>
  <si>
    <t>18.68∠262°</t>
  </si>
  <si>
    <t>112.9∠5°</t>
  </si>
  <si>
    <t>70.18∠100°</t>
  </si>
  <si>
    <t>39.61∠21°</t>
  </si>
  <si>
    <t>18.61∠260°</t>
  </si>
  <si>
    <t>78.1∠98°</t>
  </si>
  <si>
    <t>39.75∠22°</t>
  </si>
  <si>
    <t>18.64∠261°</t>
  </si>
  <si>
    <t>113.8∠5°</t>
  </si>
  <si>
    <t>75.38∠99°</t>
  </si>
  <si>
    <t>18.46∠262°</t>
  </si>
  <si>
    <t>77.93∠97°</t>
  </si>
  <si>
    <t>39.87∠22°</t>
  </si>
  <si>
    <t>18.29∠261°</t>
  </si>
  <si>
    <t>76.83∠99°</t>
  </si>
  <si>
    <t>73.95∠99°</t>
  </si>
  <si>
    <t>38.86∠21°</t>
  </si>
  <si>
    <t>74.42∠96°</t>
  </si>
  <si>
    <t>39.16∠21°</t>
  </si>
  <si>
    <t>69.09∠97°</t>
  </si>
  <si>
    <t>39.33∠21°</t>
  </si>
  <si>
    <t>18.73∠261°</t>
  </si>
  <si>
    <t>72.98∠94°</t>
  </si>
  <si>
    <t>39.37∠21°</t>
  </si>
  <si>
    <t>72.45∠96°</t>
  </si>
  <si>
    <t>39.35∠21°</t>
  </si>
  <si>
    <t>18.74∠263°</t>
  </si>
  <si>
    <t>73.97∠95°</t>
  </si>
  <si>
    <t>39.77∠21°</t>
  </si>
  <si>
    <t>18.51∠261°</t>
  </si>
  <si>
    <t>113.7∠5°</t>
  </si>
  <si>
    <t>72.49∠97°</t>
  </si>
  <si>
    <t>73.03∠96°</t>
  </si>
  <si>
    <t>39.19∠21°</t>
  </si>
  <si>
    <t>19.1∠262°</t>
  </si>
  <si>
    <t>64.76∠101°</t>
  </si>
  <si>
    <t>39.62∠22°</t>
  </si>
  <si>
    <t>18.92∠263°</t>
  </si>
  <si>
    <t>75.08∠98°</t>
  </si>
  <si>
    <t>18.77∠263°</t>
  </si>
  <si>
    <t>72.96∠99°</t>
  </si>
  <si>
    <t>38.42∠35°</t>
  </si>
  <si>
    <t>17.56∠275°</t>
  </si>
  <si>
    <t>107.4∠18°</t>
  </si>
  <si>
    <t>71.02∠113°</t>
  </si>
  <si>
    <t>37.14∠37°</t>
  </si>
  <si>
    <t>15.81∠276°</t>
  </si>
  <si>
    <t>101.7∠21°</t>
  </si>
  <si>
    <t>70.64∠114°</t>
  </si>
  <si>
    <t>36.41∠36°</t>
  </si>
  <si>
    <t>14.71∠278°</t>
  </si>
  <si>
    <t>96.72∠20°</t>
  </si>
  <si>
    <t>62.37∠115°</t>
  </si>
  <si>
    <t>34.22∠33°</t>
  </si>
  <si>
    <t>11.82∠276°</t>
  </si>
  <si>
    <t>90.33∠17°</t>
  </si>
  <si>
    <t>61.52∠114°</t>
  </si>
  <si>
    <t>30.95∠32°</t>
  </si>
  <si>
    <t>11.39∠266°</t>
  </si>
  <si>
    <t>84.68∠17°</t>
  </si>
  <si>
    <t>58.51∠117°</t>
  </si>
  <si>
    <t>27.74∠31°</t>
  </si>
  <si>
    <t>8.29∠268°</t>
  </si>
  <si>
    <t>78.22∠15°</t>
  </si>
  <si>
    <t>56.57∠112°</t>
  </si>
  <si>
    <t>23.32∠37°</t>
  </si>
  <si>
    <t>6.22∠250°</t>
  </si>
  <si>
    <t>70.26∠15°</t>
  </si>
  <si>
    <t>51.68∠114°</t>
  </si>
  <si>
    <t>20.4∠50°</t>
  </si>
  <si>
    <t>3.13∠258°</t>
  </si>
  <si>
    <t>62.46∠17°</t>
  </si>
  <si>
    <t>54.86∠107°</t>
  </si>
  <si>
    <t>26.08∠77°</t>
  </si>
  <si>
    <t>3.01∠354°</t>
  </si>
  <si>
    <t>58.12∠30°</t>
  </si>
  <si>
    <t>57.38∠105°</t>
  </si>
  <si>
    <t>42.12∠66°</t>
  </si>
  <si>
    <t>8.35∠342°</t>
  </si>
  <si>
    <t>70.56∠35°</t>
  </si>
  <si>
    <t>43.89∠94°</t>
  </si>
  <si>
    <t>42.57∠44°</t>
  </si>
  <si>
    <t>9.28∠290°</t>
  </si>
  <si>
    <t>76.61∠23°</t>
  </si>
  <si>
    <t>38.42∠105°</t>
  </si>
  <si>
    <t>36.65∠45°</t>
  </si>
  <si>
    <t>6.76∠295°</t>
  </si>
  <si>
    <t>69.91∠22°</t>
  </si>
  <si>
    <t>40.73∠108°</t>
  </si>
  <si>
    <t>36.82∠43°</t>
  </si>
  <si>
    <t>5.82∠279°</t>
  </si>
  <si>
    <t>67.39∠21°</t>
  </si>
  <si>
    <t>33.43∠111°</t>
  </si>
  <si>
    <t>37.19∠44°</t>
  </si>
  <si>
    <t>4.57∠287°</t>
  </si>
  <si>
    <t>65.05∠21°</t>
  </si>
  <si>
    <t>41.14∠104°</t>
  </si>
  <si>
    <t>37.14∠42°</t>
  </si>
  <si>
    <t>4.43∠291°</t>
  </si>
  <si>
    <t>64.3∠21°</t>
  </si>
  <si>
    <t>38.07∠108°</t>
  </si>
  <si>
    <t>37.42∠42°</t>
  </si>
  <si>
    <t>4.2∠285°</t>
  </si>
  <si>
    <t>62.63∠21°</t>
  </si>
  <si>
    <t>35.81∠105°</t>
  </si>
  <si>
    <t>38.23∠39°</t>
  </si>
  <si>
    <t>3.34∠289°</t>
  </si>
  <si>
    <t>61.71∠20°</t>
  </si>
  <si>
    <t>21.43∠124°</t>
  </si>
  <si>
    <t>38.03∠35°</t>
  </si>
  <si>
    <t>3.83∠273°</t>
  </si>
  <si>
    <t>57.83∠19°</t>
  </si>
  <si>
    <t>38.79∠105°</t>
  </si>
  <si>
    <t>38.12∠33°</t>
  </si>
  <si>
    <t>4.38∠261°</t>
  </si>
  <si>
    <t>56.2∠19°</t>
  </si>
  <si>
    <t>24.76∠102°</t>
  </si>
  <si>
    <t>37.49∠31°</t>
  </si>
  <si>
    <t>3.98∠260°</t>
  </si>
  <si>
    <t>53.63∠19°</t>
  </si>
  <si>
    <t>28.51∠104°</t>
  </si>
  <si>
    <t>38.59∠30°</t>
  </si>
  <si>
    <t>3.43∠266°</t>
  </si>
  <si>
    <t>52.31∠19°</t>
  </si>
  <si>
    <t>25.56∠104°</t>
  </si>
  <si>
    <t>38.9∠28°</t>
  </si>
  <si>
    <t>3.49∠271°</t>
  </si>
  <si>
    <t>50.64∠19°</t>
  </si>
  <si>
    <t>24∠115°</t>
  </si>
  <si>
    <t>39.12∠25°</t>
  </si>
  <si>
    <t>3.63∠264°</t>
  </si>
  <si>
    <t>50.04∠17°</t>
  </si>
  <si>
    <t>20.98∠100°</t>
  </si>
  <si>
    <t>39.81∠25°</t>
  </si>
  <si>
    <t>3.99∠257°</t>
  </si>
  <si>
    <t>49.33∠19°</t>
  </si>
  <si>
    <t>25.61∠96°</t>
  </si>
  <si>
    <t>39.36∠22°</t>
  </si>
  <si>
    <t>4.01∠259°</t>
  </si>
  <si>
    <t>48.07∠16°</t>
  </si>
  <si>
    <t>15.15∠87°</t>
  </si>
  <si>
    <t>35.54∠32°</t>
  </si>
  <si>
    <t>4.14∠271°</t>
  </si>
  <si>
    <t>47.01∠23°</t>
  </si>
  <si>
    <t>25.79∠114°</t>
  </si>
  <si>
    <t>36.21∠17°</t>
  </si>
  <si>
    <t>2.01∠250°</t>
  </si>
  <si>
    <t>44.31∠12°</t>
  </si>
  <si>
    <t>23.45∠84°</t>
  </si>
  <si>
    <t>36.15∠15°</t>
  </si>
  <si>
    <t>4.26∠239°</t>
  </si>
  <si>
    <t>41.58∠13°</t>
  </si>
  <si>
    <t>21.31∠79°</t>
  </si>
  <si>
    <t>35.86∠14°</t>
  </si>
  <si>
    <t>4.84∠242°</t>
  </si>
  <si>
    <t>39.76∠13°</t>
  </si>
  <si>
    <t>19.85∠113°</t>
  </si>
  <si>
    <t>35.39∠10°</t>
  </si>
  <si>
    <t>4.54∠243°</t>
  </si>
  <si>
    <t>38.51∠9°</t>
  </si>
  <si>
    <t>17.54∠93°</t>
  </si>
  <si>
    <t>34.25∠7°</t>
  </si>
  <si>
    <t>4.93∠238°</t>
  </si>
  <si>
    <t>36.73∠7°</t>
  </si>
  <si>
    <t>15.8∠52°</t>
  </si>
  <si>
    <t>33.22∠6°</t>
  </si>
  <si>
    <t>4.89∠242°</t>
  </si>
  <si>
    <t>34.72∠7°</t>
  </si>
  <si>
    <t>16.58∠118°</t>
  </si>
  <si>
    <t>32.58∠5°</t>
  </si>
  <si>
    <t>5.72∠240°</t>
  </si>
  <si>
    <t>32.83∠6°</t>
  </si>
  <si>
    <t>10.47∠67°</t>
  </si>
  <si>
    <t>31.62∠2°</t>
  </si>
  <si>
    <t>5.97∠236°</t>
  </si>
  <si>
    <t>31.79∠5°</t>
  </si>
  <si>
    <t>11.53∠56°</t>
  </si>
  <si>
    <t>31.15∠1°</t>
  </si>
  <si>
    <t>6.55∠236°</t>
  </si>
  <si>
    <t>29.87∠4°</t>
  </si>
  <si>
    <t>14.9∠82°</t>
  </si>
  <si>
    <t>30.6∠360°</t>
  </si>
  <si>
    <t>7.16∠237°</t>
  </si>
  <si>
    <t>28.65∠3°</t>
  </si>
  <si>
    <t>23.38∠99°</t>
  </si>
  <si>
    <t>30.36∠360°</t>
  </si>
  <si>
    <t>7.34∠237°</t>
  </si>
  <si>
    <t>27.12∠4°</t>
  </si>
  <si>
    <t>17.98∠91°</t>
  </si>
  <si>
    <t>29.8∠356°</t>
  </si>
  <si>
    <t>8.23∠240°</t>
  </si>
  <si>
    <t>24.53∠2°</t>
  </si>
  <si>
    <t>12.35∠86°</t>
  </si>
  <si>
    <t>30.15∠354°</t>
  </si>
  <si>
    <t>10.29∠239°</t>
  </si>
  <si>
    <t>21.26∠4°</t>
  </si>
  <si>
    <t>24.36∠65°</t>
  </si>
  <si>
    <t>30.73∠351°</t>
  </si>
  <si>
    <t>11.57∠240°</t>
  </si>
  <si>
    <t>19.4∠3°</t>
  </si>
  <si>
    <t>19.53∠80°</t>
  </si>
  <si>
    <t>32∠347°</t>
  </si>
  <si>
    <t>15.13∠241°</t>
  </si>
  <si>
    <t>15.69∠9°</t>
  </si>
  <si>
    <t>25.14∠101°</t>
  </si>
  <si>
    <t>31.85∠342°</t>
  </si>
  <si>
    <t>18.73∠241°</t>
  </si>
  <si>
    <t>13.39∠13°</t>
  </si>
  <si>
    <t>23.13∠71°</t>
  </si>
  <si>
    <t>25.8∠316°</t>
  </si>
  <si>
    <t>25.14∠189°</t>
  </si>
  <si>
    <t>30.95∠35°</t>
  </si>
  <si>
    <t>30.44∠40°</t>
  </si>
  <si>
    <t>12.74∠356°</t>
  </si>
  <si>
    <t>7.61∠86°</t>
  </si>
  <si>
    <t>28.69∠341°</t>
  </si>
  <si>
    <t>2.94∠118°</t>
  </si>
  <si>
    <t>12.24∠348°</t>
  </si>
  <si>
    <t>7.94∠86°</t>
  </si>
  <si>
    <t>27.39∠342°</t>
  </si>
  <si>
    <t>3.27∠80°</t>
  </si>
  <si>
    <t>12.51∠346°</t>
  </si>
  <si>
    <t>5.95∠72°</t>
  </si>
  <si>
    <t>24.54∠340°</t>
  </si>
  <si>
    <t>8.34∠13°</t>
  </si>
  <si>
    <t>12.3∠343°</t>
  </si>
  <si>
    <t>6.23∠84°</t>
  </si>
  <si>
    <t>22.96∠337°</t>
  </si>
  <si>
    <t>3.96∠117°</t>
  </si>
  <si>
    <t>11.5∠344°</t>
  </si>
  <si>
    <t>5.21∠70°</t>
  </si>
  <si>
    <t>21.59∠334°</t>
  </si>
  <si>
    <t>7.34∠67°</t>
  </si>
  <si>
    <t>10.91∠341°</t>
  </si>
  <si>
    <t>5.29∠82°</t>
  </si>
  <si>
    <t>20.49∠333°</t>
  </si>
  <si>
    <t>11.01∠150°</t>
  </si>
  <si>
    <t>11.46∠339°</t>
  </si>
  <si>
    <t>4.18∠102°</t>
  </si>
  <si>
    <t>18.35∠332°</t>
  </si>
  <si>
    <t>5.34∠15°</t>
  </si>
  <si>
    <t>11.05∠335°</t>
  </si>
  <si>
    <t>4∠96°</t>
  </si>
  <si>
    <t>17.02∠328°</t>
  </si>
  <si>
    <t>5.9∠65°</t>
  </si>
  <si>
    <t>10.52∠332°</t>
  </si>
  <si>
    <t>4.51∠88°</t>
  </si>
  <si>
    <t>15.99∠327°</t>
  </si>
  <si>
    <t>10.99∠82°</t>
  </si>
  <si>
    <t>9.15∠334°</t>
  </si>
  <si>
    <t>2.37∠49°</t>
  </si>
  <si>
    <t>14.96∠327°</t>
  </si>
  <si>
    <t>7.41∠53°</t>
  </si>
  <si>
    <t>8.5∠330°</t>
  </si>
  <si>
    <t>2.25∠47°</t>
  </si>
  <si>
    <t>13.78∠323°</t>
  </si>
  <si>
    <t>9.24∠101°</t>
  </si>
  <si>
    <t>7.84∠328°</t>
  </si>
  <si>
    <t>2.18∠47°</t>
  </si>
  <si>
    <t>12.88∠321°</t>
  </si>
  <si>
    <t>7.39∠331°</t>
  </si>
  <si>
    <t>7.58∠327°</t>
  </si>
  <si>
    <t>1.73∠43°</t>
  </si>
  <si>
    <t>12.41∠319°</t>
  </si>
  <si>
    <t>10.58∠309°</t>
  </si>
  <si>
    <t>7.11∠326°</t>
  </si>
  <si>
    <t>1.74∠47°</t>
  </si>
  <si>
    <t>11.54∠319°</t>
  </si>
  <si>
    <t>2.02∠255°</t>
  </si>
  <si>
    <t>6.78∠324°</t>
  </si>
  <si>
    <t>1.31∠56°</t>
  </si>
  <si>
    <t>11.03∠317°</t>
  </si>
  <si>
    <t>3.72∠77°</t>
  </si>
  <si>
    <t>6.41∠326°</t>
  </si>
  <si>
    <t>1.81∠64°</t>
  </si>
  <si>
    <t>10.5∠315°</t>
  </si>
  <si>
    <t>3.44∠108°</t>
  </si>
  <si>
    <t>6.52∠324°</t>
  </si>
  <si>
    <t>2.1∠81°</t>
  </si>
  <si>
    <t>10.49∠314°</t>
  </si>
  <si>
    <t>4.74∠283°</t>
  </si>
  <si>
    <t>6.21∠319°</t>
  </si>
  <si>
    <t>2.38∠62°</t>
  </si>
  <si>
    <t>10.06∠313°</t>
  </si>
  <si>
    <t>10.25∠162°</t>
  </si>
  <si>
    <t>5.7∠319°</t>
  </si>
  <si>
    <t>1.64∠55°</t>
  </si>
  <si>
    <t>9.18∠310°</t>
  </si>
  <si>
    <t>2.23∠98°</t>
  </si>
  <si>
    <t>5.35∠318°</t>
  </si>
  <si>
    <t>1.73∠42°</t>
  </si>
  <si>
    <t>8.83∠308°</t>
  </si>
  <si>
    <t>6.62∠293°</t>
  </si>
  <si>
    <t>4.86∠315°</t>
  </si>
  <si>
    <t>2.04∠13°</t>
  </si>
  <si>
    <t>8.05∠307°</t>
  </si>
  <si>
    <t>1.16∠270°</t>
  </si>
  <si>
    <t>4.56∠314°</t>
  </si>
  <si>
    <t>1.58∠8°</t>
  </si>
  <si>
    <t>7.69∠306°</t>
  </si>
  <si>
    <t>3.66∠11°</t>
  </si>
  <si>
    <t>4.21∠310°</t>
  </si>
  <si>
    <t>1.56∠4°</t>
  </si>
  <si>
    <t>7.38∠303°</t>
  </si>
  <si>
    <t>2.56∠261°</t>
  </si>
  <si>
    <t>3.81∠311°</t>
  </si>
  <si>
    <t>1.64∠2°</t>
  </si>
  <si>
    <t>6.87∠302°</t>
  </si>
  <si>
    <t>1.35∠279°</t>
  </si>
  <si>
    <t>3.68∠308°</t>
  </si>
  <si>
    <t>1.61∠6°</t>
  </si>
  <si>
    <t>6.36∠301°</t>
  </si>
  <si>
    <t>2.47∠282°</t>
  </si>
  <si>
    <t>3.3∠307°</t>
  </si>
  <si>
    <t>1.54∠359°</t>
  </si>
  <si>
    <t>6.03∠298°</t>
  </si>
  <si>
    <t>3.34∠347°</t>
  </si>
  <si>
    <t>3.07∠304°</t>
  </si>
  <si>
    <t>1.2∠347°</t>
  </si>
  <si>
    <t>5.89∠298°</t>
  </si>
  <si>
    <t>0.72∠352°</t>
  </si>
  <si>
    <t>2.87∠314°</t>
  </si>
  <si>
    <t>1.21∠354°</t>
  </si>
  <si>
    <t>5.44∠303°</t>
  </si>
  <si>
    <t>1.01∠247°</t>
  </si>
  <si>
    <t>2.7∠312°</t>
  </si>
  <si>
    <t>1.13∠339°</t>
  </si>
  <si>
    <t>5.14∠299°</t>
  </si>
  <si>
    <t>0.82∠333°</t>
  </si>
  <si>
    <t>2.47∠309°</t>
  </si>
  <si>
    <t>1.14∠340°</t>
  </si>
  <si>
    <t>4.73∠297°</t>
  </si>
  <si>
    <t>1.05∠305°</t>
  </si>
  <si>
    <t>2.27∠310°</t>
  </si>
  <si>
    <t>1.14∠331°</t>
  </si>
  <si>
    <t>4.61∠295°</t>
  </si>
  <si>
    <t>0.88∠283°</t>
  </si>
  <si>
    <t>2.16∠308°</t>
  </si>
  <si>
    <t>1.02∠332°</t>
  </si>
  <si>
    <t>0.95∠333°</t>
  </si>
  <si>
    <t>1.78∠309°</t>
  </si>
  <si>
    <t>1.16∠328°</t>
  </si>
  <si>
    <t>3.96∠292°</t>
  </si>
  <si>
    <t>6.88∠185°</t>
  </si>
  <si>
    <t>1.63∠305°</t>
  </si>
  <si>
    <t>1.08∠325°</t>
  </si>
  <si>
    <t>3.63∠290°</t>
  </si>
  <si>
    <t>9.14∠271°</t>
  </si>
  <si>
    <t>1.46∠304°</t>
  </si>
  <si>
    <t>0.94∠317°</t>
  </si>
  <si>
    <t>3.52∠287°</t>
  </si>
  <si>
    <t>0.97∠112°</t>
  </si>
  <si>
    <t>1.17∠305°</t>
  </si>
  <si>
    <t>1.07∠314°</t>
  </si>
  <si>
    <t>3.19∠290°</t>
  </si>
  <si>
    <t>15.06∠286°</t>
  </si>
  <si>
    <t>1.04∠304°</t>
  </si>
  <si>
    <t>1.06∠304°</t>
  </si>
  <si>
    <t>2.93∠288°</t>
  </si>
  <si>
    <t>4.81∠64°</t>
  </si>
  <si>
    <t>0.91∠302°</t>
  </si>
  <si>
    <t>1.01∠309°</t>
  </si>
  <si>
    <t>2.74∠286°</t>
  </si>
  <si>
    <t>3.34∠283°</t>
  </si>
  <si>
    <t>0.88∠301°</t>
  </si>
  <si>
    <t>2.67∠286°</t>
  </si>
  <si>
    <t>2.71∠288°</t>
  </si>
  <si>
    <t>0.7∠300°</t>
  </si>
  <si>
    <t>1.02∠306°</t>
  </si>
  <si>
    <t>5.97∠354°</t>
  </si>
  <si>
    <t>0.64∠300°</t>
  </si>
  <si>
    <t>1.19∠298°</t>
  </si>
  <si>
    <t>2.43∠281°</t>
  </si>
  <si>
    <t>4.84∠269°</t>
  </si>
  <si>
    <t>0.5∠322°</t>
  </si>
  <si>
    <t>0.9∠306°</t>
  </si>
  <si>
    <t>2.21∠285°</t>
  </si>
  <si>
    <t>2.3∠120°</t>
  </si>
  <si>
    <t>0.39∠326°</t>
  </si>
  <si>
    <t>1.13∠307°</t>
  </si>
  <si>
    <t>2.06∠281°</t>
  </si>
  <si>
    <t>2.78∠263°</t>
  </si>
  <si>
    <t>0.33∠310°</t>
  </si>
  <si>
    <t>1.15∠304°</t>
  </si>
  <si>
    <t>1.96∠281°</t>
  </si>
  <si>
    <t>2.3∠227°</t>
  </si>
  <si>
    <t>0.23∠317°</t>
  </si>
  <si>
    <t>1.13∠299°</t>
  </si>
  <si>
    <t>1.89∠282°</t>
  </si>
  <si>
    <t>1.41∠289°</t>
  </si>
  <si>
    <t>0.19∠335°</t>
  </si>
  <si>
    <t>1.05∠289°</t>
  </si>
  <si>
    <t>1.86∠280°</t>
  </si>
  <si>
    <t>1.06∠276°</t>
  </si>
  <si>
    <t>0.15∠48°</t>
  </si>
  <si>
    <t>1.25∠295°</t>
  </si>
  <si>
    <t>1.58∠278°</t>
  </si>
  <si>
    <t>1.46∠202°</t>
  </si>
  <si>
    <t>0.15∠47°</t>
  </si>
  <si>
    <t>1.02∠285°</t>
  </si>
  <si>
    <t>1.56∠276°</t>
  </si>
  <si>
    <t>1.76∠258°</t>
  </si>
  <si>
    <t>0.21∠71°</t>
  </si>
  <si>
    <t>1.14∠293°</t>
  </si>
  <si>
    <t>1.46∠276°</t>
  </si>
  <si>
    <t>0.55∠263°</t>
  </si>
  <si>
    <t>0.38∠86°</t>
  </si>
  <si>
    <t>1.03∠283°</t>
  </si>
  <si>
    <t>1.38∠273°</t>
  </si>
  <si>
    <t>1.01∠233°</t>
  </si>
  <si>
    <t>0.25∠84°</t>
  </si>
  <si>
    <t>1.23∠286°</t>
  </si>
  <si>
    <t>1.37∠274°</t>
  </si>
  <si>
    <t>1.31∠291°</t>
  </si>
  <si>
    <t>0.27∠110°</t>
  </si>
  <si>
    <t>0.99∠281°</t>
  </si>
  <si>
    <t>1.36∠270°</t>
  </si>
  <si>
    <t>1.17∠304°</t>
  </si>
  <si>
    <t>1.2∠289°</t>
  </si>
  <si>
    <t>1.14∠272°</t>
  </si>
  <si>
    <t>1.4∠277°</t>
  </si>
  <si>
    <t>0.7∠89°</t>
  </si>
  <si>
    <t>1.19∠289°</t>
  </si>
  <si>
    <t>1.07∠269°</t>
  </si>
  <si>
    <t>0.32∠262°</t>
  </si>
  <si>
    <t>1.21∠282°</t>
  </si>
  <si>
    <t>0.99∠268°</t>
  </si>
  <si>
    <t>1.67∠273°</t>
  </si>
  <si>
    <t>0.48∠103°</t>
  </si>
  <si>
    <t>1.02∠277°</t>
  </si>
  <si>
    <t>1.05∠269°</t>
  </si>
  <si>
    <t>1.59∠255°</t>
  </si>
  <si>
    <t>0.65∠97°</t>
  </si>
  <si>
    <t>1.06∠287°</t>
  </si>
  <si>
    <t>0.84∠268°</t>
  </si>
  <si>
    <t>0.15∠299°</t>
  </si>
  <si>
    <t>0.72∠93°</t>
  </si>
  <si>
    <t>1.28∠281°</t>
  </si>
  <si>
    <t>0.87∠264°</t>
  </si>
  <si>
    <t>0.77∠332°</t>
  </si>
  <si>
    <t>0.87∠89°</t>
  </si>
  <si>
    <t>1.3∠284°</t>
  </si>
  <si>
    <t>0.82∠271°</t>
  </si>
  <si>
    <t>1.07∠235°</t>
  </si>
  <si>
    <t>0.93∠101°</t>
  </si>
  <si>
    <t>1.02∠280°</t>
  </si>
  <si>
    <t>0.71∠258°</t>
  </si>
  <si>
    <t>0.76∠272°</t>
  </si>
  <si>
    <t>1.12∠97°</t>
  </si>
  <si>
    <t>1.15∠271°</t>
  </si>
  <si>
    <t>0.59∠252°</t>
  </si>
  <si>
    <t>1.09∠258°</t>
  </si>
  <si>
    <t>1.14∠99°</t>
  </si>
  <si>
    <t>1.39∠271°</t>
  </si>
  <si>
    <t>0.63∠248°</t>
  </si>
  <si>
    <t>1.09∠252°</t>
  </si>
  <si>
    <t>1.09∠84°</t>
  </si>
  <si>
    <t>1.45∠285°</t>
  </si>
  <si>
    <t>0.6∠281°</t>
  </si>
  <si>
    <t>0.94∠305°</t>
  </si>
  <si>
    <t>0.92∠89°</t>
  </si>
  <si>
    <t>1.46∠275°</t>
  </si>
  <si>
    <t>0.66∠270°</t>
  </si>
  <si>
    <t>1.42∠266°</t>
  </si>
  <si>
    <t>1.17∠88°</t>
  </si>
  <si>
    <t>1.42∠274°</t>
  </si>
  <si>
    <t>0.6∠267°</t>
  </si>
  <si>
    <t>0.93∠271°</t>
  </si>
  <si>
    <t>1.11∠90°</t>
  </si>
  <si>
    <t>1.29∠286°</t>
  </si>
  <si>
    <t>0.57∠271°</t>
  </si>
  <si>
    <t>1.98∠256°</t>
  </si>
  <si>
    <t>1.19∠97°</t>
  </si>
  <si>
    <t>1.52∠274°</t>
  </si>
  <si>
    <t>0.62∠257°</t>
  </si>
  <si>
    <t>1.55∠245°</t>
  </si>
  <si>
    <t>1.42∠91°</t>
  </si>
  <si>
    <t>1.35∠283°</t>
  </si>
  <si>
    <t>0.34∠280°</t>
  </si>
  <si>
    <t>0.8∠252°</t>
  </si>
  <si>
    <t>1.2∠97°</t>
  </si>
  <si>
    <t>1.37∠279°</t>
  </si>
  <si>
    <t>0.51∠265°</t>
  </si>
  <si>
    <t>1.5∠260°</t>
  </si>
  <si>
    <t>1.54∠96°</t>
  </si>
  <si>
    <t>1.3∠271°</t>
  </si>
  <si>
    <t>0.32∠247°</t>
  </si>
  <si>
    <t>0.7∠277°</t>
  </si>
  <si>
    <t>1.32∠91°</t>
  </si>
  <si>
    <t>1.49∠281°</t>
  </si>
  <si>
    <t>0.45∠272°</t>
  </si>
  <si>
    <t>0.93∠273°</t>
  </si>
  <si>
    <t>1.5∠100°</t>
  </si>
  <si>
    <t>1.12∠275°</t>
  </si>
  <si>
    <t>0.26∠214°</t>
  </si>
  <si>
    <t>0.93∠266°</t>
  </si>
  <si>
    <t>平均</t>
    <phoneticPr fontId="1" type="noConversion"/>
  </si>
  <si>
    <t>水平</t>
    <phoneticPr fontId="1" type="noConversion"/>
  </si>
  <si>
    <t>垂直</t>
    <phoneticPr fontId="1" type="noConversion"/>
  </si>
  <si>
    <t>DCSmm/s</t>
    <phoneticPr fontId="1" type="noConversion"/>
  </si>
  <si>
    <t>加1000g后</t>
    <phoneticPr fontId="1" type="noConversion"/>
  </si>
  <si>
    <t>加重前高负荷</t>
    <phoneticPr fontId="1" type="noConversion"/>
  </si>
  <si>
    <t>加重前低负荷</t>
    <phoneticPr fontId="1" type="noConversion"/>
  </si>
  <si>
    <t>采集mm/s</t>
    <phoneticPr fontId="1" type="noConversion"/>
  </si>
  <si>
    <t>风机进口水平</t>
    <phoneticPr fontId="1" type="noConversion"/>
  </si>
  <si>
    <t>风机出口垂直</t>
    <phoneticPr fontId="1" type="noConversion"/>
  </si>
  <si>
    <t>风机出口水平</t>
    <phoneticPr fontId="1" type="noConversion"/>
  </si>
  <si>
    <t>第一次启动</t>
    <phoneticPr fontId="1" type="noConversion"/>
  </si>
  <si>
    <t>滞后角取-10度</t>
    <phoneticPr fontId="1" type="noConversion"/>
  </si>
  <si>
    <t>从电机往风机看逆时针转</t>
    <phoneticPr fontId="1" type="noConversion"/>
  </si>
  <si>
    <t>水平探头在右边，</t>
    <phoneticPr fontId="1" type="noConversion"/>
  </si>
  <si>
    <t>相位探头在水平右边</t>
    <phoneticPr fontId="1" type="noConversion"/>
  </si>
  <si>
    <t>风机进口垂直</t>
    <phoneticPr fontId="1" type="noConversion"/>
  </si>
  <si>
    <t>电机驱动端水平</t>
    <phoneticPr fontId="1" type="noConversion"/>
  </si>
  <si>
    <t>电机自由端水平</t>
    <phoneticPr fontId="1" type="noConversion"/>
  </si>
  <si>
    <t>73.0 59.5∠70.3°</t>
    <phoneticPr fontId="1" type="noConversion"/>
  </si>
  <si>
    <t>30.4 14.7∠346.2°</t>
    <phoneticPr fontId="1" type="noConversion"/>
  </si>
  <si>
    <t>加重380g∠170°</t>
    <phoneticPr fontId="1" type="noConversion"/>
  </si>
  <si>
    <t>加重圆半周长1950mm</t>
    <phoneticPr fontId="1" type="noConversion"/>
  </si>
  <si>
    <t>第二次启动</t>
    <phoneticPr fontId="1" type="noConversion"/>
  </si>
  <si>
    <t>82.1 77.2∠64.4°</t>
  </si>
  <si>
    <t>第三次启动</t>
    <phoneticPr fontId="1" type="noConversion"/>
  </si>
  <si>
    <t>8.47∠34°</t>
    <phoneticPr fontId="1" type="noConversion"/>
  </si>
  <si>
    <t>47.2 39.7∠20°</t>
    <phoneticPr fontId="1" type="noConversion"/>
  </si>
  <si>
    <t>23.6 18∠260.6°</t>
  </si>
  <si>
    <t>116.4 113.5∠3.9°</t>
  </si>
  <si>
    <t>84.3 75.9∠98.1°</t>
  </si>
  <si>
    <t>第四次去掉第二次加重后启动</t>
    <phoneticPr fontId="1" type="noConversion"/>
  </si>
  <si>
    <t>4.22∠72°</t>
  </si>
  <si>
    <t>4.15∠149°</t>
  </si>
  <si>
    <t>5.17∠207°</t>
  </si>
  <si>
    <t>4.7∠318°</t>
  </si>
  <si>
    <t>82.88∠359°</t>
  </si>
  <si>
    <t>110.4∠71°</t>
  </si>
  <si>
    <t>106.1∠147°</t>
  </si>
  <si>
    <t>102.7∠248°</t>
  </si>
  <si>
    <t>81.1∠358°</t>
  </si>
  <si>
    <t>108.2∠71°</t>
  </si>
  <si>
    <t>104.8∠147°</t>
  </si>
  <si>
    <t>101.1∠248°</t>
  </si>
  <si>
    <t>80.37∠359°</t>
  </si>
  <si>
    <t>108.4∠71°</t>
  </si>
  <si>
    <t>103.6∠147°</t>
  </si>
  <si>
    <t>100.5∠248°</t>
  </si>
  <si>
    <t>79.11∠359°</t>
  </si>
  <si>
    <t>105.9∠71°</t>
  </si>
  <si>
    <t>101.5∠147°</t>
  </si>
  <si>
    <t>97.47∠248°</t>
  </si>
  <si>
    <t>78.34∠358°</t>
  </si>
  <si>
    <t>105.4∠71°</t>
  </si>
  <si>
    <t>100.5∠146°</t>
  </si>
  <si>
    <t>97.34∠248°</t>
  </si>
  <si>
    <t>77∠357°</t>
  </si>
  <si>
    <t>103.4∠70°</t>
  </si>
  <si>
    <t>100∠145°</t>
  </si>
  <si>
    <t>96.87∠247°</t>
  </si>
  <si>
    <t>75.98∠358°</t>
  </si>
  <si>
    <t>101.5∠71°</t>
  </si>
  <si>
    <t>99.04∠145°</t>
  </si>
  <si>
    <t>95.35∠247°</t>
  </si>
  <si>
    <t>74.96∠358°</t>
  </si>
  <si>
    <t>100.6∠70°</t>
  </si>
  <si>
    <t>97.7∠144°</t>
  </si>
  <si>
    <t>93.35∠247°</t>
  </si>
  <si>
    <t>74.39∠358°</t>
  </si>
  <si>
    <t>100.5∠70°</t>
  </si>
  <si>
    <t>97.6∠145°</t>
  </si>
  <si>
    <t>93.44∠247°</t>
  </si>
  <si>
    <t>73.47∠359°</t>
  </si>
  <si>
    <t>98.63∠71°</t>
  </si>
  <si>
    <t>96.61∠145°</t>
  </si>
  <si>
    <t>91.68∠247°</t>
  </si>
  <si>
    <t>72.14∠359°</t>
  </si>
  <si>
    <t>97.27∠71°</t>
  </si>
  <si>
    <t>95.03∠145°</t>
  </si>
  <si>
    <t>90.46∠247°</t>
  </si>
  <si>
    <t>72.11∠358°</t>
  </si>
  <si>
    <t>96.45∠71°</t>
  </si>
  <si>
    <t>94.49∠144°</t>
  </si>
  <si>
    <t>90.45∠246°</t>
  </si>
  <si>
    <t>71.35∠358°</t>
  </si>
  <si>
    <t>95.86∠71°</t>
  </si>
  <si>
    <t>93.53∠144°</t>
  </si>
  <si>
    <t>89.9∠246°</t>
  </si>
  <si>
    <t>70.07∠359°</t>
  </si>
  <si>
    <t>93.76∠70°</t>
  </si>
  <si>
    <t>92.67∠145°</t>
  </si>
  <si>
    <t>87.9∠246°</t>
  </si>
  <si>
    <t>69.88∠358°</t>
  </si>
  <si>
    <t>93.75∠70°</t>
  </si>
  <si>
    <t>92.37∠144°</t>
  </si>
  <si>
    <t>88.31∠246°</t>
  </si>
  <si>
    <t>69.05∠358°</t>
  </si>
  <si>
    <t>93.15∠71°</t>
  </si>
  <si>
    <t>91.49∠144°</t>
  </si>
  <si>
    <t>87.12∠247°</t>
  </si>
  <si>
    <t>68.32∠358°</t>
  </si>
  <si>
    <t>90.93∠70°</t>
  </si>
  <si>
    <t>90.85∠143°</t>
  </si>
  <si>
    <t>85.96∠246°</t>
  </si>
  <si>
    <t>67.87∠358°</t>
  </si>
  <si>
    <t>91.15∠70°</t>
  </si>
  <si>
    <t>90.26∠143°</t>
  </si>
  <si>
    <t>85.94∠245°</t>
  </si>
  <si>
    <t>67.2∠359°</t>
  </si>
  <si>
    <t>89.4∠70°</t>
  </si>
  <si>
    <t>89.49∠144°</t>
  </si>
  <si>
    <t>84.41∠246°</t>
  </si>
  <si>
    <t>66.71∠358°</t>
  </si>
  <si>
    <t>89.06∠70°</t>
  </si>
  <si>
    <t>89.04∠143°</t>
  </si>
  <si>
    <t>84.26∠245°</t>
  </si>
  <si>
    <t>66.12∠359°</t>
  </si>
  <si>
    <t>88.48∠70°</t>
  </si>
  <si>
    <t>88.25∠143°</t>
  </si>
  <si>
    <t>83.9∠247°</t>
  </si>
  <si>
    <t>65.55∠358°</t>
  </si>
  <si>
    <t>87.31∠69°</t>
  </si>
  <si>
    <t>87.66∠143°</t>
  </si>
  <si>
    <t>83.05∠245°</t>
  </si>
  <si>
    <t>65.29∠0°</t>
  </si>
  <si>
    <t>85.89∠71°</t>
  </si>
  <si>
    <t>86.5∠143°</t>
  </si>
  <si>
    <t>81.84∠245°</t>
  </si>
  <si>
    <t>65.27∠359°</t>
  </si>
  <si>
    <t>86.7∠70°</t>
  </si>
  <si>
    <t>86.7∠142°</t>
  </si>
  <si>
    <t>82.62∠246°</t>
  </si>
  <si>
    <t>64.26∠0°</t>
  </si>
  <si>
    <t>85.03∠71°</t>
  </si>
  <si>
    <t>86.34∠143°</t>
  </si>
  <si>
    <t>80.64∠246°</t>
  </si>
  <si>
    <t>63.16∠360°</t>
  </si>
  <si>
    <t>84.88∠70°</t>
  </si>
  <si>
    <t>85.69∠142°</t>
  </si>
  <si>
    <t>80.17∠246°</t>
  </si>
  <si>
    <t>62.53∠360°</t>
  </si>
  <si>
    <t>84.45∠70°</t>
  </si>
  <si>
    <t>85.7∠142°</t>
  </si>
  <si>
    <t>80.29∠246°</t>
  </si>
  <si>
    <t>62.71∠359°</t>
  </si>
  <si>
    <t>83.61∠70°</t>
  </si>
  <si>
    <t>84.44∠142°</t>
  </si>
  <si>
    <t>79.45∠245°</t>
  </si>
  <si>
    <t>62.36∠359°</t>
  </si>
  <si>
    <t>83.41∠70°</t>
  </si>
  <si>
    <t>83.64∠142°</t>
  </si>
  <si>
    <t>79.04∠245°</t>
  </si>
  <si>
    <t>62.89∠358°</t>
  </si>
  <si>
    <t>81.46∠70°</t>
  </si>
  <si>
    <t>83.42∠141°</t>
  </si>
  <si>
    <t>78.64∠245°</t>
  </si>
  <si>
    <t>61.94∠359°</t>
  </si>
  <si>
    <t>81.7∠70°</t>
  </si>
  <si>
    <t>82.08∠142°</t>
  </si>
  <si>
    <t>78.47∠246°</t>
  </si>
  <si>
    <t>61∠359°</t>
  </si>
  <si>
    <t>80.6∠70°</t>
  </si>
  <si>
    <t>82.72∠141°</t>
  </si>
  <si>
    <t>77.27∠245°</t>
  </si>
  <si>
    <t>60.5∠359°</t>
  </si>
  <si>
    <t>81.02∠71°</t>
  </si>
  <si>
    <t>81.97∠142°</t>
  </si>
  <si>
    <t>77.1∠245°</t>
  </si>
  <si>
    <t>60.18∠359°</t>
  </si>
  <si>
    <t>81.82∠141°</t>
  </si>
  <si>
    <t>76.64∠245°</t>
  </si>
  <si>
    <t>59.65∠358°</t>
  </si>
  <si>
    <t>78.89∠69°</t>
  </si>
  <si>
    <t>81.34∠140°</t>
  </si>
  <si>
    <t>76.22∠244°</t>
  </si>
  <si>
    <t>59.69∠358°</t>
  </si>
  <si>
    <t>79.27∠69°</t>
  </si>
  <si>
    <t>80.63∠140°</t>
  </si>
  <si>
    <t>76.13∠245°</t>
  </si>
  <si>
    <t>58.91∠0°</t>
  </si>
  <si>
    <t>78.78∠70°</t>
  </si>
  <si>
    <t>81.39∠141°</t>
  </si>
  <si>
    <t>76.15∠245°</t>
  </si>
  <si>
    <t>58.31∠358°</t>
  </si>
  <si>
    <t>78.33∠69°</t>
  </si>
  <si>
    <t>80.87∠140°</t>
  </si>
  <si>
    <t>75.16∠244°</t>
  </si>
  <si>
    <t>57.67∠360°</t>
  </si>
  <si>
    <t>77.96∠70°</t>
  </si>
  <si>
    <t>79.84∠141°</t>
  </si>
  <si>
    <t>74.77∠246°</t>
  </si>
  <si>
    <t>58.14∠360°</t>
  </si>
  <si>
    <t>76.7∠70°</t>
  </si>
  <si>
    <t>79.71∠140°</t>
  </si>
  <si>
    <t>74.24∠244°</t>
  </si>
  <si>
    <t>57.64∠360°</t>
  </si>
  <si>
    <t>76.92∠69°</t>
  </si>
  <si>
    <t>78.8∠140°</t>
  </si>
  <si>
    <t>73.8∠244°</t>
  </si>
  <si>
    <t>56.98∠360°</t>
  </si>
  <si>
    <t>76.07∠69°</t>
  </si>
  <si>
    <t>79.2∠139°</t>
  </si>
  <si>
    <t>72.93∠244°</t>
  </si>
  <si>
    <t>56.83∠0°</t>
  </si>
  <si>
    <t>75.82∠70°</t>
  </si>
  <si>
    <t>77.96∠141°</t>
  </si>
  <si>
    <t>72.97∠245°</t>
  </si>
  <si>
    <t>56.31∠359°</t>
  </si>
  <si>
    <t>75.59∠70°</t>
  </si>
  <si>
    <t>78.33∠140°</t>
  </si>
  <si>
    <t>72.58∠245°</t>
  </si>
  <si>
    <t>55.73∠360°</t>
  </si>
  <si>
    <t>75.05∠69°</t>
  </si>
  <si>
    <t>77.94∠140°</t>
  </si>
  <si>
    <t>72.7∠243°</t>
  </si>
  <si>
    <t>55.69∠360°</t>
  </si>
  <si>
    <t>74.96∠69°</t>
  </si>
  <si>
    <t>77.33∠139°</t>
  </si>
  <si>
    <t>72.08∠244°</t>
  </si>
  <si>
    <t>55.82∠360°</t>
  </si>
  <si>
    <t>73.64∠70°</t>
  </si>
  <si>
    <t>76.88∠139°</t>
  </si>
  <si>
    <t>71.89∠244°</t>
  </si>
  <si>
    <t>55.25∠0°</t>
  </si>
  <si>
    <t>73.37∠69°</t>
  </si>
  <si>
    <t>76.11∠139°</t>
  </si>
  <si>
    <t>70.77∠244°</t>
  </si>
  <si>
    <t>55.02∠360°</t>
  </si>
  <si>
    <t>73.36∠69°</t>
  </si>
  <si>
    <t>76.55∠139°</t>
  </si>
  <si>
    <t>71.07∠244°</t>
  </si>
  <si>
    <t>54.23∠360°</t>
  </si>
  <si>
    <t>72.51∠70°</t>
  </si>
  <si>
    <t>75.4∠139°</t>
  </si>
  <si>
    <t>69.87∠244°</t>
  </si>
  <si>
    <t>54.69∠360°</t>
  </si>
  <si>
    <t>73.1∠69°</t>
  </si>
  <si>
    <t>76.02∠138°</t>
  </si>
  <si>
    <t>70.68∠244°</t>
  </si>
  <si>
    <t>54.53∠359°</t>
  </si>
  <si>
    <t>71.89∠69°</t>
  </si>
  <si>
    <t>75.29∠138°</t>
  </si>
  <si>
    <t>69.47∠243°</t>
  </si>
  <si>
    <t>54.31∠0°</t>
  </si>
  <si>
    <t>71.46∠69°</t>
  </si>
  <si>
    <t>73.77∠139°</t>
  </si>
  <si>
    <t>69.02∠244°</t>
  </si>
  <si>
    <t>53.49∠359°</t>
  </si>
  <si>
    <t>71.73∠69°</t>
  </si>
  <si>
    <t>75.41∠138°</t>
  </si>
  <si>
    <t>70.34∠244°</t>
  </si>
  <si>
    <t>53.88∠0°</t>
  </si>
  <si>
    <t>71.47∠70°</t>
  </si>
  <si>
    <t>74.13∠139°</t>
  </si>
  <si>
    <t>69.32∠244°</t>
  </si>
  <si>
    <t>53.18∠360°</t>
  </si>
  <si>
    <t>71.02∠69°</t>
  </si>
  <si>
    <t>74.63∠138°</t>
  </si>
  <si>
    <t>68.69∠244°</t>
  </si>
  <si>
    <t>53.86∠359°</t>
  </si>
  <si>
    <t>71∠69°</t>
  </si>
  <si>
    <t>74.09∠138°</t>
  </si>
  <si>
    <t>69.08∠243°</t>
  </si>
  <si>
    <t>53.22∠360°</t>
  </si>
  <si>
    <t>71.52∠69°</t>
  </si>
  <si>
    <t>73.64∠138°</t>
  </si>
  <si>
    <t>68.78∠244°</t>
  </si>
  <si>
    <t>52.76∠359°</t>
  </si>
  <si>
    <t>70.22∠69°</t>
  </si>
  <si>
    <t>74.03∠138°</t>
  </si>
  <si>
    <t>68.63∠243°</t>
  </si>
  <si>
    <t>53.22∠359°</t>
  </si>
  <si>
    <t>69.93∠69°</t>
  </si>
  <si>
    <t>73.29∠138°</t>
  </si>
  <si>
    <t>67.8∠243°</t>
  </si>
  <si>
    <t>52.88∠2°</t>
  </si>
  <si>
    <t>70.19∠70°</t>
  </si>
  <si>
    <t>72.55∠139°</t>
  </si>
  <si>
    <t>67.78∠244°</t>
  </si>
  <si>
    <t>52.77∠0°</t>
  </si>
  <si>
    <t>70.23∠70°</t>
  </si>
  <si>
    <t>72.56∠138°</t>
  </si>
  <si>
    <t>67.48∠243°</t>
  </si>
  <si>
    <t>52.79∠1°</t>
  </si>
  <si>
    <t>69.79∠70°</t>
  </si>
  <si>
    <t>72.11∠139°</t>
  </si>
  <si>
    <t>67.34∠244°</t>
  </si>
  <si>
    <t>52.56∠360°</t>
  </si>
  <si>
    <t>69.08∠69°</t>
  </si>
  <si>
    <t>72.47∠137°</t>
  </si>
  <si>
    <t>67.94∠243°</t>
  </si>
  <si>
    <t>52.45∠1°</t>
  </si>
  <si>
    <t>69.13∠69°</t>
  </si>
  <si>
    <t>71.94∠138°</t>
  </si>
  <si>
    <t>66.98∠244°</t>
  </si>
  <si>
    <t>51.97∠1°</t>
  </si>
  <si>
    <t>68.68∠70°</t>
  </si>
  <si>
    <t>72.07∠138°</t>
  </si>
  <si>
    <t>66.57∠244°</t>
  </si>
  <si>
    <t>51.83∠0°</t>
  </si>
  <si>
    <t>68.36∠69°</t>
  </si>
  <si>
    <t>71.61∠138°</t>
  </si>
  <si>
    <t>66.16∠243°</t>
  </si>
  <si>
    <t>51.9∠0°</t>
  </si>
  <si>
    <t>68.78∠69°</t>
  </si>
  <si>
    <t>71.78∠137°</t>
  </si>
  <si>
    <t>66.22∠244°</t>
  </si>
  <si>
    <t>52.11∠360°</t>
  </si>
  <si>
    <t>67.97∠69°</t>
  </si>
  <si>
    <t>70.61∠138°</t>
  </si>
  <si>
    <t>66.18∠243°</t>
  </si>
  <si>
    <t>51.31∠359°</t>
  </si>
  <si>
    <t>68.38∠69°</t>
  </si>
  <si>
    <t>71.24∠137°</t>
  </si>
  <si>
    <t>66.17∠244°</t>
  </si>
  <si>
    <t>51.27∠0°</t>
  </si>
  <si>
    <t>67.38∠70°</t>
  </si>
  <si>
    <t>70.93∠137°</t>
  </si>
  <si>
    <t>65.22∠243°</t>
  </si>
  <si>
    <t>51.72∠0°</t>
  </si>
  <si>
    <t>68.04∠69°</t>
  </si>
  <si>
    <t>71.08∠137°</t>
  </si>
  <si>
    <t>66.23∠243°</t>
  </si>
  <si>
    <t>50.82∠0°</t>
  </si>
  <si>
    <t>67.06∠69°</t>
  </si>
  <si>
    <t>70.52∠137°</t>
  </si>
  <si>
    <t>64.88∠243°</t>
  </si>
  <si>
    <t>51.03∠0°</t>
  </si>
  <si>
    <t>67.15∠69°</t>
  </si>
  <si>
    <t>69.92∠137°</t>
  </si>
  <si>
    <t>64.72∠243°</t>
  </si>
  <si>
    <t>50.95∠1°</t>
  </si>
  <si>
    <t>67.19∠70°</t>
  </si>
  <si>
    <t>70.22∠137°</t>
  </si>
  <si>
    <t>65.54∠244°</t>
  </si>
  <si>
    <t>50.86∠1°</t>
  </si>
  <si>
    <t>66.23∠70°</t>
  </si>
  <si>
    <t>69.55∠137°</t>
  </si>
  <si>
    <t>64.5∠244°</t>
  </si>
  <si>
    <t>50.76∠1°</t>
  </si>
  <si>
    <t>66.4∠69°</t>
  </si>
  <si>
    <t>70.03∠137°</t>
  </si>
  <si>
    <t>64.31∠243°</t>
  </si>
  <si>
    <t>50.06∠0°</t>
  </si>
  <si>
    <t>66.17∠70°</t>
  </si>
  <si>
    <t>69.7∠137°</t>
  </si>
  <si>
    <t>64.55∠243°</t>
  </si>
  <si>
    <t>50.37∠1°</t>
  </si>
  <si>
    <t>65.98∠69°</t>
  </si>
  <si>
    <t>68.57∠137°</t>
  </si>
  <si>
    <t>64.12∠243°</t>
  </si>
  <si>
    <t>50.3∠0°</t>
  </si>
  <si>
    <t>66.07∠69°</t>
  </si>
  <si>
    <t>69.46∠136°</t>
  </si>
  <si>
    <t>64.49∠242°</t>
  </si>
  <si>
    <t>50.65∠1°</t>
  </si>
  <si>
    <t>66.12∠70°</t>
  </si>
  <si>
    <t>68.65∠136°</t>
  </si>
  <si>
    <t>64.36∠244°</t>
  </si>
  <si>
    <t>50.19∠1°</t>
  </si>
  <si>
    <t>65.89∠69°</t>
  </si>
  <si>
    <t>68.97∠136°</t>
  </si>
  <si>
    <t>64.65∠243°</t>
  </si>
  <si>
    <t>50.36∠0°</t>
  </si>
  <si>
    <t>65.32∠69°</t>
  </si>
  <si>
    <t>68.15∠137°</t>
  </si>
  <si>
    <t>63.4∠243°</t>
  </si>
  <si>
    <t>49.76∠1°</t>
  </si>
  <si>
    <t>66.01∠69°</t>
  </si>
  <si>
    <t>68.71∠137°</t>
  </si>
  <si>
    <t>63.84∠244°</t>
  </si>
  <si>
    <t>49.88∠2°</t>
  </si>
  <si>
    <t>64.87∠70°</t>
  </si>
  <si>
    <t>68.07∠137°</t>
  </si>
  <si>
    <t>63.12∠243°</t>
  </si>
  <si>
    <t>50.06∠2°</t>
  </si>
  <si>
    <t>65.3∠70°</t>
  </si>
  <si>
    <t>68.04∠136°</t>
  </si>
  <si>
    <t>63.82∠243°</t>
  </si>
  <si>
    <t>49.63∠1°</t>
  </si>
  <si>
    <t>64.1∠69°</t>
  </si>
  <si>
    <t>67.75∠136°</t>
  </si>
  <si>
    <t>62.6∠242°</t>
  </si>
  <si>
    <t>49.81∠1°</t>
  </si>
  <si>
    <t>64.9∠70°</t>
  </si>
  <si>
    <t>67.49∠136°</t>
  </si>
  <si>
    <t>63.45∠243°</t>
  </si>
  <si>
    <t>49.5∠2°</t>
  </si>
  <si>
    <t>64.79∠69°</t>
  </si>
  <si>
    <t>67.87∠136°</t>
  </si>
  <si>
    <t>63.02∠243°</t>
  </si>
  <si>
    <t>49.31∠1°</t>
  </si>
  <si>
    <t>64.66∠70°</t>
  </si>
  <si>
    <t>67.31∠136°</t>
  </si>
  <si>
    <t>62.87∠243°</t>
  </si>
  <si>
    <t>49.1∠2°</t>
  </si>
  <si>
    <t>64.39∠70°</t>
  </si>
  <si>
    <t>67.35∠136°</t>
  </si>
  <si>
    <t>62.29∠244°</t>
  </si>
  <si>
    <t>49.18∠1°</t>
  </si>
  <si>
    <t>63.82∠69°</t>
  </si>
  <si>
    <t>66.78∠136°</t>
  </si>
  <si>
    <t>62.06∠242°</t>
  </si>
  <si>
    <t>48.82∠1°</t>
  </si>
  <si>
    <t>64.22∠69°</t>
  </si>
  <si>
    <t>66.98∠136°</t>
  </si>
  <si>
    <t>62.23∠243°</t>
  </si>
  <si>
    <t>48.76∠1°</t>
  </si>
  <si>
    <t>64.46∠69°</t>
  </si>
  <si>
    <t>67.23∠135°</t>
  </si>
  <si>
    <t>62.21∠243°</t>
  </si>
  <si>
    <t>48.64∠0°</t>
  </si>
  <si>
    <t>63.66∠69°</t>
  </si>
  <si>
    <t>66.57∠135°</t>
  </si>
  <si>
    <t>61.22∠242°</t>
  </si>
  <si>
    <t>48.77∠1°</t>
  </si>
  <si>
    <t>63.58∠68°</t>
  </si>
  <si>
    <t>66.46∠135°</t>
  </si>
  <si>
    <t>61.55∠242°</t>
  </si>
  <si>
    <t>48.49∠1°</t>
  </si>
  <si>
    <t>63.5∠70°</t>
  </si>
  <si>
    <t>65.84∠136°</t>
  </si>
  <si>
    <t>62.03∠242°</t>
  </si>
  <si>
    <t>48.63∠360°</t>
  </si>
  <si>
    <t>63.14∠68°</t>
  </si>
  <si>
    <t>65.7∠135°</t>
  </si>
  <si>
    <t>61.57∠242°</t>
  </si>
  <si>
    <t>48.21∠1°</t>
  </si>
  <si>
    <t>62.61∠69°</t>
  </si>
  <si>
    <t>65.79∠135°</t>
  </si>
  <si>
    <t>61.43∠242°</t>
  </si>
  <si>
    <t>48.16∠2°</t>
  </si>
  <si>
    <t>63.84∠70°</t>
  </si>
  <si>
    <t>61.1∠243°</t>
  </si>
  <si>
    <t>48.12∠1°</t>
  </si>
  <si>
    <t>62.86∠69°</t>
  </si>
  <si>
    <t>65.98∠136°</t>
  </si>
  <si>
    <t>60.76∠243°</t>
  </si>
  <si>
    <t>48.28∠0°</t>
  </si>
  <si>
    <t>63.08∠69°</t>
  </si>
  <si>
    <t>65.86∠135°</t>
  </si>
  <si>
    <t>61.11∠242°</t>
  </si>
  <si>
    <t>48.5∠2°</t>
  </si>
  <si>
    <t>63.21∠70°</t>
  </si>
  <si>
    <t>65.94∠135°</t>
  </si>
  <si>
    <t>61.21∠243°</t>
  </si>
  <si>
    <t>48.34∠0°</t>
  </si>
  <si>
    <t>62.78∠69°</t>
  </si>
  <si>
    <t>65.74∠136°</t>
  </si>
  <si>
    <t>61.34∠243°</t>
  </si>
  <si>
    <t>48.63∠1°</t>
  </si>
  <si>
    <t>62.95∠70°</t>
  </si>
  <si>
    <t>65.67∠135°</t>
  </si>
  <si>
    <t>60.81∠243°</t>
  </si>
  <si>
    <t>48.26∠1°</t>
  </si>
  <si>
    <t>62.99∠69°</t>
  </si>
  <si>
    <t>48.19∠1°</t>
  </si>
  <si>
    <t>62.1∠69°</t>
  </si>
  <si>
    <t>64.63∠135°</t>
  </si>
  <si>
    <t>60.49∠241°</t>
  </si>
  <si>
    <t>48.14∠1°</t>
  </si>
  <si>
    <t>62.83∠69°</t>
  </si>
  <si>
    <t>65.13∠135°</t>
  </si>
  <si>
    <t>60.5∠242°</t>
  </si>
  <si>
    <t>47.9∠2°</t>
  </si>
  <si>
    <t>61.92∠70°</t>
  </si>
  <si>
    <t>64.56∠136°</t>
  </si>
  <si>
    <t>60.18∠242°</t>
  </si>
  <si>
    <t>48.27∠1°</t>
  </si>
  <si>
    <t>62.56∠69°</t>
  </si>
  <si>
    <t>64.51∠135°</t>
  </si>
  <si>
    <t>60.36∠243°</t>
  </si>
  <si>
    <t>47.72∠1°</t>
  </si>
  <si>
    <t>61.75∠69°</t>
  </si>
  <si>
    <t>65∠135°</t>
  </si>
  <si>
    <t>60.2∠242°</t>
  </si>
  <si>
    <t>47.98∠2°</t>
  </si>
  <si>
    <t>61.82∠70°</t>
  </si>
  <si>
    <t>64.31∠135°</t>
  </si>
  <si>
    <t>59.79∠243°</t>
  </si>
  <si>
    <t>47.56∠1°</t>
  </si>
  <si>
    <t>61.58∠69°</t>
  </si>
  <si>
    <t>64.23∠135°</t>
  </si>
  <si>
    <t>59.62∠242°</t>
  </si>
  <si>
    <t>47.41∠1°</t>
  </si>
  <si>
    <t>62.16∠69°</t>
  </si>
  <si>
    <t>64.26∠135°</t>
  </si>
  <si>
    <t>60.51∠242°</t>
  </si>
  <si>
    <t>47.65∠1°</t>
  </si>
  <si>
    <t>61.39∠68°</t>
  </si>
  <si>
    <t>63.68∠134°</t>
  </si>
  <si>
    <t>59.55∠242°</t>
  </si>
  <si>
    <t>47.2∠3°</t>
  </si>
  <si>
    <t>61.01∠70°</t>
  </si>
  <si>
    <t>63.74∠136°</t>
  </si>
  <si>
    <t>59.59∠242°</t>
  </si>
  <si>
    <t>47.4∠1°</t>
  </si>
  <si>
    <t>64.15∠134°</t>
  </si>
  <si>
    <t>59.65∠242°</t>
  </si>
  <si>
    <t>47.26∠2°</t>
  </si>
  <si>
    <t>61.03∠70°</t>
  </si>
  <si>
    <t>64.17∠134°</t>
  </si>
  <si>
    <t>59.81∠242°</t>
  </si>
  <si>
    <t>47.52∠1°</t>
  </si>
  <si>
    <t>61.14∠69°</t>
  </si>
  <si>
    <t>63.11∠135°</t>
  </si>
  <si>
    <t>58.96∠243°</t>
  </si>
  <si>
    <t>47.6∠2°</t>
  </si>
  <si>
    <t>61.11∠69°</t>
  </si>
  <si>
    <t>63.75∠135°</t>
  </si>
  <si>
    <t>59.69∠242°</t>
  </si>
  <si>
    <t>47.67∠1°</t>
  </si>
  <si>
    <t>61.5∠69°</t>
  </si>
  <si>
    <t>62.62∠134°</t>
  </si>
  <si>
    <t>59∠242°</t>
  </si>
  <si>
    <t>47.29∠1°</t>
  </si>
  <si>
    <t>61.23∠69°</t>
  </si>
  <si>
    <t>63.84∠134°</t>
  </si>
  <si>
    <t>59.63∠242°</t>
  </si>
  <si>
    <t>47.24∠2°</t>
  </si>
  <si>
    <t>61.3∠69°</t>
  </si>
  <si>
    <t>63.82∠134°</t>
  </si>
  <si>
    <t>59.34∠242°</t>
  </si>
  <si>
    <t>47.01∠1°</t>
  </si>
  <si>
    <t>61.22∠69°</t>
  </si>
  <si>
    <t>63.44∠134°</t>
  </si>
  <si>
    <t>59.28∠242°</t>
  </si>
  <si>
    <t>47.32∠2°</t>
  </si>
  <si>
    <t>62.51∠135°</t>
  </si>
  <si>
    <t>59.37∠242°</t>
  </si>
  <si>
    <t>47.16∠2°</t>
  </si>
  <si>
    <t>60.3∠69°</t>
  </si>
  <si>
    <t>62.33∠134°</t>
  </si>
  <si>
    <t>58.23∠242°</t>
  </si>
  <si>
    <t>47.31∠360°</t>
  </si>
  <si>
    <t>60.63∠68°</t>
  </si>
  <si>
    <t>63.02∠133°</t>
  </si>
  <si>
    <t>59.46∠241°</t>
  </si>
  <si>
    <t>47.06∠2°</t>
  </si>
  <si>
    <t>61.46∠69°</t>
  </si>
  <si>
    <t>63.32∠134°</t>
  </si>
  <si>
    <t>59.11∠243°</t>
  </si>
  <si>
    <t>46.92∠2°</t>
  </si>
  <si>
    <t>60.84∠70°</t>
  </si>
  <si>
    <t>62.92∠135°</t>
  </si>
  <si>
    <t>59.14∠242°</t>
  </si>
  <si>
    <t>46.93∠2°</t>
  </si>
  <si>
    <t>60.61∠69°</t>
  </si>
  <si>
    <t>61.91∠135°</t>
  </si>
  <si>
    <t>58.25∠243°</t>
  </si>
  <si>
    <t>46.91∠1°</t>
  </si>
  <si>
    <t>60.23∠69°</t>
  </si>
  <si>
    <t>62.44∠134°</t>
  </si>
  <si>
    <t>58.01∠241°</t>
  </si>
  <si>
    <t>47.21∠2°</t>
  </si>
  <si>
    <t>60.35∠69°</t>
  </si>
  <si>
    <t>62.16∠134°</t>
  </si>
  <si>
    <t>58.12∠242°</t>
  </si>
  <si>
    <t>46.74∠1°</t>
  </si>
  <si>
    <t>60.02∠69°</t>
  </si>
  <si>
    <t>62.49∠133°</t>
  </si>
  <si>
    <t>58.55∠242°</t>
  </si>
  <si>
    <t>46.78∠2°</t>
  </si>
  <si>
    <t>59.96∠69°</t>
  </si>
  <si>
    <t>61.76∠135°</t>
  </si>
  <si>
    <t>58.13∠242°</t>
  </si>
  <si>
    <t>46.77∠1°</t>
  </si>
  <si>
    <t>60.76∠69°</t>
  </si>
  <si>
    <t>62.29∠134°</t>
  </si>
  <si>
    <t>57.95∠242°</t>
  </si>
  <si>
    <t>46.47∠2°</t>
  </si>
  <si>
    <t>60.24∠69°</t>
  </si>
  <si>
    <t>62.43∠134°</t>
  </si>
  <si>
    <t>58.36∠242°</t>
  </si>
  <si>
    <t>46.64∠1°</t>
  </si>
  <si>
    <t>60.07∠69°</t>
  </si>
  <si>
    <t>62.17∠134°</t>
  </si>
  <si>
    <t>57.5∠242°</t>
  </si>
  <si>
    <t>46.56∠3°</t>
  </si>
  <si>
    <t>59.58∠69°</t>
  </si>
  <si>
    <t>62.12∠134°</t>
  </si>
  <si>
    <t>47.45∠2°</t>
  </si>
  <si>
    <t>60.73∠70°</t>
  </si>
  <si>
    <t>61.37∠134°</t>
  </si>
  <si>
    <t>58.17∠243°</t>
  </si>
  <si>
    <t>46.33∠0°</t>
  </si>
  <si>
    <t>60∠68°</t>
  </si>
  <si>
    <t>62.56∠133°</t>
  </si>
  <si>
    <t>57.84∠241°</t>
  </si>
  <si>
    <t>46.43∠2°</t>
  </si>
  <si>
    <t>60.55∠70°</t>
  </si>
  <si>
    <t>62∠135°</t>
  </si>
  <si>
    <t>57.8∠242°</t>
  </si>
  <si>
    <t>46.79∠2°</t>
  </si>
  <si>
    <t>60.34∠69°</t>
  </si>
  <si>
    <t>62.21∠134°</t>
  </si>
  <si>
    <t>58.09∠242°</t>
  </si>
  <si>
    <t>46.66∠2°</t>
  </si>
  <si>
    <t>59.6∠69°</t>
  </si>
  <si>
    <t>61.96∠133°</t>
  </si>
  <si>
    <t>58.02∠241°</t>
  </si>
  <si>
    <t>46.94∠2°</t>
  </si>
  <si>
    <t>60.03∠69°</t>
  </si>
  <si>
    <t>61.76∠134°</t>
  </si>
  <si>
    <t>46.19∠2°</t>
  </si>
  <si>
    <t>59.56∠69°</t>
  </si>
  <si>
    <t>61.73∠134°</t>
  </si>
  <si>
    <t>57.57∠241°</t>
  </si>
  <si>
    <t>46.7∠2°</t>
  </si>
  <si>
    <t>60.64∠69°</t>
  </si>
  <si>
    <t>61.75∠134°</t>
  </si>
  <si>
    <t>59.44∠70°</t>
  </si>
  <si>
    <t>61.36∠135°</t>
  </si>
  <si>
    <t>57.58∠242°</t>
  </si>
  <si>
    <t>59.86∠70°</t>
  </si>
  <si>
    <t>61.24∠134°</t>
  </si>
  <si>
    <t>57.79∠242°</t>
  </si>
  <si>
    <t>46.38∠2°</t>
  </si>
  <si>
    <t>60.1∠70°</t>
  </si>
  <si>
    <t>61.52∠134°</t>
  </si>
  <si>
    <t>57.73∠243°</t>
  </si>
  <si>
    <t>46.46∠2°</t>
  </si>
  <si>
    <t>59.33∠69°</t>
  </si>
  <si>
    <t>61.66∠134°</t>
  </si>
  <si>
    <t>57.16∠242°</t>
  </si>
  <si>
    <t>46.35∠2°</t>
  </si>
  <si>
    <t>59.99∠69°</t>
  </si>
  <si>
    <t>57.54∠242°</t>
  </si>
  <si>
    <t>46.35∠1°</t>
  </si>
  <si>
    <t>59.46∠69°</t>
  </si>
  <si>
    <t>57.17∠242°</t>
  </si>
  <si>
    <t>46.24∠1°</t>
  </si>
  <si>
    <t>59.42∠69°</t>
  </si>
  <si>
    <t>61.48∠134°</t>
  </si>
  <si>
    <t>57∠241°</t>
  </si>
  <si>
    <t>46.42∠2°</t>
  </si>
  <si>
    <t>60.41∠69°</t>
  </si>
  <si>
    <t>61.22∠134°</t>
  </si>
  <si>
    <t>46.39∠3°</t>
  </si>
  <si>
    <t>59.62∠69°</t>
  </si>
  <si>
    <t>62.04∠134°</t>
  </si>
  <si>
    <t>46.71∠3°</t>
  </si>
  <si>
    <t>59.63∠70°</t>
  </si>
  <si>
    <t>61.55∠134°</t>
  </si>
  <si>
    <t>57.17∠243°</t>
  </si>
  <si>
    <t>46.23∠2°</t>
  </si>
  <si>
    <t>59.79∠69°</t>
  </si>
  <si>
    <t>61.68∠133°</t>
  </si>
  <si>
    <t>57.61∠242°</t>
  </si>
  <si>
    <t>46.12∠2°</t>
  </si>
  <si>
    <t>59.87∠70°</t>
  </si>
  <si>
    <t>61.02∠134°</t>
  </si>
  <si>
    <t>57.56∠242°</t>
  </si>
  <si>
    <t>46.65∠2°</t>
  </si>
  <si>
    <t>59.47∠69°</t>
  </si>
  <si>
    <t>60.41∠134°</t>
  </si>
  <si>
    <t>56.81∠242°</t>
  </si>
  <si>
    <t>46.74∠2°</t>
  </si>
  <si>
    <t>59.31∠70°</t>
  </si>
  <si>
    <t>60.99∠133°</t>
  </si>
  <si>
    <t>57.55∠242°</t>
  </si>
  <si>
    <t>46.44∠2°</t>
  </si>
  <si>
    <t>59.52∠69°</t>
  </si>
  <si>
    <t>60.9∠133°</t>
  </si>
  <si>
    <t>57.22∠243°</t>
  </si>
  <si>
    <t>46.55∠2°</t>
  </si>
  <si>
    <t>58.99∠69°</t>
  </si>
  <si>
    <t>60.68∠133°</t>
  </si>
  <si>
    <t>57.64∠242°</t>
  </si>
  <si>
    <t>46.68∠2°</t>
  </si>
  <si>
    <t>59.78∠70°</t>
  </si>
  <si>
    <t>61.13∠134°</t>
  </si>
  <si>
    <t>57.23∠242°</t>
  </si>
  <si>
    <t>46.32∠2°</t>
  </si>
  <si>
    <t>59.32∠70°</t>
  </si>
  <si>
    <t>60.52∠134°</t>
  </si>
  <si>
    <t>59.69∠69°</t>
  </si>
  <si>
    <t>61.08∠134°</t>
  </si>
  <si>
    <t>57.13∠242°</t>
  </si>
  <si>
    <t>46.35∠3°</t>
  </si>
  <si>
    <t>59.14∠70°</t>
  </si>
  <si>
    <t>59.94∠135°</t>
  </si>
  <si>
    <t>56.36∠242°</t>
  </si>
  <si>
    <t>46.17∠2°</t>
  </si>
  <si>
    <t>58.87∠69°</t>
  </si>
  <si>
    <t>60.9∠134°</t>
  </si>
  <si>
    <t>56.65∠242°</t>
  </si>
  <si>
    <t>46.28∠2°</t>
  </si>
  <si>
    <t>59.22∠70°</t>
  </si>
  <si>
    <t>60.55∠134°</t>
  </si>
  <si>
    <t>57.18∠242°</t>
  </si>
  <si>
    <t>45.98∠2°</t>
  </si>
  <si>
    <t>59.21∠69°</t>
  </si>
  <si>
    <t>60.4∠133°</t>
  </si>
  <si>
    <t>56.84∠242°</t>
  </si>
  <si>
    <t>45.7∠1°</t>
  </si>
  <si>
    <t>58.85∠68°</t>
  </si>
  <si>
    <t>57.16∠241°</t>
  </si>
  <si>
    <t>45.85∠3°</t>
  </si>
  <si>
    <t>59.85∠134°</t>
  </si>
  <si>
    <t>56.46∠242°</t>
  </si>
  <si>
    <t>46.39∠2°</t>
  </si>
  <si>
    <t>59.28∠70°</t>
  </si>
  <si>
    <t>59.98∠133°</t>
  </si>
  <si>
    <t>56.56∠242°</t>
  </si>
  <si>
    <t>45.37∠2°</t>
  </si>
  <si>
    <t>58.69∠69°</t>
  </si>
  <si>
    <t>60.48∠133°</t>
  </si>
  <si>
    <t>56.83∠241°</t>
  </si>
  <si>
    <t>45.73∠2°</t>
  </si>
  <si>
    <t>58.25∠69°</t>
  </si>
  <si>
    <t>59.57∠134°</t>
  </si>
  <si>
    <t>55.89∠242°</t>
  </si>
  <si>
    <t>46.23∠1°</t>
  </si>
  <si>
    <t>59.11∠68°</t>
  </si>
  <si>
    <t>60.28∠132°</t>
  </si>
  <si>
    <t>56.72∠241°</t>
  </si>
  <si>
    <t>45.56∠2°</t>
  </si>
  <si>
    <t>58.46∠69°</t>
  </si>
  <si>
    <t>59.93∠133°</t>
  </si>
  <si>
    <t>56∠241°</t>
  </si>
  <si>
    <t>45.91∠2°</t>
  </si>
  <si>
    <t>58.7∠69°</t>
  </si>
  <si>
    <t>59.7∠133°</t>
  </si>
  <si>
    <t>55.84∠242°</t>
  </si>
  <si>
    <t>45.75∠2°</t>
  </si>
  <si>
    <t>58.53∠69°</t>
  </si>
  <si>
    <t>59.98∠132°</t>
  </si>
  <si>
    <t>56.37∠241°</t>
  </si>
  <si>
    <t>45.92∠2°</t>
  </si>
  <si>
    <t>58.98∠70°</t>
  </si>
  <si>
    <t>59.82∠133°</t>
  </si>
  <si>
    <t>56.43∠241°</t>
  </si>
  <si>
    <t>45.67∠2°</t>
  </si>
  <si>
    <t>58.54∠68°</t>
  </si>
  <si>
    <t>60.22∠132°</t>
  </si>
  <si>
    <t>55.66∠241°</t>
  </si>
  <si>
    <t>45.95∠2°</t>
  </si>
  <si>
    <t>58.81∠70°</t>
  </si>
  <si>
    <t>60.24∠133°</t>
  </si>
  <si>
    <t>56.79∠242°</t>
  </si>
  <si>
    <t>45.6∠2°</t>
  </si>
  <si>
    <t>58.88∠69°</t>
  </si>
  <si>
    <t>59.01∠134°</t>
  </si>
  <si>
    <t>55.55∠242°</t>
  </si>
  <si>
    <t>45.79∠1°</t>
  </si>
  <si>
    <t>58.27∠69°</t>
  </si>
  <si>
    <t>59.94∠132°</t>
  </si>
  <si>
    <t>56.15∠240°</t>
  </si>
  <si>
    <t>46.26∠2°</t>
  </si>
  <si>
    <t>59.92∠133°</t>
  </si>
  <si>
    <t>56.51∠241°</t>
  </si>
  <si>
    <t>45.66∠2°</t>
  </si>
  <si>
    <t>58.41∠69°</t>
  </si>
  <si>
    <t>56.09∠242°</t>
  </si>
  <si>
    <t>45.49∠3°</t>
  </si>
  <si>
    <t>58.2∠70°</t>
  </si>
  <si>
    <t>59.9∠134°</t>
  </si>
  <si>
    <t>55.88∠242°</t>
  </si>
  <si>
    <t>45.89∠2°</t>
  </si>
  <si>
    <t>58.99∠70°</t>
  </si>
  <si>
    <t>59.32∠133°</t>
  </si>
  <si>
    <t>55.62∠242°</t>
  </si>
  <si>
    <t>59.09∠70°</t>
  </si>
  <si>
    <t>60.04∠133°</t>
  </si>
  <si>
    <t>56.16∠242°</t>
  </si>
  <si>
    <t>46.29∠2°</t>
  </si>
  <si>
    <t>58.29∠69°</t>
  </si>
  <si>
    <t>59.25∠133°</t>
  </si>
  <si>
    <t>56.56∠241°</t>
  </si>
  <si>
    <t>45.63∠2°</t>
  </si>
  <si>
    <t>59.63∠133°</t>
  </si>
  <si>
    <t>55.32∠242°</t>
  </si>
  <si>
    <t>45.52∠1°</t>
  </si>
  <si>
    <t>58.38∠69°</t>
  </si>
  <si>
    <t>60.04∠132°</t>
  </si>
  <si>
    <t>56.34∠241°</t>
  </si>
  <si>
    <t>46.09∠2°</t>
  </si>
  <si>
    <t>59.01∠69°</t>
  </si>
  <si>
    <t>60.1∠133°</t>
  </si>
  <si>
    <t>56.58∠242°</t>
  </si>
  <si>
    <t>45.53∠3°</t>
  </si>
  <si>
    <t>59.3∠70°</t>
  </si>
  <si>
    <t>60.22∠133°</t>
  </si>
  <si>
    <t>56.13∠243°</t>
  </si>
  <si>
    <t>45.54∠2°</t>
  </si>
  <si>
    <t>58.03∠69°</t>
  </si>
  <si>
    <t>59.6∠133°</t>
  </si>
  <si>
    <t>55.33∠241°</t>
  </si>
  <si>
    <t>56.39∠242°</t>
  </si>
  <si>
    <t>46.19∠3°</t>
  </si>
  <si>
    <t>58.54∠70°</t>
  </si>
  <si>
    <t>59.29∠133°</t>
  </si>
  <si>
    <t>45.9∠2°</t>
  </si>
  <si>
    <t>58.59∠69°</t>
  </si>
  <si>
    <t>59.88∠133°</t>
  </si>
  <si>
    <t>56.18∠242°</t>
  </si>
  <si>
    <t>46.2∠3°</t>
  </si>
  <si>
    <t>58.58∠70°</t>
  </si>
  <si>
    <t>60.03∠133°</t>
  </si>
  <si>
    <t>56.51∠242°</t>
  </si>
  <si>
    <t>46.03∠3°</t>
  </si>
  <si>
    <t>59.11∠69°</t>
  </si>
  <si>
    <t>59.78∠133°</t>
  </si>
  <si>
    <t>56.17∠242°</t>
  </si>
  <si>
    <t>45.28∠3°</t>
  </si>
  <si>
    <t>58.14∠70°</t>
  </si>
  <si>
    <t>55.71∠242°</t>
  </si>
  <si>
    <t>46.1∠2°</t>
  </si>
  <si>
    <t>58.73∠134°</t>
  </si>
  <si>
    <t>55.65∠242°</t>
  </si>
  <si>
    <t>45.77∠3°</t>
  </si>
  <si>
    <t>58.28∠70°</t>
  </si>
  <si>
    <t>59.53∠133°</t>
  </si>
  <si>
    <t>55.76∠242°</t>
  </si>
  <si>
    <t>45.67∠3°</t>
  </si>
  <si>
    <t>58.12∠70°</t>
  </si>
  <si>
    <t>59.2∠134°</t>
  </si>
  <si>
    <t>55.91∠241°</t>
  </si>
  <si>
    <t>45.49∠4°</t>
  </si>
  <si>
    <t>59.17∠134°</t>
  </si>
  <si>
    <t>55.13∠242°</t>
  </si>
  <si>
    <t>45.79∠3°</t>
  </si>
  <si>
    <t>58.73∠70°</t>
  </si>
  <si>
    <t>59.66∠133°</t>
  </si>
  <si>
    <t>56.48∠242°</t>
  </si>
  <si>
    <t>45.68∠3°</t>
  </si>
  <si>
    <t>58.84∠70°</t>
  </si>
  <si>
    <t>59.7∠134°</t>
  </si>
  <si>
    <t>56.08∠242°</t>
  </si>
  <si>
    <t>45.63∠3°</t>
  </si>
  <si>
    <t>59.24∠70°</t>
  </si>
  <si>
    <t>59.5∠133°</t>
  </si>
  <si>
    <t>56.05∠242°</t>
  </si>
  <si>
    <t>59.31∠133°</t>
  </si>
  <si>
    <t>55.78∠242°</t>
  </si>
  <si>
    <t>45.7∠3°</t>
  </si>
  <si>
    <t>58.49∠70°</t>
  </si>
  <si>
    <t>59.28∠132°</t>
  </si>
  <si>
    <t>55.74∠242°</t>
  </si>
  <si>
    <t>45.78∠2°</t>
  </si>
  <si>
    <t>55.82∠242°</t>
  </si>
  <si>
    <t>45.72∠2°</t>
  </si>
  <si>
    <t>58.47∠70°</t>
  </si>
  <si>
    <t>59.58∠133°</t>
  </si>
  <si>
    <t>45.8∠3°</t>
  </si>
  <si>
    <t>58.62∠70°</t>
  </si>
  <si>
    <t>58.44∠134°</t>
  </si>
  <si>
    <t>55.47∠242°</t>
  </si>
  <si>
    <t>45.92∠3°</t>
  </si>
  <si>
    <t>59.34∠133°</t>
  </si>
  <si>
    <t>56.25∠242°</t>
  </si>
  <si>
    <t>57.78∠70°</t>
  </si>
  <si>
    <t>58.34∠133°</t>
  </si>
  <si>
    <t>55.77∠241°</t>
  </si>
  <si>
    <t>45.78∠1°</t>
  </si>
  <si>
    <t>58.67∠132°</t>
  </si>
  <si>
    <t>56.01∠242°</t>
  </si>
  <si>
    <t>45.41∠2°</t>
  </si>
  <si>
    <t>59.83∠132°</t>
  </si>
  <si>
    <t>55.9∠241°</t>
  </si>
  <si>
    <t>45.47∠3°</t>
  </si>
  <si>
    <t>58.56∠70°</t>
  </si>
  <si>
    <t>59.12∠133°</t>
  </si>
  <si>
    <t>45.55∠2°</t>
  </si>
  <si>
    <t>58.93∠69°</t>
  </si>
  <si>
    <t>59.14∠133°</t>
  </si>
  <si>
    <t>55.8∠242°</t>
  </si>
  <si>
    <t>58.3∠70°</t>
  </si>
  <si>
    <t>59.07∠133°</t>
  </si>
  <si>
    <t>46∠3°</t>
  </si>
  <si>
    <t>58.5∠70°</t>
  </si>
  <si>
    <t>58.25∠132°</t>
  </si>
  <si>
    <t>55.67∠242°</t>
  </si>
  <si>
    <t>45.12∠3°</t>
  </si>
  <si>
    <t>58.26∠70°</t>
  </si>
  <si>
    <t>59.28∠133°</t>
  </si>
  <si>
    <t>55.92∠242°</t>
  </si>
  <si>
    <t>45.32∠3°</t>
  </si>
  <si>
    <t>57.49∠69°</t>
  </si>
  <si>
    <t>58.93∠133°</t>
  </si>
  <si>
    <t>55.02∠241°</t>
  </si>
  <si>
    <t>45.65∠2°</t>
  </si>
  <si>
    <t>58∠69°</t>
  </si>
  <si>
    <t>58.25∠133°</t>
  </si>
  <si>
    <t>54.77∠242°</t>
  </si>
  <si>
    <t>45.02∠2°</t>
  </si>
  <si>
    <t>57.97∠69°</t>
  </si>
  <si>
    <t>59.27∠132°</t>
  </si>
  <si>
    <t>55.52∠241°</t>
  </si>
  <si>
    <t>45.79∠2°</t>
  </si>
  <si>
    <t>58.15∠70°</t>
  </si>
  <si>
    <t>58.75∠132°</t>
  </si>
  <si>
    <t>57.8∠69°</t>
  </si>
  <si>
    <t>58.52∠132°</t>
  </si>
  <si>
    <t>55.13∠241°</t>
  </si>
  <si>
    <t>45.49∠2°</t>
  </si>
  <si>
    <t>57.99∠69°</t>
  </si>
  <si>
    <t>58.81∠132°</t>
  </si>
  <si>
    <t>55.75∠240°</t>
  </si>
  <si>
    <t>58.23∠69°</t>
  </si>
  <si>
    <t>58.72∠132°</t>
  </si>
  <si>
    <t>55.4∠241°</t>
  </si>
  <si>
    <t>45.34∠2°</t>
  </si>
  <si>
    <t>58.79∠132°</t>
  </si>
  <si>
    <t>55.26∠242°</t>
  </si>
  <si>
    <t>45.19∠2°</t>
  </si>
  <si>
    <t>57.07∠70°</t>
  </si>
  <si>
    <t>58.56∠132°</t>
  </si>
  <si>
    <t>57.87∠69°</t>
  </si>
  <si>
    <t>58.33∠132°</t>
  </si>
  <si>
    <t>55.43∠241°</t>
  </si>
  <si>
    <t>45.32∠2°</t>
  </si>
  <si>
    <t>57.54∠69°</t>
  </si>
  <si>
    <t>58.69∠131°</t>
  </si>
  <si>
    <t>57.74∠69°</t>
  </si>
  <si>
    <t>58.48∠132°</t>
  </si>
  <si>
    <t>55.3∠241°</t>
  </si>
  <si>
    <t>45.33∠2°</t>
  </si>
  <si>
    <t>57.88∠69°</t>
  </si>
  <si>
    <t>58.04∠132°</t>
  </si>
  <si>
    <t>55.25∠241°</t>
  </si>
  <si>
    <t>45.1∠2°</t>
  </si>
  <si>
    <t>57.21∠69°</t>
  </si>
  <si>
    <t>58.41∠132°</t>
  </si>
  <si>
    <t>55.24∠241°</t>
  </si>
  <si>
    <t>55.64∠241°</t>
  </si>
  <si>
    <t>45.27∠2°</t>
  </si>
  <si>
    <t>57.75∠70°</t>
  </si>
  <si>
    <t>57.99∠133°</t>
  </si>
  <si>
    <t>54.87∠242°</t>
  </si>
  <si>
    <t>45.5∠2°</t>
  </si>
  <si>
    <t>57.34∠70°</t>
  </si>
  <si>
    <t>58.58∠133°</t>
  </si>
  <si>
    <t>55∠241°</t>
  </si>
  <si>
    <t>45.87∠3°</t>
  </si>
  <si>
    <t>58.27∠70°</t>
  </si>
  <si>
    <t>55.09∠242°</t>
  </si>
  <si>
    <t>57.57∠70°</t>
  </si>
  <si>
    <t>58.38∠133°</t>
  </si>
  <si>
    <t>55.04∠242°</t>
  </si>
  <si>
    <t>44.97∠3°</t>
  </si>
  <si>
    <t>57.59∠69°</t>
  </si>
  <si>
    <t>58.65∠133°</t>
  </si>
  <si>
    <t>54.86∠241°</t>
  </si>
  <si>
    <t>45.36∠2°</t>
  </si>
  <si>
    <t>58.21∠69°</t>
  </si>
  <si>
    <t>58.2∠132°</t>
  </si>
  <si>
    <t>55.19∠241°</t>
  </si>
  <si>
    <t>45.2∠3°</t>
  </si>
  <si>
    <t>58.06∠70°</t>
  </si>
  <si>
    <t>59.08∠132°</t>
  </si>
  <si>
    <t>55.61∠242°</t>
  </si>
  <si>
    <t>58.12∠69°</t>
  </si>
  <si>
    <t>59.06∠132°</t>
  </si>
  <si>
    <t>55.5∠241°</t>
  </si>
  <si>
    <t>58.76∠70°</t>
  </si>
  <si>
    <t>55.63∠242°</t>
  </si>
  <si>
    <t>45.35∠2°</t>
  </si>
  <si>
    <t>57.93∠69°</t>
  </si>
  <si>
    <t>59.24∠132°</t>
  </si>
  <si>
    <t>55.96∠241°</t>
  </si>
  <si>
    <t>45.21∠3°</t>
  </si>
  <si>
    <t>57.74∠70°</t>
  </si>
  <si>
    <t>58.64∠133°</t>
  </si>
  <si>
    <t>55.36∠242°</t>
  </si>
  <si>
    <t>45.59∠3°</t>
  </si>
  <si>
    <t>58.24∠70°</t>
  </si>
  <si>
    <t>58.69∠133°</t>
  </si>
  <si>
    <t>55.22∠242°</t>
  </si>
  <si>
    <t>45.14∠3°</t>
  </si>
  <si>
    <t>57.49∠70°</t>
  </si>
  <si>
    <t>58.46∠133°</t>
  </si>
  <si>
    <t>55.29∠241°</t>
  </si>
  <si>
    <t>45.76∠2°</t>
  </si>
  <si>
    <t>57.64∠69°</t>
  </si>
  <si>
    <t>58.2∠133°</t>
  </si>
  <si>
    <t>45.77∠4°</t>
  </si>
  <si>
    <t>57.58∠70°</t>
  </si>
  <si>
    <t>58.47∠133°</t>
  </si>
  <si>
    <t>55.41∠242°</t>
  </si>
  <si>
    <t>45.36∠3°</t>
  </si>
  <si>
    <t>57.99∠70°</t>
  </si>
  <si>
    <t>57.91∠69°</t>
  </si>
  <si>
    <t>58.35∠133°</t>
  </si>
  <si>
    <t>54.55∠241°</t>
  </si>
  <si>
    <t>57.92∠70°</t>
  </si>
  <si>
    <t>58.97∠133°</t>
  </si>
  <si>
    <t>55.21∠242°</t>
  </si>
  <si>
    <t>45.54∠4°</t>
  </si>
  <si>
    <t>58.76∠133°</t>
  </si>
  <si>
    <t>55.93∠242°</t>
  </si>
  <si>
    <t>45.9∠3°</t>
  </si>
  <si>
    <t>58.13∠70°</t>
  </si>
  <si>
    <t>57.93∠133°</t>
  </si>
  <si>
    <t>55.59∠242°</t>
  </si>
  <si>
    <t>45.35∠3°</t>
  </si>
  <si>
    <t>57.63∠70°</t>
  </si>
  <si>
    <t>58.05∠133°</t>
  </si>
  <si>
    <t>55.15∠242°</t>
  </si>
  <si>
    <t>59.01∠132°</t>
  </si>
  <si>
    <t>55.69∠241°</t>
  </si>
  <si>
    <t>45.76∠4°</t>
  </si>
  <si>
    <t>57.97∠70°</t>
  </si>
  <si>
    <t>57.69∠134°</t>
  </si>
  <si>
    <t>55.11∠242°</t>
  </si>
  <si>
    <t>45.08∠1°</t>
  </si>
  <si>
    <t>57.94∠69°</t>
  </si>
  <si>
    <t>58.66∠132°</t>
  </si>
  <si>
    <t>55.21∠241°</t>
  </si>
  <si>
    <t>45.86∠2°</t>
  </si>
  <si>
    <t>57.3∠69°</t>
  </si>
  <si>
    <t>58∠132°</t>
  </si>
  <si>
    <t>54.57∠240°</t>
  </si>
  <si>
    <t>45.33∠3°</t>
  </si>
  <si>
    <t>57.91∠70°</t>
  </si>
  <si>
    <t>58.28∠133°</t>
  </si>
  <si>
    <t>54.72∠242°</t>
  </si>
  <si>
    <t>58.74∠131°</t>
  </si>
  <si>
    <t>45.3∠4°</t>
  </si>
  <si>
    <t>45.22∠3°</t>
  </si>
  <si>
    <t>57.55∠70°</t>
  </si>
  <si>
    <t>58.5∠132°</t>
  </si>
  <si>
    <t>54.3∠241°</t>
  </si>
  <si>
    <t>45.5∠3°</t>
  </si>
  <si>
    <t>57.47∠70°</t>
  </si>
  <si>
    <t>57.51∠133°</t>
  </si>
  <si>
    <t>45.26∠3°</t>
  </si>
  <si>
    <t>57.47∠71°</t>
  </si>
  <si>
    <t>57.76∠134°</t>
  </si>
  <si>
    <t>55.3∠242°</t>
  </si>
  <si>
    <t>57.88∠70°</t>
  </si>
  <si>
    <t>58.45∠132°</t>
  </si>
  <si>
    <t>45.83∠4°</t>
  </si>
  <si>
    <t>58.49∠132°</t>
  </si>
  <si>
    <t>55.37∠242°</t>
  </si>
  <si>
    <t>45.35∠1°</t>
  </si>
  <si>
    <t>57.63∠69°</t>
  </si>
  <si>
    <t>58.65∠131°</t>
  </si>
  <si>
    <t>45.36∠4°</t>
  </si>
  <si>
    <t>57.94∠70°</t>
  </si>
  <si>
    <t>58.85∠132°</t>
  </si>
  <si>
    <t>55.33∠242°</t>
  </si>
  <si>
    <t>58.62∠132°</t>
  </si>
  <si>
    <t>55.48∠242°</t>
  </si>
  <si>
    <t>57.79∠69°</t>
  </si>
  <si>
    <t>58.59∠132°</t>
  </si>
  <si>
    <t>55.37∠241°</t>
  </si>
  <si>
    <t>45.54∠3°</t>
  </si>
  <si>
    <t>57.6∠70°</t>
  </si>
  <si>
    <t>57.71∠133°</t>
  </si>
  <si>
    <t>55.12∠242°</t>
  </si>
  <si>
    <t>58.26∠133°</t>
  </si>
  <si>
    <t>55.2∠242°</t>
  </si>
  <si>
    <t>45.11∠2°</t>
  </si>
  <si>
    <t>58.96∠131°</t>
  </si>
  <si>
    <t>54.93∠241°</t>
  </si>
  <si>
    <t>45.43∠2°</t>
  </si>
  <si>
    <t>58.35∠69°</t>
  </si>
  <si>
    <t>58.55∠70°</t>
  </si>
  <si>
    <t>57.55∠132°</t>
  </si>
  <si>
    <t>54.39∠241°</t>
  </si>
  <si>
    <t>44.87∠2°</t>
  </si>
  <si>
    <t>57.38∠69°</t>
  </si>
  <si>
    <t>58.04∠70°</t>
  </si>
  <si>
    <t>57.78∠132°</t>
  </si>
  <si>
    <t>55.82∠241°</t>
  </si>
  <si>
    <t>45.38∠3°</t>
  </si>
  <si>
    <t>54.98∠243°</t>
  </si>
  <si>
    <t>45.17∠3°</t>
  </si>
  <si>
    <t>58.1∠70°</t>
  </si>
  <si>
    <t>58.91∠133°</t>
  </si>
  <si>
    <t>55.59∠241°</t>
  </si>
  <si>
    <t>45.4∠2°</t>
  </si>
  <si>
    <t>58.53∠132°</t>
  </si>
  <si>
    <t>55.14∠241°</t>
  </si>
  <si>
    <t>45.3∠3°</t>
  </si>
  <si>
    <t>57.98∠70°</t>
  </si>
  <si>
    <t>58.24∠132°</t>
  </si>
  <si>
    <t>45.65∠3°</t>
  </si>
  <si>
    <t>57.81∠70°</t>
  </si>
  <si>
    <t>58.17∠132°</t>
  </si>
  <si>
    <t>55.36∠241°</t>
  </si>
  <si>
    <t>45.68∠2°</t>
  </si>
  <si>
    <t>58.13∠132°</t>
  </si>
  <si>
    <t>55.35∠241°</t>
  </si>
  <si>
    <t>45.57∠2°</t>
  </si>
  <si>
    <t>58.43∠69°</t>
  </si>
  <si>
    <t>58.54∠131°</t>
  </si>
  <si>
    <t>45.4∠3°</t>
  </si>
  <si>
    <t>57.62∠69°</t>
  </si>
  <si>
    <t>58.37∠132°</t>
  </si>
  <si>
    <t>57.45∠133°</t>
  </si>
  <si>
    <t>54.18∠241°</t>
  </si>
  <si>
    <t>45.52∠3°</t>
  </si>
  <si>
    <t>57.75∠69°</t>
  </si>
  <si>
    <t>58.3∠132°</t>
  </si>
  <si>
    <t>55.5∠242°</t>
  </si>
  <si>
    <t>45.05∠2°</t>
  </si>
  <si>
    <t>58.44∠133°</t>
  </si>
  <si>
    <t>55.54∠242°</t>
  </si>
  <si>
    <t>57.85∠132°</t>
  </si>
  <si>
    <t>55.27∠241°</t>
  </si>
  <si>
    <t>45.93∠3°</t>
  </si>
  <si>
    <t>57.84∠70°</t>
  </si>
  <si>
    <t>57.86∠132°</t>
  </si>
  <si>
    <t>54.9∠242°</t>
  </si>
  <si>
    <t>58.54∠133°</t>
  </si>
  <si>
    <t>54.73∠242°</t>
  </si>
  <si>
    <t>58.21∠70°</t>
  </si>
  <si>
    <t>55.19∠242°</t>
  </si>
  <si>
    <t>45.29∠3°</t>
  </si>
  <si>
    <t>58.23∠70°</t>
  </si>
  <si>
    <t>58.05∠132°</t>
  </si>
  <si>
    <t>42.42∠22°</t>
  </si>
  <si>
    <t>53.94∠89°</t>
  </si>
  <si>
    <t>54.11∠151°</t>
  </si>
  <si>
    <t>51.91∠261°</t>
  </si>
  <si>
    <t>40.68∠23°</t>
  </si>
  <si>
    <t>51.07∠88°</t>
  </si>
  <si>
    <t>51.36∠150°</t>
  </si>
  <si>
    <t>50.34∠261°</t>
  </si>
  <si>
    <t>38.2∠22°</t>
  </si>
  <si>
    <t>48.54∠87°</t>
  </si>
  <si>
    <t>47.7∠148°</t>
  </si>
  <si>
    <t>47.62∠259°</t>
  </si>
  <si>
    <t>36.61∠26°</t>
  </si>
  <si>
    <t>45.27∠88°</t>
  </si>
  <si>
    <t>45.27∠147°</t>
  </si>
  <si>
    <t>45.38∠260°</t>
  </si>
  <si>
    <t>36.59∠23°</t>
  </si>
  <si>
    <t>42.34∠85°</t>
  </si>
  <si>
    <t>41.8∠142°</t>
  </si>
  <si>
    <t>43.5∠258°</t>
  </si>
  <si>
    <t>36.88∠24°</t>
  </si>
  <si>
    <t>39.05∠86°</t>
  </si>
  <si>
    <t>38.47∠139°</t>
  </si>
  <si>
    <t>42.27∠258°</t>
  </si>
  <si>
    <t>35.04∠87°</t>
  </si>
  <si>
    <t>31.48∠133°</t>
  </si>
  <si>
    <t>42.92∠257°</t>
  </si>
  <si>
    <t>39∠5°</t>
  </si>
  <si>
    <t>32.43∠93°</t>
  </si>
  <si>
    <t>21.43∠143°</t>
  </si>
  <si>
    <t>42.52∠251°</t>
  </si>
  <si>
    <t>24.55∠350°</t>
  </si>
  <si>
    <t>37.94∠100°</t>
  </si>
  <si>
    <t>29.35∠169°</t>
  </si>
  <si>
    <t>36.05∠244°</t>
  </si>
  <si>
    <t>21.8∠23°</t>
  </si>
  <si>
    <t>37.48∠89°</t>
  </si>
  <si>
    <t>35.9∠147°</t>
  </si>
  <si>
    <t>32.12∠251°</t>
  </si>
  <si>
    <t>20.62∠21°</t>
  </si>
  <si>
    <t>35.72∠87°</t>
  </si>
  <si>
    <t>33.86∠146°</t>
  </si>
  <si>
    <t>30.79∠246°</t>
  </si>
  <si>
    <t>21.04∠26°</t>
  </si>
  <si>
    <t>34.92∠88°</t>
  </si>
  <si>
    <t>32.16∠143°</t>
  </si>
  <si>
    <t>30.23∠249°</t>
  </si>
  <si>
    <t>20.3∠28°</t>
  </si>
  <si>
    <t>34.79∠88°</t>
  </si>
  <si>
    <t>30.69∠141°</t>
  </si>
  <si>
    <t>29.13∠248°</t>
  </si>
  <si>
    <t>20.7∠29°</t>
  </si>
  <si>
    <t>34.08∠86°</t>
  </si>
  <si>
    <t>28.87∠138°</t>
  </si>
  <si>
    <t>28.92∠248°</t>
  </si>
  <si>
    <t>20.38∠30°</t>
  </si>
  <si>
    <t>31.9∠85°</t>
  </si>
  <si>
    <t>27.09∠133°</t>
  </si>
  <si>
    <t>26.69∠246°</t>
  </si>
  <si>
    <t>20.12∠30°</t>
  </si>
  <si>
    <t>30.6∠85°</t>
  </si>
  <si>
    <t>25.44∠130°</t>
  </si>
  <si>
    <t>25.96∠244°</t>
  </si>
  <si>
    <t>19.54∠35°</t>
  </si>
  <si>
    <t>31.48∠83°</t>
  </si>
  <si>
    <t>22.15∠126°</t>
  </si>
  <si>
    <t>25.72∠244°</t>
  </si>
  <si>
    <t>18.99∠36°</t>
  </si>
  <si>
    <t>29.93∠83°</t>
  </si>
  <si>
    <t>20.75∠123°</t>
  </si>
  <si>
    <t>24.3∠244°</t>
  </si>
  <si>
    <t>18.66∠39°</t>
  </si>
  <si>
    <t>29.32∠81°</t>
  </si>
  <si>
    <t>17.95∠118°</t>
  </si>
  <si>
    <t>23.7∠242°</t>
  </si>
  <si>
    <t>18.02∠42°</t>
  </si>
  <si>
    <t>27.83∠82°</t>
  </si>
  <si>
    <t>17.33∠114°</t>
  </si>
  <si>
    <t>22.53∠242°</t>
  </si>
  <si>
    <t>17.01∠42°</t>
  </si>
  <si>
    <t>28.55∠80°</t>
  </si>
  <si>
    <t>15.68∠113°</t>
  </si>
  <si>
    <t>22.01∠241°</t>
  </si>
  <si>
    <t>16.63∠41°</t>
  </si>
  <si>
    <t>27.66∠79°</t>
  </si>
  <si>
    <t>14.02∠108°</t>
  </si>
  <si>
    <t>21.29∠240°</t>
  </si>
  <si>
    <t>15.82∠46°</t>
  </si>
  <si>
    <t>25.69∠73°</t>
  </si>
  <si>
    <t>13.48∠106°</t>
  </si>
  <si>
    <t>20.21∠239°</t>
  </si>
  <si>
    <t>17.14∠38°</t>
  </si>
  <si>
    <t>22.49∠77°</t>
  </si>
  <si>
    <t>13.78∠105°</t>
  </si>
  <si>
    <t>19∠240°</t>
  </si>
  <si>
    <t>15.53∠48°</t>
  </si>
  <si>
    <t>21.81∠89°</t>
  </si>
  <si>
    <t>13.26∠118°</t>
  </si>
  <si>
    <t>18.38∠251°</t>
  </si>
  <si>
    <t>16.18∠42°</t>
  </si>
  <si>
    <t>21.22∠77°</t>
  </si>
  <si>
    <t>10.96∠99°</t>
  </si>
  <si>
    <t>17.74∠239°</t>
  </si>
  <si>
    <t>15.22∠44°</t>
  </si>
  <si>
    <t>21.05∠74°</t>
  </si>
  <si>
    <t>10.03∠89°</t>
  </si>
  <si>
    <t>17.97∠236°</t>
  </si>
  <si>
    <t>14.44∠44°</t>
  </si>
  <si>
    <t>19.89∠74°</t>
  </si>
  <si>
    <t>9.93∠86°</t>
  </si>
  <si>
    <t>17.12∠236°</t>
  </si>
  <si>
    <t>14.35∠46°</t>
  </si>
  <si>
    <t>20.48∠73°</t>
  </si>
  <si>
    <t>9.47∠76°</t>
  </si>
  <si>
    <t>17.58∠236°</t>
  </si>
  <si>
    <t>13.42∠45°</t>
  </si>
  <si>
    <t>20.26∠71°</t>
  </si>
  <si>
    <t>8.69∠72°</t>
  </si>
  <si>
    <t>17.05∠234°</t>
  </si>
  <si>
    <t>13.48∠45°</t>
  </si>
  <si>
    <t>19.43∠72°</t>
  </si>
  <si>
    <t>8.18∠71°</t>
  </si>
  <si>
    <t>16.5∠233°</t>
  </si>
  <si>
    <t>12.61∠46°</t>
  </si>
  <si>
    <t>19.95∠72°</t>
  </si>
  <si>
    <t>8.3∠61°</t>
  </si>
  <si>
    <t>16.79∠235°</t>
  </si>
  <si>
    <t>12.21∠49°</t>
  </si>
  <si>
    <t>19.73∠71°</t>
  </si>
  <si>
    <t>7.65∠58°</t>
  </si>
  <si>
    <t>16.87∠234°</t>
  </si>
  <si>
    <t>12.08∠49°</t>
  </si>
  <si>
    <t>19.87∠67°</t>
  </si>
  <si>
    <t>7.34∠48°</t>
  </si>
  <si>
    <t>17.42∠232°</t>
  </si>
  <si>
    <t>11.95∠52°</t>
  </si>
  <si>
    <t>20.12∠66°</t>
  </si>
  <si>
    <t>6.99∠38°</t>
  </si>
  <si>
    <t>17.71∠230°</t>
  </si>
  <si>
    <t>11.61∠57°</t>
  </si>
  <si>
    <t>20.35∠65°</t>
  </si>
  <si>
    <t>7∠31°</t>
  </si>
  <si>
    <t>17.88∠229°</t>
  </si>
  <si>
    <t>11.79∠60°</t>
  </si>
  <si>
    <t>20.94∠64°</t>
  </si>
  <si>
    <t>6.92∠21°</t>
  </si>
  <si>
    <t>18.33∠228°</t>
  </si>
  <si>
    <t>11.98∠64°</t>
  </si>
  <si>
    <t>21.65∠63°</t>
  </si>
  <si>
    <t>7.12∠10°</t>
  </si>
  <si>
    <t>18.98∠228°</t>
  </si>
  <si>
    <t>12.57∠70°</t>
  </si>
  <si>
    <t>23.39∠58°</t>
  </si>
  <si>
    <t>8∠348°</t>
  </si>
  <si>
    <t>20.29∠225°</t>
  </si>
  <si>
    <t>12.68∠64°</t>
  </si>
  <si>
    <t>22.08∠51°</t>
  </si>
  <si>
    <t>6.98∠343°</t>
  </si>
  <si>
    <t>19.72∠220°</t>
  </si>
  <si>
    <t>14.61∠74°</t>
  </si>
  <si>
    <t>29.53∠48°</t>
  </si>
  <si>
    <t>9.98∠316°</t>
  </si>
  <si>
    <t>25.86∠218°</t>
  </si>
  <si>
    <t>25.02∠32°</t>
  </si>
  <si>
    <t>23.2∠352°</t>
  </si>
  <si>
    <t>14.52∠211°</t>
  </si>
  <si>
    <t>23.1∠165°</t>
  </si>
  <si>
    <t>11.27∠354°</t>
  </si>
  <si>
    <t>5.82∠112°</t>
  </si>
  <si>
    <t>9.92∠106°</t>
  </si>
  <si>
    <t>2.81∠250°</t>
  </si>
  <si>
    <t>13.54∠345°</t>
  </si>
  <si>
    <t>2.48∠121°</t>
  </si>
  <si>
    <t>9.41∠111°</t>
  </si>
  <si>
    <t>1.92∠151°</t>
  </si>
  <si>
    <t>10.32∠346°</t>
  </si>
  <si>
    <t>4.09∠100°</t>
  </si>
  <si>
    <t>8.17∠96°</t>
  </si>
  <si>
    <t>2.45∠217°</t>
  </si>
  <si>
    <t>9.98∠347°</t>
  </si>
  <si>
    <t>4.52∠87°</t>
  </si>
  <si>
    <t>6.71∠90°</t>
  </si>
  <si>
    <t>2.95∠210°</t>
  </si>
  <si>
    <t>8.98∠349°</t>
  </si>
  <si>
    <t>4.09∠93°</t>
  </si>
  <si>
    <t>5.93∠86°</t>
  </si>
  <si>
    <t>2.87∠210°</t>
  </si>
  <si>
    <t>9.11∠349°</t>
  </si>
  <si>
    <t>3.28∠87°</t>
  </si>
  <si>
    <t>5.35∠90°</t>
  </si>
  <si>
    <t>2.85∠197°</t>
  </si>
  <si>
    <t>8.16∠346°</t>
  </si>
  <si>
    <t>3.78∠88°</t>
  </si>
  <si>
    <t>5.01∠82°</t>
  </si>
  <si>
    <t>2.78∠206°</t>
  </si>
  <si>
    <t>7.83∠346°</t>
  </si>
  <si>
    <t>3.8∠91°</t>
  </si>
  <si>
    <t>4.8∠78°</t>
  </si>
  <si>
    <t>2.74∠204°</t>
  </si>
  <si>
    <t>7.24∠344°</t>
  </si>
  <si>
    <t>3.79∠85°</t>
  </si>
  <si>
    <t>4.35∠74°</t>
  </si>
  <si>
    <t>2.58∠206°</t>
  </si>
  <si>
    <t>7.05∠343°</t>
  </si>
  <si>
    <t>3.81∠81°</t>
  </si>
  <si>
    <t>4.04∠73°</t>
  </si>
  <si>
    <t>2.78∠201°</t>
  </si>
  <si>
    <t>6.53∠336°</t>
  </si>
  <si>
    <t>5.02∠74°</t>
  </si>
  <si>
    <t>3.55∠64°</t>
  </si>
  <si>
    <t>3.09∠201°</t>
  </si>
  <si>
    <t>5.36∠339°</t>
  </si>
  <si>
    <t>3.71∠38°</t>
  </si>
  <si>
    <t>3.71∠79°</t>
  </si>
  <si>
    <t>3.02∠193°</t>
  </si>
  <si>
    <t>5.06∠339°</t>
  </si>
  <si>
    <t>3.6∠37°</t>
  </si>
  <si>
    <t>3.58∠74°</t>
  </si>
  <si>
    <t>2.71∠195°</t>
  </si>
  <si>
    <t>4.67∠338°</t>
  </si>
  <si>
    <t>3.25∠35°</t>
  </si>
  <si>
    <t>3.38∠73°</t>
  </si>
  <si>
    <t>2.58∠195°</t>
  </si>
  <si>
    <t>4.52∠336°</t>
  </si>
  <si>
    <t>2.76∠36°</t>
  </si>
  <si>
    <t>3.12∠69°</t>
  </si>
  <si>
    <t>2.53∠191°</t>
  </si>
  <si>
    <t>4.27∠334°</t>
  </si>
  <si>
    <t>2.71∠45°</t>
  </si>
  <si>
    <t>2.95∠66°</t>
  </si>
  <si>
    <t>2.35∠188°</t>
  </si>
  <si>
    <t>4.33∠332°</t>
  </si>
  <si>
    <t>3.52∠49°</t>
  </si>
  <si>
    <t>2.43∠60°</t>
  </si>
  <si>
    <t>2.41∠194°</t>
  </si>
  <si>
    <t>3.95∠334°</t>
  </si>
  <si>
    <t>2.42∠56°</t>
  </si>
  <si>
    <t>2.57∠52°</t>
  </si>
  <si>
    <t>2.22∠195°</t>
  </si>
  <si>
    <t>3.14∠328°</t>
  </si>
  <si>
    <t>4.21∠19°</t>
  </si>
  <si>
    <t>2.11∠72°</t>
  </si>
  <si>
    <t>2.36∠187°</t>
  </si>
  <si>
    <t>3.18∠330°</t>
  </si>
  <si>
    <t>3.31∠21°</t>
  </si>
  <si>
    <t>2.24∠66°</t>
  </si>
  <si>
    <t>2.17∠190°</t>
  </si>
  <si>
    <t>2.94∠328°</t>
  </si>
  <si>
    <t>3.1∠15°</t>
  </si>
  <si>
    <t>2.14∠66°</t>
  </si>
  <si>
    <t>2.12∠186°</t>
  </si>
  <si>
    <t>2.72∠326°</t>
  </si>
  <si>
    <t>3.02∠12°</t>
  </si>
  <si>
    <t>1.91∠64°</t>
  </si>
  <si>
    <t>2.03∠182°</t>
  </si>
  <si>
    <t>2.51∠324°</t>
  </si>
  <si>
    <t>3.01∠9°</t>
  </si>
  <si>
    <t>1.95∠62°</t>
  </si>
  <si>
    <t>1.97∠183°</t>
  </si>
  <si>
    <t>2.3∠324°</t>
  </si>
  <si>
    <t>2.77∠9°</t>
  </si>
  <si>
    <t>1.83∠57°</t>
  </si>
  <si>
    <t>1.96∠182°</t>
  </si>
  <si>
    <t>2.15∠326°</t>
  </si>
  <si>
    <t>2.57∠4°</t>
  </si>
  <si>
    <t>1.7∠58°</t>
  </si>
  <si>
    <t>1.73∠179°</t>
  </si>
  <si>
    <t>1.9∠327°</t>
  </si>
  <si>
    <t>2.47∠1°</t>
  </si>
  <si>
    <t>1.68∠53°</t>
  </si>
  <si>
    <t>1.71∠181°</t>
  </si>
  <si>
    <t>1.92∠325°</t>
  </si>
  <si>
    <t>2.17∠355°</t>
  </si>
  <si>
    <t>1.62∠52°</t>
  </si>
  <si>
    <t>1.51∠181°</t>
  </si>
  <si>
    <t>1.71∠335°</t>
  </si>
  <si>
    <t>2.07∠357°</t>
  </si>
  <si>
    <t>1.47∠58°</t>
  </si>
  <si>
    <t>1.38∠186°</t>
  </si>
  <si>
    <t>1.62∠333°</t>
  </si>
  <si>
    <t>2.06∠355°</t>
  </si>
  <si>
    <t>1.45∠53°</t>
  </si>
  <si>
    <t>1.4∠183°</t>
  </si>
  <si>
    <t>1.46∠328°</t>
  </si>
  <si>
    <t>1.92∠355°</t>
  </si>
  <si>
    <t>1.31∠50°</t>
  </si>
  <si>
    <t>1.32∠179°</t>
  </si>
  <si>
    <t>1.25∠336°</t>
  </si>
  <si>
    <t>1.76∠345°</t>
  </si>
  <si>
    <t>1.27∠52°</t>
  </si>
  <si>
    <t>1.26∠183°</t>
  </si>
  <si>
    <t>1.21∠333°</t>
  </si>
  <si>
    <t>1.84∠341°</t>
  </si>
  <si>
    <t>1.26∠47°</t>
  </si>
  <si>
    <t>1.18∠176°</t>
  </si>
  <si>
    <t>1∠337°</t>
  </si>
  <si>
    <t>1.84∠339°</t>
  </si>
  <si>
    <t>1.11∠50°</t>
  </si>
  <si>
    <t>0.94∠333°</t>
  </si>
  <si>
    <t>1.62∠347°</t>
  </si>
  <si>
    <t>1.04∠49°</t>
  </si>
  <si>
    <t>1.01∠171°</t>
  </si>
  <si>
    <t>0.9∠343°</t>
  </si>
  <si>
    <t>1.59∠335°</t>
  </si>
  <si>
    <t>0.97∠48°</t>
  </si>
  <si>
    <t>1.03∠176°</t>
  </si>
  <si>
    <t>0.74∠342°</t>
  </si>
  <si>
    <t>1.53∠332°</t>
  </si>
  <si>
    <t>0.95∠50°</t>
  </si>
  <si>
    <t>0.87∠177°</t>
  </si>
  <si>
    <t>0.6∠336°</t>
  </si>
  <si>
    <t>1.37∠330°</t>
  </si>
  <si>
    <t>0.88∠40°</t>
  </si>
  <si>
    <t>0.88∠171°</t>
  </si>
  <si>
    <t>0.61∠356°</t>
  </si>
  <si>
    <t>1.57∠324°</t>
  </si>
  <si>
    <t>0.86∠44°</t>
  </si>
  <si>
    <t>0.7∠177°</t>
  </si>
  <si>
    <t>0.47∠346°</t>
  </si>
  <si>
    <t>1.32∠327°</t>
  </si>
  <si>
    <t>0.76∠44°</t>
  </si>
  <si>
    <t>0.81∠172°</t>
  </si>
  <si>
    <t>0.47∠9°</t>
  </si>
  <si>
    <t>1.44∠320°</t>
  </si>
  <si>
    <t>0.78∠38°</t>
  </si>
  <si>
    <t>0.67∠181°</t>
  </si>
  <si>
    <t>0.49∠23°</t>
  </si>
  <si>
    <t>1.5∠312°</t>
  </si>
  <si>
    <t>0.68∠38°</t>
  </si>
  <si>
    <t>0.68∠183°</t>
  </si>
  <si>
    <t>0.44∠31°</t>
  </si>
  <si>
    <t>1.55∠313°</t>
  </si>
  <si>
    <t>0.66∠33°</t>
  </si>
  <si>
    <t>0.63∠185°</t>
  </si>
  <si>
    <t>0.59∠40°</t>
  </si>
  <si>
    <t>1.41∠318°</t>
  </si>
  <si>
    <t>0.62∠49°</t>
  </si>
  <si>
    <t>0.55∠181°</t>
  </si>
  <si>
    <t>0.35∠35°</t>
  </si>
  <si>
    <t>1.33∠318°</t>
  </si>
  <si>
    <t>0.57∠43°</t>
  </si>
  <si>
    <t>0.68∠175°</t>
  </si>
  <si>
    <t>0.49∠58°</t>
  </si>
  <si>
    <t>1.42∠311°</t>
  </si>
  <si>
    <t>0.61∠44°</t>
  </si>
  <si>
    <t>0.65∠173°</t>
  </si>
  <si>
    <t>0.48∠55°</t>
  </si>
  <si>
    <t>1.43∠302°</t>
  </si>
  <si>
    <t>0.59∠38°</t>
  </si>
  <si>
    <t>0.58∠190°</t>
  </si>
  <si>
    <t>0.55∠63°</t>
  </si>
  <si>
    <t>1.57∠300°</t>
  </si>
  <si>
    <t>0.56∠36°</t>
  </si>
  <si>
    <t>0.53∠209°</t>
  </si>
  <si>
    <t>0.36∠75°</t>
  </si>
  <si>
    <t>1.22∠307°</t>
  </si>
  <si>
    <t>0.49∠42°</t>
  </si>
  <si>
    <t>0.45∠172°</t>
  </si>
  <si>
    <t>0.61∠71°</t>
  </si>
  <si>
    <t>1.5∠300°</t>
  </si>
  <si>
    <t>0.5∠41°</t>
  </si>
  <si>
    <t>0.46∠195°</t>
  </si>
  <si>
    <t>0.67∠72°</t>
  </si>
  <si>
    <t>1.38∠300°</t>
  </si>
  <si>
    <t>0.51∠41°</t>
  </si>
  <si>
    <t>0.33∠194°</t>
  </si>
  <si>
    <t>0.73∠76°</t>
  </si>
  <si>
    <t>1.5∠298°</t>
  </si>
  <si>
    <t>0.43∠36°</t>
  </si>
  <si>
    <t>0.4∠205°</t>
  </si>
  <si>
    <t>0.45∠85°</t>
  </si>
  <si>
    <t>1.18∠307°</t>
  </si>
  <si>
    <t>0.37∠45°</t>
  </si>
  <si>
    <t>0.33∠165°</t>
  </si>
  <si>
    <t>0.76∠82°</t>
  </si>
  <si>
    <t>1.46∠297°</t>
  </si>
  <si>
    <t>0.4∠49°</t>
  </si>
  <si>
    <t>0.34∠206°</t>
  </si>
  <si>
    <t>0.77∠86°</t>
  </si>
  <si>
    <t>1.42∠295°</t>
  </si>
  <si>
    <t>0.4∠44°</t>
  </si>
  <si>
    <t>0.3∠188°</t>
  </si>
  <si>
    <t>0.94∠83°</t>
  </si>
  <si>
    <t>1.51∠292°</t>
  </si>
  <si>
    <t>0.39∠43°</t>
  </si>
  <si>
    <t>0.23∠207°</t>
  </si>
  <si>
    <t>0.66∠87°</t>
  </si>
  <si>
    <t>1.3∠294°</t>
  </si>
  <si>
    <t>0.37∠36°</t>
  </si>
  <si>
    <t>0.31∠201°</t>
  </si>
  <si>
    <t>0.92∠84°</t>
  </si>
  <si>
    <t>1.44∠289°</t>
  </si>
  <si>
    <t>0.29∠35°</t>
  </si>
  <si>
    <t>0.36∠206°</t>
  </si>
  <si>
    <t>0.91∠85°</t>
  </si>
  <si>
    <t>1.45∠289°</t>
  </si>
  <si>
    <t>0.33∠43°</t>
  </si>
  <si>
    <t>0.31∠219°</t>
  </si>
  <si>
    <t>1.56∠295°</t>
  </si>
  <si>
    <t>0.33∠51°</t>
  </si>
  <si>
    <t>0.24∠250°</t>
  </si>
  <si>
    <t>1.07∠88°</t>
  </si>
  <si>
    <t>0.99∠84°</t>
  </si>
  <si>
    <t>1.59∠284°</t>
  </si>
  <si>
    <t>0.34∠41°</t>
  </si>
  <si>
    <t>0.5∠235°</t>
  </si>
  <si>
    <t>1.02∠87°</t>
  </si>
  <si>
    <t>1.48∠289°</t>
  </si>
  <si>
    <t>0.23∠46°</t>
  </si>
  <si>
    <t>0.25∠227°</t>
  </si>
  <si>
    <t>1.07∠89°</t>
  </si>
  <si>
    <t>1.51∠281°</t>
  </si>
  <si>
    <t>0.2∠59°</t>
  </si>
  <si>
    <t>0.35∠222°</t>
  </si>
  <si>
    <t>0.88∠92°</t>
  </si>
  <si>
    <t>1.24∠285°</t>
  </si>
  <si>
    <t>0.18∠49°</t>
  </si>
  <si>
    <t>0.34∠199°</t>
  </si>
  <si>
    <t>1.23∠86°</t>
  </si>
  <si>
    <t>1.59∠280°</t>
  </si>
  <si>
    <t>0.3∠54°</t>
  </si>
  <si>
    <t>0.38∠232°</t>
  </si>
  <si>
    <t>1.13∠88°</t>
  </si>
  <si>
    <t>1.58∠280°</t>
  </si>
  <si>
    <t>0.24∠53°</t>
  </si>
  <si>
    <t>0.39∠239°</t>
  </si>
  <si>
    <t>1.33∠83°</t>
  </si>
  <si>
    <t>0.34∠55°</t>
  </si>
  <si>
    <t>0.33∠264°</t>
  </si>
  <si>
    <t>1.14∠90°</t>
  </si>
  <si>
    <t>1.54∠287°</t>
  </si>
  <si>
    <t>0.27∠43°</t>
  </si>
  <si>
    <t>0.29∠253°</t>
  </si>
  <si>
    <t>1.06∠95°</t>
  </si>
  <si>
    <t>1.44∠279°</t>
  </si>
  <si>
    <t>0.23∠33°</t>
  </si>
  <si>
    <t>0.44∠231°</t>
  </si>
  <si>
    <t>1.18∠94°</t>
  </si>
  <si>
    <t>1.37∠283°</t>
  </si>
  <si>
    <t>0.29∠42°</t>
  </si>
  <si>
    <t>0.32∠250°</t>
  </si>
  <si>
    <t>1.25∠93°</t>
  </si>
  <si>
    <t>1.58∠281°</t>
  </si>
  <si>
    <t>0.24∠59°</t>
  </si>
  <si>
    <t>0.37∠258°</t>
  </si>
  <si>
    <t>1.42∠90°</t>
  </si>
  <si>
    <t>1.67∠274°</t>
  </si>
  <si>
    <t>0.23∠66°</t>
  </si>
  <si>
    <t>0.46∠246°</t>
  </si>
  <si>
    <t>1.48∠91°</t>
  </si>
  <si>
    <t>1.67∠278°</t>
  </si>
  <si>
    <t>0.29∠62°</t>
  </si>
  <si>
    <t>0.38∠250°</t>
  </si>
  <si>
    <t>1.45∠90°</t>
  </si>
  <si>
    <t>1.51∠278°</t>
  </si>
  <si>
    <t>0.18∠35°</t>
  </si>
  <si>
    <t>0.28∠250°</t>
  </si>
  <si>
    <t>1.52∠91°</t>
  </si>
  <si>
    <t>1.68∠276°</t>
  </si>
  <si>
    <t>0.19∠47°</t>
  </si>
  <si>
    <t>0.33∠249°</t>
  </si>
  <si>
    <t>1.56∠89°</t>
  </si>
  <si>
    <t>1.69∠275°</t>
  </si>
  <si>
    <t>0.19∠62°</t>
  </si>
  <si>
    <t>1.5∠91°</t>
  </si>
  <si>
    <t>1.69∠276°</t>
  </si>
  <si>
    <t>0.23∠56°</t>
  </si>
  <si>
    <t>0.32∠259°</t>
  </si>
  <si>
    <t>1.57∠92°</t>
  </si>
  <si>
    <t>1.63∠279°</t>
  </si>
  <si>
    <t>0.2∠60°</t>
  </si>
  <si>
    <t>0.34∠267°</t>
  </si>
  <si>
    <t>1.42∠92°</t>
  </si>
  <si>
    <t>1.66∠275°</t>
  </si>
  <si>
    <t>0.18∠55°</t>
  </si>
  <si>
    <t>0.4∠253°</t>
  </si>
  <si>
    <t>1.63∠88°</t>
  </si>
  <si>
    <t>1.71∠277°</t>
  </si>
  <si>
    <t>0.18∠61°</t>
  </si>
  <si>
    <t>0.36∠259°</t>
  </si>
  <si>
    <t>1.68∠88°</t>
  </si>
  <si>
    <t>1.81∠274°</t>
  </si>
  <si>
    <t>0.21∠68°</t>
  </si>
  <si>
    <t>0.38∠257°</t>
  </si>
  <si>
    <t>1.68∠89°</t>
  </si>
  <si>
    <t>1.86∠278°</t>
  </si>
  <si>
    <t>0.2∠48°</t>
  </si>
  <si>
    <t>0.48∠273°</t>
  </si>
  <si>
    <t>1.73∠90°</t>
  </si>
  <si>
    <t>1.83∠275°</t>
  </si>
  <si>
    <t>0.18∠70°</t>
  </si>
  <si>
    <t>0.44∠266°</t>
  </si>
  <si>
    <t>1.63∠274°</t>
  </si>
  <si>
    <t>0.07∠56°</t>
  </si>
  <si>
    <t>0.41∠255°</t>
  </si>
  <si>
    <t>1.77∠89°</t>
  </si>
  <si>
    <t>1.89∠273°</t>
  </si>
  <si>
    <t>0.14∠49°</t>
  </si>
  <si>
    <t>0.45∠258°</t>
  </si>
  <si>
    <t>1.81∠91°</t>
  </si>
  <si>
    <t>1.81∠273°</t>
  </si>
  <si>
    <t>0.19∠81°</t>
  </si>
  <si>
    <t>0.42∠264°</t>
  </si>
  <si>
    <t>1.71∠90°</t>
  </si>
  <si>
    <t>0.22∠71°</t>
  </si>
  <si>
    <t>0.47∠264°</t>
  </si>
  <si>
    <t>1.78∠91°</t>
  </si>
  <si>
    <t>1.87∠276°</t>
  </si>
  <si>
    <t>0.13∠86°</t>
  </si>
  <si>
    <t>0.48∠270°</t>
  </si>
  <si>
    <t>1.94∠88°</t>
  </si>
  <si>
    <t>1.97∠271°</t>
  </si>
  <si>
    <t>0.21∠85°</t>
  </si>
  <si>
    <t>0.5∠263°</t>
  </si>
  <si>
    <t>1.89∠89°</t>
  </si>
  <si>
    <t>1.95∠270°</t>
  </si>
  <si>
    <t>0.15∠59°</t>
  </si>
  <si>
    <t>0.48∠262°</t>
  </si>
  <si>
    <t>1.92∠93°</t>
  </si>
  <si>
    <t>1.96∠271°</t>
  </si>
  <si>
    <t>0.25∠76°</t>
  </si>
  <si>
    <t>0.54∠262°</t>
  </si>
  <si>
    <t>1.97∠93°</t>
  </si>
  <si>
    <t>1.93∠270°</t>
  </si>
  <si>
    <t>0.18∠88°</t>
  </si>
  <si>
    <t>0.53∠260°</t>
  </si>
  <si>
    <t>1.93∠92°</t>
  </si>
  <si>
    <t>1.97∠272°</t>
  </si>
  <si>
    <t>0.17∠79°</t>
  </si>
  <si>
    <t>0.53∠263°</t>
  </si>
  <si>
    <t>1.68∠93°</t>
  </si>
  <si>
    <t>1.74∠278°</t>
  </si>
  <si>
    <t>0.19∠41°</t>
  </si>
  <si>
    <t>0.48∠278°</t>
  </si>
  <si>
    <t>1.48∠93°</t>
  </si>
  <si>
    <t>1.51∠277°</t>
  </si>
  <si>
    <t>0.19∠73°</t>
  </si>
  <si>
    <t>0.4∠275°</t>
  </si>
  <si>
    <t>2∠92°</t>
  </si>
  <si>
    <t>1.91∠273°</t>
  </si>
  <si>
    <t>0.15∠66°</t>
  </si>
  <si>
    <t>0.57∠262°</t>
  </si>
  <si>
    <t>1.85∠94°</t>
  </si>
  <si>
    <t>1.78∠273°</t>
  </si>
  <si>
    <t>0.12∠79°</t>
  </si>
  <si>
    <t>0.5∠267°</t>
  </si>
  <si>
    <t>1.98∠92°</t>
  </si>
  <si>
    <t>1.98∠274°</t>
  </si>
  <si>
    <t>0.22∠95°</t>
  </si>
  <si>
    <t>0.49∠270°</t>
  </si>
  <si>
    <t>1.74∠95°</t>
  </si>
  <si>
    <t>1.82∠277°</t>
  </si>
  <si>
    <t>0.07∠80°</t>
  </si>
  <si>
    <t>0.52∠275°</t>
  </si>
  <si>
    <t>2.3∠91°</t>
  </si>
  <si>
    <t>2.22∠273°</t>
  </si>
  <si>
    <t>0.18∠79°</t>
  </si>
  <si>
    <t>0.63∠266°</t>
  </si>
  <si>
    <t>1.63∠93°</t>
  </si>
  <si>
    <t>1.64∠276°</t>
  </si>
  <si>
    <t>0.2∠78°</t>
  </si>
  <si>
    <t>0.53∠275°</t>
  </si>
  <si>
    <t>1.7∠96°</t>
  </si>
  <si>
    <t>1.67∠276°</t>
  </si>
  <si>
    <t>0.14∠78°</t>
  </si>
  <si>
    <t>0.44∠281°</t>
  </si>
  <si>
    <t>2.46∠90°</t>
  </si>
  <si>
    <t>2.36∠272°</t>
  </si>
  <si>
    <t>0.23∠90°</t>
  </si>
  <si>
    <t>0.72∠270°</t>
  </si>
  <si>
    <t>2.37∠90°</t>
  </si>
  <si>
    <t>2.34∠271°</t>
  </si>
  <si>
    <t>0.25∠90°</t>
  </si>
  <si>
    <t>0.56∠262°</t>
  </si>
  <si>
    <t>2.49∠90°</t>
  </si>
  <si>
    <t>2.45∠271°</t>
  </si>
  <si>
    <t>0.18∠80°</t>
  </si>
  <si>
    <t>0.8∠268°</t>
  </si>
  <si>
    <t>1.78∠96°</t>
  </si>
  <si>
    <t>1.72∠275°</t>
  </si>
  <si>
    <t>0.18∠99°</t>
  </si>
  <si>
    <t>0.56∠273°</t>
  </si>
  <si>
    <t>2.34∠92°</t>
  </si>
  <si>
    <t>2.32∠272°</t>
  </si>
  <si>
    <t>0.24∠81°</t>
  </si>
  <si>
    <t>0.66∠265°</t>
  </si>
  <si>
    <t>2.3∠93°</t>
  </si>
  <si>
    <t>2.18∠273°</t>
  </si>
  <si>
    <t>0.21∠72°</t>
  </si>
  <si>
    <t>0.57∠274°</t>
  </si>
  <si>
    <t>113.5∠3.9°</t>
  </si>
  <si>
    <t>起始行</t>
    <phoneticPr fontId="1" type="noConversion"/>
  </si>
  <si>
    <t>结束行</t>
    <phoneticPr fontId="1" type="noConversion"/>
  </si>
  <si>
    <t>45.7∠2.4°</t>
  </si>
  <si>
    <t>58.4∠69.5°</t>
  </si>
  <si>
    <t>59.2∠132.8°</t>
  </si>
  <si>
    <t>55.8∠241.6°</t>
  </si>
  <si>
    <t>75.8∠98.1°</t>
  </si>
  <si>
    <t>500∠10°</t>
    <phoneticPr fontId="1" type="noConversion"/>
  </si>
  <si>
    <t>显示XY向</t>
  </si>
  <si>
    <t>第三次加重</t>
    <phoneticPr fontId="1" type="noConversion"/>
  </si>
  <si>
    <t>原始振动A0</t>
    <phoneticPr fontId="1" type="noConversion"/>
  </si>
  <si>
    <t>原始振动B0</t>
    <phoneticPr fontId="1" type="noConversion"/>
  </si>
  <si>
    <t>I面试加重P1</t>
    <phoneticPr fontId="1" type="noConversion"/>
  </si>
  <si>
    <t>加重后P1后振动A1</t>
    <phoneticPr fontId="1" type="noConversion"/>
  </si>
  <si>
    <t>加重后P1后振动B1</t>
    <phoneticPr fontId="1" type="noConversion"/>
  </si>
  <si>
    <t>II面加重是否取P1</t>
    <phoneticPr fontId="1" type="noConversion"/>
  </si>
  <si>
    <t>II面试加重P2</t>
    <phoneticPr fontId="1" type="noConversion"/>
  </si>
  <si>
    <t>加重P2后振动A2</t>
    <phoneticPr fontId="1" type="noConversion"/>
  </si>
  <si>
    <t>加重P2后振动B2</t>
    <phoneticPr fontId="1" type="noConversion"/>
  </si>
  <si>
    <t>影响系数α11</t>
    <phoneticPr fontId="1" type="noConversion"/>
  </si>
  <si>
    <t>影响系数α12</t>
    <phoneticPr fontId="1" type="noConversion"/>
  </si>
  <si>
    <t>影响系数α21</t>
    <phoneticPr fontId="1" type="noConversion"/>
  </si>
  <si>
    <t>影响系数α22</t>
    <phoneticPr fontId="1" type="noConversion"/>
  </si>
  <si>
    <t>I面加重Q1(去重P2)</t>
  </si>
  <si>
    <t>II面加重Q2(去重P2)</t>
  </si>
  <si>
    <t>I面加重Q1(不去重P2)</t>
    <phoneticPr fontId="1" type="noConversion"/>
  </si>
  <si>
    <t>II面加重Q2(不去重P2)</t>
    <phoneticPr fontId="1" type="noConversion"/>
  </si>
  <si>
    <t>双面平衡</t>
    <phoneticPr fontId="1" type="noConversion"/>
  </si>
  <si>
    <t>58.4∠69.5°</t>
    <phoneticPr fontId="1" type="noConversion"/>
  </si>
  <si>
    <t>1010∠15</t>
    <phoneticPr fontId="1" type="noConversion"/>
  </si>
  <si>
    <t>是</t>
  </si>
  <si>
    <t>18∠260.6°</t>
    <phoneticPr fontId="1" type="noConversion"/>
  </si>
  <si>
    <t>a'11</t>
    <phoneticPr fontId="1" type="noConversion"/>
  </si>
  <si>
    <t>a'12</t>
    <phoneticPr fontId="1" type="noConversion"/>
  </si>
  <si>
    <t>a'21</t>
    <phoneticPr fontId="1" type="noConversion"/>
  </si>
  <si>
    <t>a'22</t>
    <phoneticPr fontId="1" type="noConversion"/>
  </si>
  <si>
    <t>-A0</t>
    <phoneticPr fontId="1" type="noConversion"/>
  </si>
  <si>
    <t>-B0</t>
    <phoneticPr fontId="1" type="noConversion"/>
  </si>
  <si>
    <t>-A2</t>
    <phoneticPr fontId="1" type="noConversion"/>
  </si>
  <si>
    <t>-B2</t>
    <phoneticPr fontId="1" type="noConversion"/>
  </si>
  <si>
    <t>375∠170</t>
    <phoneticPr fontId="1" type="noConversion"/>
  </si>
  <si>
    <t>27∠65°</t>
    <phoneticPr fontId="1" type="noConversion"/>
  </si>
  <si>
    <t>33∠97°</t>
    <phoneticPr fontId="1" type="noConversion"/>
  </si>
  <si>
    <t>53.43∠38°</t>
  </si>
  <si>
    <t>76.23∠91°</t>
  </si>
  <si>
    <t>100.1∠154°</t>
  </si>
  <si>
    <t>89.41∠258°</t>
  </si>
  <si>
    <t>51.6∠37°</t>
  </si>
  <si>
    <t>74.66∠91°</t>
  </si>
  <si>
    <t>99.71∠153°</t>
  </si>
  <si>
    <t>88.49∠258°</t>
  </si>
  <si>
    <t>50.49∠38°</t>
  </si>
  <si>
    <t>72.69∠90°</t>
  </si>
  <si>
    <t>97.66∠153°</t>
  </si>
  <si>
    <t>86.26∠257°</t>
  </si>
  <si>
    <t>48.74∠39°</t>
  </si>
  <si>
    <t>71.47∠90°</t>
  </si>
  <si>
    <t>97.05∠151°</t>
  </si>
  <si>
    <t>85.35∠256°</t>
  </si>
  <si>
    <t>48.56∠40°</t>
  </si>
  <si>
    <t>70.67∠90°</t>
  </si>
  <si>
    <t>96.34∠152°</t>
  </si>
  <si>
    <t>84.32∠256°</t>
  </si>
  <si>
    <t>47.6∠40°</t>
  </si>
  <si>
    <t>68.94∠91°</t>
  </si>
  <si>
    <t>94.6∠152°</t>
  </si>
  <si>
    <t>82.98∠256°</t>
  </si>
  <si>
    <t>46.79∠39°</t>
  </si>
  <si>
    <t>67.43∠90°</t>
  </si>
  <si>
    <t>93.96∠150°</t>
  </si>
  <si>
    <t>81.75∠255°</t>
  </si>
  <si>
    <t>45.52∠41°</t>
  </si>
  <si>
    <t>67.24∠90°</t>
  </si>
  <si>
    <t>93.41∠151°</t>
  </si>
  <si>
    <t>82.29∠256°</t>
  </si>
  <si>
    <t>44.39∠40°</t>
  </si>
  <si>
    <t>66.02∠90°</t>
  </si>
  <si>
    <t>92.63∠150°</t>
  </si>
  <si>
    <t>80.59∠255°</t>
  </si>
  <si>
    <t>44.28∠41°</t>
  </si>
  <si>
    <t>64.07∠90°</t>
  </si>
  <si>
    <t>91.58∠150°</t>
  </si>
  <si>
    <t>79.81∠255°</t>
  </si>
  <si>
    <t>43.79∠42°</t>
  </si>
  <si>
    <t>64.18∠91°</t>
  </si>
  <si>
    <t>90.94∠151°</t>
  </si>
  <si>
    <t>78.57∠256°</t>
  </si>
  <si>
    <t>42.01∠42°</t>
  </si>
  <si>
    <t>62.98∠90°</t>
  </si>
  <si>
    <t>90.31∠149°</t>
  </si>
  <si>
    <t>77.25∠255°</t>
  </si>
  <si>
    <t>42.81∠42°</t>
  </si>
  <si>
    <t>61.06∠89°</t>
  </si>
  <si>
    <t>89.59∠149°</t>
  </si>
  <si>
    <t>76.6∠254°</t>
  </si>
  <si>
    <t>41.84∠43°</t>
  </si>
  <si>
    <t>60.1∠90°</t>
  </si>
  <si>
    <t>88.91∠149°</t>
  </si>
  <si>
    <t>76.1∠255°</t>
  </si>
  <si>
    <t>39.94∠42°</t>
  </si>
  <si>
    <t>60.17∠90°</t>
  </si>
  <si>
    <t>88.66∠148°</t>
  </si>
  <si>
    <t>75.57∠254°</t>
  </si>
  <si>
    <t>39.69∠44°</t>
  </si>
  <si>
    <t>57.96∠90°</t>
  </si>
  <si>
    <t>87.74∠149°</t>
  </si>
  <si>
    <t>73.66∠254°</t>
  </si>
  <si>
    <t>39.63∠45°</t>
  </si>
  <si>
    <t>58.23∠90°</t>
  </si>
  <si>
    <t>86.56∠149°</t>
  </si>
  <si>
    <t>73.48∠254°</t>
  </si>
  <si>
    <t>38.98∠46°</t>
  </si>
  <si>
    <t>57.83∠90°</t>
  </si>
  <si>
    <t>86.05∠148°</t>
  </si>
  <si>
    <t>73.71∠254°</t>
  </si>
  <si>
    <t>38.92∠45°</t>
  </si>
  <si>
    <t>56.65∠91°</t>
  </si>
  <si>
    <t>85.73∠148°</t>
  </si>
  <si>
    <t>72.52∠254°</t>
  </si>
  <si>
    <t>38.57∠47°</t>
  </si>
  <si>
    <t>55.09∠91°</t>
  </si>
  <si>
    <t>84.53∠149°</t>
  </si>
  <si>
    <t>71.02∠254°</t>
  </si>
  <si>
    <t>37.89∠46°</t>
  </si>
  <si>
    <t>55.77∠90°</t>
  </si>
  <si>
    <t>84.31∠147°</t>
  </si>
  <si>
    <t>71.12∠253°</t>
  </si>
  <si>
    <t>37.2∠47°</t>
  </si>
  <si>
    <t>53.62∠91°</t>
  </si>
  <si>
    <t>83.85∠148°</t>
  </si>
  <si>
    <t>69.74∠254°</t>
  </si>
  <si>
    <t>36.44∠48°</t>
  </si>
  <si>
    <t>53.23∠91°</t>
  </si>
  <si>
    <t>83.08∠147°</t>
  </si>
  <si>
    <t>69.19∠254°</t>
  </si>
  <si>
    <t>35.45∠45°</t>
  </si>
  <si>
    <t>53.62∠90°</t>
  </si>
  <si>
    <t>83.34∠146°</t>
  </si>
  <si>
    <t>69.4∠252°</t>
  </si>
  <si>
    <t>36.28∠48°</t>
  </si>
  <si>
    <t>51.36∠91°</t>
  </si>
  <si>
    <t>82.22∠147°</t>
  </si>
  <si>
    <t>68.16∠252°</t>
  </si>
  <si>
    <t>35.47∠48°</t>
  </si>
  <si>
    <t>51.91∠91°</t>
  </si>
  <si>
    <t>82.02∠147°</t>
  </si>
  <si>
    <t>67.69∠253°</t>
  </si>
  <si>
    <t>35∠48°</t>
  </si>
  <si>
    <t>50.52∠91°</t>
  </si>
  <si>
    <t>81.89∠147°</t>
  </si>
  <si>
    <t>67.11∠253°</t>
  </si>
  <si>
    <t>35.07∠49°</t>
  </si>
  <si>
    <t>51.27∠91°</t>
  </si>
  <si>
    <t>81.29∠147°</t>
  </si>
  <si>
    <t>67.9∠253°</t>
  </si>
  <si>
    <t>34.33∠49°</t>
  </si>
  <si>
    <t>50.13∠92°</t>
  </si>
  <si>
    <t>81.03∠147°</t>
  </si>
  <si>
    <t>66.33∠253°</t>
  </si>
  <si>
    <t>34.08∠50°</t>
  </si>
  <si>
    <t>50.02∠90°</t>
  </si>
  <si>
    <t>79.88∠146°</t>
  </si>
  <si>
    <t>66.14∠252°</t>
  </si>
  <si>
    <t>33.95∠51°</t>
  </si>
  <si>
    <t>49.43∠92°</t>
  </si>
  <si>
    <t>79.71∠147°</t>
  </si>
  <si>
    <t>66.29∠253°</t>
  </si>
  <si>
    <t>33.98∠52°</t>
  </si>
  <si>
    <t>48.79∠91°</t>
  </si>
  <si>
    <t>79.38∠146°</t>
  </si>
  <si>
    <t>65.61∠252°</t>
  </si>
  <si>
    <t>32.8∠49°</t>
  </si>
  <si>
    <t>47.8∠92°</t>
  </si>
  <si>
    <t>78.83∠146°</t>
  </si>
  <si>
    <t>64.36∠252°</t>
  </si>
  <si>
    <t>33.55∠52°</t>
  </si>
  <si>
    <t>47.52∠92°</t>
  </si>
  <si>
    <t>78.74∠146°</t>
  </si>
  <si>
    <t>64.42∠253°</t>
  </si>
  <si>
    <t>32.21∠51°</t>
  </si>
  <si>
    <t>47.44∠91°</t>
  </si>
  <si>
    <t>78.54∠146°</t>
  </si>
  <si>
    <t>63.17∠252°</t>
  </si>
  <si>
    <t>33.22∠53°</t>
  </si>
  <si>
    <t>46.75∠92°</t>
  </si>
  <si>
    <t>77.67∠146°</t>
  </si>
  <si>
    <t>62.66∠252°</t>
  </si>
  <si>
    <t>31.94∠52°</t>
  </si>
  <si>
    <t>46.21∠92°</t>
  </si>
  <si>
    <t>76.74∠146°</t>
  </si>
  <si>
    <t>62.7∠251°</t>
  </si>
  <si>
    <t>33.04∠52°</t>
  </si>
  <si>
    <t>45.54∠92°</t>
  </si>
  <si>
    <t>77.14∠146°</t>
  </si>
  <si>
    <t>62.85∠252°</t>
  </si>
  <si>
    <t>31.36∠54°</t>
  </si>
  <si>
    <t>45.87∠91°</t>
  </si>
  <si>
    <t>76.73∠145°</t>
  </si>
  <si>
    <t>61.66∠251°</t>
  </si>
  <si>
    <t>31.03∠52°</t>
  </si>
  <si>
    <t>45.03∠92°</t>
  </si>
  <si>
    <t>77∠145°</t>
  </si>
  <si>
    <t>61.8∠252°</t>
  </si>
  <si>
    <t>31.38∠55°</t>
  </si>
  <si>
    <t>45.05∠92°</t>
  </si>
  <si>
    <t>75.92∠145°</t>
  </si>
  <si>
    <t>61.22∠252°</t>
  </si>
  <si>
    <t>31.66∠53°</t>
  </si>
  <si>
    <t>44.25∠93°</t>
  </si>
  <si>
    <t>75.83∠145°</t>
  </si>
  <si>
    <t>61.2∠251°</t>
  </si>
  <si>
    <t>31.58∠54°</t>
  </si>
  <si>
    <t>43.49∠92°</t>
  </si>
  <si>
    <t>74.24∠144°</t>
  </si>
  <si>
    <t>60.27∠250°</t>
  </si>
  <si>
    <t>30.56∠53°</t>
  </si>
  <si>
    <t>43.84∠92°</t>
  </si>
  <si>
    <t>75.16∠145°</t>
  </si>
  <si>
    <t>60.89∠251°</t>
  </si>
  <si>
    <t>31.3∠57°</t>
  </si>
  <si>
    <t>43.62∠92°</t>
  </si>
  <si>
    <t>74.19∠144°</t>
  </si>
  <si>
    <t>60.31∠251°</t>
  </si>
  <si>
    <t>30.45∠55°</t>
  </si>
  <si>
    <t>42.61∠93°</t>
  </si>
  <si>
    <t>74.82∠145°</t>
  </si>
  <si>
    <t>59.48∠252°</t>
  </si>
  <si>
    <t>30.9∠55°</t>
  </si>
  <si>
    <t>42.9∠92°</t>
  </si>
  <si>
    <t>59.27∠250°</t>
  </si>
  <si>
    <t>30.21∠54°</t>
  </si>
  <si>
    <t>42.73∠93°</t>
  </si>
  <si>
    <t>59.17∠251°</t>
  </si>
  <si>
    <t>30.48∠58°</t>
  </si>
  <si>
    <t>42.32∠93°</t>
  </si>
  <si>
    <t>73.21∠144°</t>
  </si>
  <si>
    <t>59.3∠251°</t>
  </si>
  <si>
    <t>29.88∠56°</t>
  </si>
  <si>
    <t>42.24∠92°</t>
  </si>
  <si>
    <t>73.48∠143°</t>
  </si>
  <si>
    <t>59.13∠250°</t>
  </si>
  <si>
    <t>30.62∠57°</t>
  </si>
  <si>
    <t>42.44∠92°</t>
  </si>
  <si>
    <t>73.38∠144°</t>
  </si>
  <si>
    <t>59.16∠251°</t>
  </si>
  <si>
    <t>29.95∠56°</t>
  </si>
  <si>
    <t>41.4∠93°</t>
  </si>
  <si>
    <t>72.79∠144°</t>
  </si>
  <si>
    <t>58.28∠251°</t>
  </si>
  <si>
    <t>30.02∠59°</t>
  </si>
  <si>
    <t>41.66∠93°</t>
  </si>
  <si>
    <t>72.31∠144°</t>
  </si>
  <si>
    <t>58.34∠251°</t>
  </si>
  <si>
    <t>29.97∠55°</t>
  </si>
  <si>
    <t>41.09∠93°</t>
  </si>
  <si>
    <t>72.73∠143°</t>
  </si>
  <si>
    <t>57.78∠250°</t>
  </si>
  <si>
    <t>29.07∠58°</t>
  </si>
  <si>
    <t>41.11∠91°</t>
  </si>
  <si>
    <t>72.28∠143°</t>
  </si>
  <si>
    <t>57.62∠250°</t>
  </si>
  <si>
    <t>29.52∠57°</t>
  </si>
  <si>
    <t>40.84∠93°</t>
  </si>
  <si>
    <t>72.56∠143°</t>
  </si>
  <si>
    <t>57.94∠251°</t>
  </si>
  <si>
    <t>29.66∠57°</t>
  </si>
  <si>
    <t>40.53∠93°</t>
  </si>
  <si>
    <t>71.21∠143°</t>
  </si>
  <si>
    <t>57.68∠250°</t>
  </si>
  <si>
    <t>40.02∠93°</t>
  </si>
  <si>
    <t>71.78∠143°</t>
  </si>
  <si>
    <t>56.77∠251°</t>
  </si>
  <si>
    <t>28.85∠59°</t>
  </si>
  <si>
    <t>40.2∠93°</t>
  </si>
  <si>
    <t>71.09∠143°</t>
  </si>
  <si>
    <t>56.59∠250°</t>
  </si>
  <si>
    <t>29.31∠58°</t>
  </si>
  <si>
    <t>40.14∠94°</t>
  </si>
  <si>
    <t>71.32∠143°</t>
  </si>
  <si>
    <t>57.02∠251°</t>
  </si>
  <si>
    <t>28.95∠59°</t>
  </si>
  <si>
    <t>39.23∠93°</t>
  </si>
  <si>
    <t>70.58∠143°</t>
  </si>
  <si>
    <t>55.91∠250°</t>
  </si>
  <si>
    <t>29.09∠59°</t>
  </si>
  <si>
    <t>39.33∠94°</t>
  </si>
  <si>
    <t>71.29∠143°</t>
  </si>
  <si>
    <t>55.51∠251°</t>
  </si>
  <si>
    <t>29∠60°</t>
  </si>
  <si>
    <t>38.95∠93°</t>
  </si>
  <si>
    <t>70.44∠143°</t>
  </si>
  <si>
    <t>55.6∠250°</t>
  </si>
  <si>
    <t>29.58∠58°</t>
  </si>
  <si>
    <t>39.09∠94°</t>
  </si>
  <si>
    <t>70.54∠143°</t>
  </si>
  <si>
    <t>55.64∠250°</t>
  </si>
  <si>
    <t>28.26∠60°</t>
  </si>
  <si>
    <t>39.29∠93°</t>
  </si>
  <si>
    <t>69.9∠143°</t>
  </si>
  <si>
    <t>55.13∠250°</t>
  </si>
  <si>
    <t>28.84∠59°</t>
  </si>
  <si>
    <t>38.73∠95°</t>
  </si>
  <si>
    <t>69.99∠143°</t>
  </si>
  <si>
    <t>54.85∠250°</t>
  </si>
  <si>
    <t>28.39∠61°</t>
  </si>
  <si>
    <t>38.9∠95°</t>
  </si>
  <si>
    <t>69.31∠143°</t>
  </si>
  <si>
    <t>54.59∠250°</t>
  </si>
  <si>
    <t>29.34∠61°</t>
  </si>
  <si>
    <t>38.32∠94°</t>
  </si>
  <si>
    <t>70.01∠143°</t>
  </si>
  <si>
    <t>55.3∠250°</t>
  </si>
  <si>
    <t>28.97∠60°</t>
  </si>
  <si>
    <t>39.07∠93°</t>
  </si>
  <si>
    <t>69.25∠142°</t>
  </si>
  <si>
    <t>55.41∠250°</t>
  </si>
  <si>
    <t>29.21∠61°</t>
  </si>
  <si>
    <t>38.27∠95°</t>
  </si>
  <si>
    <t>69.49∠143°</t>
  </si>
  <si>
    <t>54.64∠251°</t>
  </si>
  <si>
    <t>28.53∠59°</t>
  </si>
  <si>
    <t>38.7∠94°</t>
  </si>
  <si>
    <t>55.2∠250°</t>
  </si>
  <si>
    <t>28.95∠61°</t>
  </si>
  <si>
    <t>37.74∠95°</t>
  </si>
  <si>
    <t>68.6∠144°</t>
  </si>
  <si>
    <t>54.07∠251°</t>
  </si>
  <si>
    <t>28.16∠60°</t>
  </si>
  <si>
    <t>38.06∠94°</t>
  </si>
  <si>
    <t>69.43∠142°</t>
  </si>
  <si>
    <t>54.25∠250°</t>
  </si>
  <si>
    <t>28.83∠61°</t>
  </si>
  <si>
    <t>38.03∠94°</t>
  </si>
  <si>
    <t>68.73∠142°</t>
  </si>
  <si>
    <t>54.65∠250°</t>
  </si>
  <si>
    <t>28.67∠60°</t>
  </si>
  <si>
    <t>37.56∠94°</t>
  </si>
  <si>
    <t>68.98∠142°</t>
  </si>
  <si>
    <t>54.38∠250°</t>
  </si>
  <si>
    <t>28.92∠62°</t>
  </si>
  <si>
    <t>38.25∠94°</t>
  </si>
  <si>
    <t>68.41∠142°</t>
  </si>
  <si>
    <t>54.15∠250°</t>
  </si>
  <si>
    <t>28.59∠61°</t>
  </si>
  <si>
    <t>37.67∠95°</t>
  </si>
  <si>
    <t>69∠143°</t>
  </si>
  <si>
    <t>54.02∠250°</t>
  </si>
  <si>
    <t>28.11∠61°</t>
  </si>
  <si>
    <t>37.59∠95°</t>
  </si>
  <si>
    <t>68∠142°</t>
  </si>
  <si>
    <t>54.19∠250°</t>
  </si>
  <si>
    <t>29.27∠62°</t>
  </si>
  <si>
    <t>37.23∠96°</t>
  </si>
  <si>
    <t>68.3∠143°</t>
  </si>
  <si>
    <t>53.91∠251°</t>
  </si>
  <si>
    <t>28.12∠62°</t>
  </si>
  <si>
    <t>36.88∠95°</t>
  </si>
  <si>
    <t>67.82∠143°</t>
  </si>
  <si>
    <t>53.04∠251°</t>
  </si>
  <si>
    <t>28.41∠63°</t>
  </si>
  <si>
    <t>37.08∠95°</t>
  </si>
  <si>
    <t>68.09∠143°</t>
  </si>
  <si>
    <t>53.14∠250°</t>
  </si>
  <si>
    <t>27.8∠60°</t>
  </si>
  <si>
    <t>37.03∠95°</t>
  </si>
  <si>
    <t>67.62∠142°</t>
  </si>
  <si>
    <t>53.1∠250°</t>
  </si>
  <si>
    <t>28.1∠63°</t>
  </si>
  <si>
    <t>36.39∠95°</t>
  </si>
  <si>
    <t>67.2∠143°</t>
  </si>
  <si>
    <t>52.91∠250°</t>
  </si>
  <si>
    <t>28.89∠60°</t>
  </si>
  <si>
    <t>36.49∠95°</t>
  </si>
  <si>
    <t>67.51∠141°</t>
  </si>
  <si>
    <t>53.05∠249°</t>
  </si>
  <si>
    <t>29.02∠64°</t>
  </si>
  <si>
    <t>36.88∠96°</t>
  </si>
  <si>
    <t>66.93∠143°</t>
  </si>
  <si>
    <t>53.13∠251°</t>
  </si>
  <si>
    <t>28.21∠62°</t>
  </si>
  <si>
    <t>35.96∠96°</t>
  </si>
  <si>
    <t>67.63∠142°</t>
  </si>
  <si>
    <t>52.36∠250°</t>
  </si>
  <si>
    <t>27.43∠63°</t>
  </si>
  <si>
    <t>36.53∠96°</t>
  </si>
  <si>
    <t>66.77∠143°</t>
  </si>
  <si>
    <t>52.27∠251°</t>
  </si>
  <si>
    <t>28.13∠63°</t>
  </si>
  <si>
    <t>35.75∠95°</t>
  </si>
  <si>
    <t>66.8∠142°</t>
  </si>
  <si>
    <t>51.87∠249°</t>
  </si>
  <si>
    <t>27.27∠63°</t>
  </si>
  <si>
    <t>36.56∠96°</t>
  </si>
  <si>
    <t>66.58∠142°</t>
  </si>
  <si>
    <t>51.93∠250°</t>
  </si>
  <si>
    <t>28.33∠64°</t>
  </si>
  <si>
    <t>35.15∠96°</t>
  </si>
  <si>
    <t>65.87∠142°</t>
  </si>
  <si>
    <t>51.48∠249°</t>
  </si>
  <si>
    <t>27.28∠60°</t>
  </si>
  <si>
    <t>35.63∠95°</t>
  </si>
  <si>
    <t>66.47∠141°</t>
  </si>
  <si>
    <t>51.42∠249°</t>
  </si>
  <si>
    <t>28.43∠64°</t>
  </si>
  <si>
    <t>35.2∠96°</t>
  </si>
  <si>
    <t>65.93∠142°</t>
  </si>
  <si>
    <t>51.73∠250°</t>
  </si>
  <si>
    <t>27.43∠62°</t>
  </si>
  <si>
    <t>35.34∠95°</t>
  </si>
  <si>
    <t>66.46∠141°</t>
  </si>
  <si>
    <t>52.03∠249°</t>
  </si>
  <si>
    <t>27.55∠65°</t>
  </si>
  <si>
    <t>36.27∠96°</t>
  </si>
  <si>
    <t>65.94∠142°</t>
  </si>
  <si>
    <t>51.51∠250°</t>
  </si>
  <si>
    <t>28.03∠64°</t>
  </si>
  <si>
    <t>35.19∠97°</t>
  </si>
  <si>
    <t>65.67∠142°</t>
  </si>
  <si>
    <t>51.33∠250°</t>
  </si>
  <si>
    <t>27.13∠62°</t>
  </si>
  <si>
    <t>35.41∠95°</t>
  </si>
  <si>
    <t>65.64∠141°</t>
  </si>
  <si>
    <t>51.57∠249°</t>
  </si>
  <si>
    <t>28.8∠64°</t>
  </si>
  <si>
    <t>34.86∠96°</t>
  </si>
  <si>
    <t>65.46∠141°</t>
  </si>
  <si>
    <t>51.09∠249°</t>
  </si>
  <si>
    <t>26.6∠63°</t>
  </si>
  <si>
    <t>35.11∠96°</t>
  </si>
  <si>
    <t>64.82∠141°</t>
  </si>
  <si>
    <t>50.64∠250°</t>
  </si>
  <si>
    <t>27.58∠63°</t>
  </si>
  <si>
    <t>35.06∠95°</t>
  </si>
  <si>
    <t>65.5∠141°</t>
  </si>
  <si>
    <t>51.1∠249°</t>
  </si>
  <si>
    <t>27.51∠63°</t>
  </si>
  <si>
    <t>34.65∠97°</t>
  </si>
  <si>
    <t>65.14∠142°</t>
  </si>
  <si>
    <t>50.18∠250°</t>
  </si>
  <si>
    <t>27.87∠66°</t>
  </si>
  <si>
    <t>35.72∠96°</t>
  </si>
  <si>
    <t>65.22∠142°</t>
  </si>
  <si>
    <t>50.79∠250°</t>
  </si>
  <si>
    <t>27.64∠63°</t>
  </si>
  <si>
    <t>34.78∠96°</t>
  </si>
  <si>
    <t>65.32∠141°</t>
  </si>
  <si>
    <t>50.84∠250°</t>
  </si>
  <si>
    <t>27.04∠64°</t>
  </si>
  <si>
    <t>35.27∠96°</t>
  </si>
  <si>
    <t>64.97∠141°</t>
  </si>
  <si>
    <t>50.33∠250°</t>
  </si>
  <si>
    <t>28.07∠65°</t>
  </si>
  <si>
    <t>34.77∠96°</t>
  </si>
  <si>
    <t>64.74∠141°</t>
  </si>
  <si>
    <t>50.35∠249°</t>
  </si>
  <si>
    <t>27.17∠63°</t>
  </si>
  <si>
    <t>34.89∠96°</t>
  </si>
  <si>
    <t>65.02∠141°</t>
  </si>
  <si>
    <t>49.88∠250°</t>
  </si>
  <si>
    <t>27.77∠66°</t>
  </si>
  <si>
    <t>35.11∠97°</t>
  </si>
  <si>
    <t>64.76∠142°</t>
  </si>
  <si>
    <t>50.69∠251°</t>
  </si>
  <si>
    <t>27.39∠63°</t>
  </si>
  <si>
    <t>34.1∠96°</t>
  </si>
  <si>
    <t>64.61∠141°</t>
  </si>
  <si>
    <t>50.12∠249°</t>
  </si>
  <si>
    <t>27∠66°</t>
  </si>
  <si>
    <t>35∠96°</t>
  </si>
  <si>
    <t>64.72∠141°</t>
  </si>
  <si>
    <t>49.93∠249°</t>
  </si>
  <si>
    <t>28.2∠65°</t>
  </si>
  <si>
    <t>34.04∠96°</t>
  </si>
  <si>
    <t>64.59∠141°</t>
  </si>
  <si>
    <t>49.78∠249°</t>
  </si>
  <si>
    <t>26.76∠64°</t>
  </si>
  <si>
    <t>34.06∠96°</t>
  </si>
  <si>
    <t>64.04∠141°</t>
  </si>
  <si>
    <t>49.82∠249°</t>
  </si>
  <si>
    <t>27.95∠65°</t>
  </si>
  <si>
    <t>33.79∠97°</t>
  </si>
  <si>
    <t>64.33∠141°</t>
  </si>
  <si>
    <t>50.55∠249°</t>
  </si>
  <si>
    <t>26.47∠65°</t>
  </si>
  <si>
    <t>34.56∠97°</t>
  </si>
  <si>
    <t>49.85∠250°</t>
  </si>
  <si>
    <t>26.73∠65°</t>
  </si>
  <si>
    <t>34.12∠96°</t>
  </si>
  <si>
    <t>63.25∠141°</t>
  </si>
  <si>
    <t>49.32∠249°</t>
  </si>
  <si>
    <t>27.06∠64°</t>
  </si>
  <si>
    <t>34.4∠97°</t>
  </si>
  <si>
    <t>63.77∠141°</t>
  </si>
  <si>
    <t>50.14∠249°</t>
  </si>
  <si>
    <t>27.22∠66°</t>
  </si>
  <si>
    <t>34.14∠96°</t>
  </si>
  <si>
    <t>63.7∠141°</t>
  </si>
  <si>
    <t>49.45∠249°</t>
  </si>
  <si>
    <t>27.84∠66°</t>
  </si>
  <si>
    <t>33.55∠98°</t>
  </si>
  <si>
    <t>63.98∠140°</t>
  </si>
  <si>
    <t>27.43∠66°</t>
  </si>
  <si>
    <t>34.6∠97°</t>
  </si>
  <si>
    <t>63.76∠141°</t>
  </si>
  <si>
    <t>28.34∠66°</t>
  </si>
  <si>
    <t>33.72∠97°</t>
  </si>
  <si>
    <t>64.11∠141°</t>
  </si>
  <si>
    <t>26.45∠66°</t>
  </si>
  <si>
    <t>33.51∠96°</t>
  </si>
  <si>
    <t>64.07∠140°</t>
  </si>
  <si>
    <t>49.26∠249°</t>
  </si>
  <si>
    <t>26.93∠66°</t>
  </si>
  <si>
    <t>34.25∠96°</t>
  </si>
  <si>
    <t>63.03∠141°</t>
  </si>
  <si>
    <t>27.27∠64°</t>
  </si>
  <si>
    <t>33.76∠97°</t>
  </si>
  <si>
    <t>63.63∠140°</t>
  </si>
  <si>
    <t>49.77∠249°</t>
  </si>
  <si>
    <t>27.43∠67°</t>
  </si>
  <si>
    <t>33.54∠97°</t>
  </si>
  <si>
    <t>63.19∠141°</t>
  </si>
  <si>
    <t>48.94∠250°</t>
  </si>
  <si>
    <t>27.62∠66°</t>
  </si>
  <si>
    <t>33.65∠96°</t>
  </si>
  <si>
    <t>63.95∠141°</t>
  </si>
  <si>
    <t>49.15∠249°</t>
  </si>
  <si>
    <t>26.76∠66°</t>
  </si>
  <si>
    <t>33.67∠97°</t>
  </si>
  <si>
    <t>63.42∠140°</t>
  </si>
  <si>
    <t>49.21∠249°</t>
  </si>
  <si>
    <t>27.18∠65°</t>
  </si>
  <si>
    <t>33.01∠97°</t>
  </si>
  <si>
    <t>62.38∠141°</t>
  </si>
  <si>
    <t>48.97∠249°</t>
  </si>
  <si>
    <t>27∠64°</t>
  </si>
  <si>
    <t>33.32∠97°</t>
  </si>
  <si>
    <t>63.5∠140°</t>
  </si>
  <si>
    <t>49.05∠249°</t>
  </si>
  <si>
    <t>27.52∠66°</t>
  </si>
  <si>
    <t>33.18∠97°</t>
  </si>
  <si>
    <t>62.59∠141°</t>
  </si>
  <si>
    <t>49.04∠249°</t>
  </si>
  <si>
    <t>27.91∠65°</t>
  </si>
  <si>
    <t>33.24∠98°</t>
  </si>
  <si>
    <t>63.05∠141°</t>
  </si>
  <si>
    <t>48.33∠250°</t>
  </si>
  <si>
    <t>26.3∠66°</t>
  </si>
  <si>
    <t>63∠141°</t>
  </si>
  <si>
    <t>47.67∠249°</t>
  </si>
  <si>
    <t>33.34∠97°</t>
  </si>
  <si>
    <t>63.37∠141°</t>
  </si>
  <si>
    <t>48.76∠249°</t>
  </si>
  <si>
    <t>26.4∠65°</t>
  </si>
  <si>
    <t>33.26∠98°</t>
  </si>
  <si>
    <t>62.5∠141°</t>
  </si>
  <si>
    <t>47.95∠249°</t>
  </si>
  <si>
    <t>27.39∠67°</t>
  </si>
  <si>
    <t>32.37∠98°</t>
  </si>
  <si>
    <t>62.19∠141°</t>
  </si>
  <si>
    <t>48.05∠249°</t>
  </si>
  <si>
    <t>27.32∠66°</t>
  </si>
  <si>
    <t>33.07∠98°</t>
  </si>
  <si>
    <t>63.36∠141°</t>
  </si>
  <si>
    <t>48.4∠250°</t>
  </si>
  <si>
    <t>27.26∠66°</t>
  </si>
  <si>
    <t>33.12∠96°</t>
  </si>
  <si>
    <t>62.51∠140°</t>
  </si>
  <si>
    <t>48.49∠248°</t>
  </si>
  <si>
    <t>26.68∠67°</t>
  </si>
  <si>
    <t>32.82∠98°</t>
  </si>
  <si>
    <t>48.18∠249°</t>
  </si>
  <si>
    <t>26.7∠66°</t>
  </si>
  <si>
    <t>33.7∠96°</t>
  </si>
  <si>
    <t>63.2∠140°</t>
  </si>
  <si>
    <t>48.68∠249°</t>
  </si>
  <si>
    <t>26.96∠66°</t>
  </si>
  <si>
    <t>32.93∠97°</t>
  </si>
  <si>
    <t>63.14∠140°</t>
  </si>
  <si>
    <t>48.44∠248°</t>
  </si>
  <si>
    <t>26.85∠66°</t>
  </si>
  <si>
    <t>32.85∠98°</t>
  </si>
  <si>
    <t>62.75∠141°</t>
  </si>
  <si>
    <t>47.57∠250°</t>
  </si>
  <si>
    <t>27.41∠67°</t>
  </si>
  <si>
    <t>33.13∠97°</t>
  </si>
  <si>
    <t>62.66∠140°</t>
  </si>
  <si>
    <t>47.9∠249°</t>
  </si>
  <si>
    <t>26.88∠66°</t>
  </si>
  <si>
    <t>32.95∠98°</t>
  </si>
  <si>
    <t>62.99∠140°</t>
  </si>
  <si>
    <t>48.1∠249°</t>
  </si>
  <si>
    <t>26.63∠69°</t>
  </si>
  <si>
    <t>33.82∠97°</t>
  </si>
  <si>
    <t>62.87∠140°</t>
  </si>
  <si>
    <t>47.96∠250°</t>
  </si>
  <si>
    <t>27.44∠67°</t>
  </si>
  <si>
    <t>32.76∠97°</t>
  </si>
  <si>
    <t>62.63∠141°</t>
  </si>
  <si>
    <t>48.12∠249°</t>
  </si>
  <si>
    <t>26.15∠67°</t>
  </si>
  <si>
    <t>33.18∠98°</t>
  </si>
  <si>
    <t>62.14∠140°</t>
  </si>
  <si>
    <t>26.99∠66°</t>
  </si>
  <si>
    <t>32.87∠98°</t>
  </si>
  <si>
    <t>62.26∠141°</t>
  </si>
  <si>
    <t>26.85∠67°</t>
  </si>
  <si>
    <t>32.62∠99°</t>
  </si>
  <si>
    <t>62.13∠141°</t>
  </si>
  <si>
    <t>48.26∠250°</t>
  </si>
  <si>
    <t>27.16∠67°</t>
  </si>
  <si>
    <t>32.54∠97°</t>
  </si>
  <si>
    <t>62.57∠140°</t>
  </si>
  <si>
    <t>47.25∠249°</t>
  </si>
  <si>
    <t>26.36∠67°</t>
  </si>
  <si>
    <t>32.7∠97°</t>
  </si>
  <si>
    <t>62.85∠140°</t>
  </si>
  <si>
    <t>48.17∠249°</t>
  </si>
  <si>
    <t>26.19∠68°</t>
  </si>
  <si>
    <t>32.9∠98°</t>
  </si>
  <si>
    <t>62.12∠140°</t>
  </si>
  <si>
    <t>47.71∠249°</t>
  </si>
  <si>
    <t>27.36∠68°</t>
  </si>
  <si>
    <t>32.28∠98°</t>
  </si>
  <si>
    <t>61.89∠140°</t>
  </si>
  <si>
    <t>46.64∠249°</t>
  </si>
  <si>
    <t>26.23∠67°</t>
  </si>
  <si>
    <t>32.44∠98°</t>
  </si>
  <si>
    <t>61.58∠140°</t>
  </si>
  <si>
    <t>47.84∠249°</t>
  </si>
  <si>
    <t>27.51∠66°</t>
  </si>
  <si>
    <t>32.23∠97°</t>
  </si>
  <si>
    <t>62.01∠140°</t>
  </si>
  <si>
    <t>47.66∠249°</t>
  </si>
  <si>
    <t>27.28∠67°</t>
  </si>
  <si>
    <t>32.64∠98°</t>
  </si>
  <si>
    <t>62.39∠140°</t>
  </si>
  <si>
    <t>47.89∠249°</t>
  </si>
  <si>
    <t>27.05∠67°</t>
  </si>
  <si>
    <t>31.96∠97°</t>
  </si>
  <si>
    <t>61.55∠140°</t>
  </si>
  <si>
    <t>47.45∠248°</t>
  </si>
  <si>
    <t>26.39∠65°</t>
  </si>
  <si>
    <t>32.07∠97°</t>
  </si>
  <si>
    <t>61.3∠140°</t>
  </si>
  <si>
    <t>47.22∠248°</t>
  </si>
  <si>
    <t>25.83∠66°</t>
  </si>
  <si>
    <t>33.08∠98°</t>
  </si>
  <si>
    <t>47.28∠249°</t>
  </si>
  <si>
    <t>27.76∠66°</t>
  </si>
  <si>
    <t>61.76∠140°</t>
  </si>
  <si>
    <t>26.39∠67°</t>
  </si>
  <si>
    <t>32.45∠98°</t>
  </si>
  <si>
    <t>61.95∠140°</t>
  </si>
  <si>
    <t>47.52∠249°</t>
  </si>
  <si>
    <t>26.72∠68°</t>
  </si>
  <si>
    <t>32.24∠98°</t>
  </si>
  <si>
    <t>61.4∠141°</t>
  </si>
  <si>
    <t>47.32∠250°</t>
  </si>
  <si>
    <t>26.45∠67°</t>
  </si>
  <si>
    <t>32.57∠99°</t>
  </si>
  <si>
    <t>62.08∠141°</t>
  </si>
  <si>
    <t>47.19∠250°</t>
  </si>
  <si>
    <t>26.12∠68°</t>
  </si>
  <si>
    <t>32.38∠97°</t>
  </si>
  <si>
    <t>60.92∠140°</t>
  </si>
  <si>
    <t>47.08∠249°</t>
  </si>
  <si>
    <t>26.83∠67°</t>
  </si>
  <si>
    <t>32.04∠99°</t>
  </si>
  <si>
    <t>61.34∠141°</t>
  </si>
  <si>
    <t>46.81∠249°</t>
  </si>
  <si>
    <t>26.71∠68°</t>
  </si>
  <si>
    <t>32.39∠98°</t>
  </si>
  <si>
    <t>61.4∠140°</t>
  </si>
  <si>
    <t>47.72∠249°</t>
  </si>
  <si>
    <t>27.66∠67°</t>
  </si>
  <si>
    <t>32.25∠98°</t>
  </si>
  <si>
    <t>61.68∠140°</t>
  </si>
  <si>
    <t>47.3∠249°</t>
  </si>
  <si>
    <t>26.78∠67°</t>
  </si>
  <si>
    <t>61.74∠140°</t>
  </si>
  <si>
    <t>47.84∠250°</t>
  </si>
  <si>
    <t>26.25∠69°</t>
  </si>
  <si>
    <t>32.48∠97°</t>
  </si>
  <si>
    <t>61.48∠140°</t>
  </si>
  <si>
    <t>46.66∠249°</t>
  </si>
  <si>
    <t>26.53∠66°</t>
  </si>
  <si>
    <t>32.29∠99°</t>
  </si>
  <si>
    <t>61.22∠140°</t>
  </si>
  <si>
    <t>46.97∠249°</t>
  </si>
  <si>
    <t>26.65∠68°</t>
  </si>
  <si>
    <t>32.35∠98°</t>
  </si>
  <si>
    <t>61.11∠140°</t>
  </si>
  <si>
    <t>47∠249°</t>
  </si>
  <si>
    <t>32.04∠100°</t>
  </si>
  <si>
    <t>61.46∠141°</t>
  </si>
  <si>
    <t>46.99∠250°</t>
  </si>
  <si>
    <t>27.25∠68°</t>
  </si>
  <si>
    <t>32.15∠99°</t>
  </si>
  <si>
    <t>47.04∠249°</t>
  </si>
  <si>
    <t>27.53∠68°</t>
  </si>
  <si>
    <t>32.17∠98°</t>
  </si>
  <si>
    <t>61.43∠140°</t>
  </si>
  <si>
    <t>47.57∠249°</t>
  </si>
  <si>
    <t>26.63∠67°</t>
  </si>
  <si>
    <t>61.77∠139°</t>
  </si>
  <si>
    <t>27.12∠68°</t>
  </si>
  <si>
    <t>32.07∠98°</t>
  </si>
  <si>
    <t>60.97∠140°</t>
  </si>
  <si>
    <t>31.89∠98°</t>
  </si>
  <si>
    <t>61.33∠140°</t>
  </si>
  <si>
    <t>46.84∠248°</t>
  </si>
  <si>
    <t>26.17∠68°</t>
  </si>
  <si>
    <t>32.43∠98°</t>
  </si>
  <si>
    <t>61.31∠140°</t>
  </si>
  <si>
    <t>47.36∠249°</t>
  </si>
  <si>
    <t>26.91∠67°</t>
  </si>
  <si>
    <t>31.64∠98°</t>
  </si>
  <si>
    <t>61.43∠139°</t>
  </si>
  <si>
    <t>47.31∠249°</t>
  </si>
  <si>
    <t>26.62∠68°</t>
  </si>
  <si>
    <t>32.66∠98°</t>
  </si>
  <si>
    <t>61.32∠140°</t>
  </si>
  <si>
    <t>47.27∠249°</t>
  </si>
  <si>
    <t>27.19∠68°</t>
  </si>
  <si>
    <t>31.84∠99°</t>
  </si>
  <si>
    <t>46.74∠249°</t>
  </si>
  <si>
    <t>26.68∠66°</t>
  </si>
  <si>
    <t>32.17∠99°</t>
  </si>
  <si>
    <t>61.39∠140°</t>
  </si>
  <si>
    <t>32∠98°</t>
  </si>
  <si>
    <t>60.89∠140°</t>
  </si>
  <si>
    <t>46.47∠248°</t>
  </si>
  <si>
    <t>25.87∠67°</t>
  </si>
  <si>
    <t>31.91∠98°</t>
  </si>
  <si>
    <t>61.51∠139°</t>
  </si>
  <si>
    <t>47.11∠248°</t>
  </si>
  <si>
    <t>27.03∠70°</t>
  </si>
  <si>
    <t>32.2∠99°</t>
  </si>
  <si>
    <t>60.95∠140°</t>
  </si>
  <si>
    <t>47.36∠250°</t>
  </si>
  <si>
    <t>27∠68°</t>
  </si>
  <si>
    <t>32.15∠98°</t>
  </si>
  <si>
    <t>61.46∠140°</t>
  </si>
  <si>
    <t>47.17∠250°</t>
  </si>
  <si>
    <t>26.38∠69°</t>
  </si>
  <si>
    <t>32.62∠98°</t>
  </si>
  <si>
    <t>60.99∠141°</t>
  </si>
  <si>
    <t>46.75∠249°</t>
  </si>
  <si>
    <t>27.74∠68°</t>
  </si>
  <si>
    <t>32.12∠99°</t>
  </si>
  <si>
    <t>61.1∠140°</t>
  </si>
  <si>
    <t>46.94∠249°</t>
  </si>
  <si>
    <t>26.43∠68°</t>
  </si>
  <si>
    <t>32.07∠99°</t>
  </si>
  <si>
    <t>60.62∠140°</t>
  </si>
  <si>
    <t>46.3∠249°</t>
  </si>
  <si>
    <t>27.41∠69°</t>
  </si>
  <si>
    <t>31.52∠99°</t>
  </si>
  <si>
    <t>60.78∠140°</t>
  </si>
  <si>
    <t>46.19∠249°</t>
  </si>
  <si>
    <t>26.96∠67°</t>
  </si>
  <si>
    <t>31.84∠98°</t>
  </si>
  <si>
    <t>61.4∠139°</t>
  </si>
  <si>
    <t>46.85∠248°</t>
  </si>
  <si>
    <t>26.89∠69°</t>
  </si>
  <si>
    <t>31.67∠98°</t>
  </si>
  <si>
    <t>60.8∠140°</t>
  </si>
  <si>
    <t>46.59∠249°</t>
  </si>
  <si>
    <t>32.02∠99°</t>
  </si>
  <si>
    <t>61.16∠140°</t>
  </si>
  <si>
    <t>47.02∠249°</t>
  </si>
  <si>
    <t>26.01∠69°</t>
  </si>
  <si>
    <t>60.86∠140°</t>
  </si>
  <si>
    <t>26.57∠67°</t>
  </si>
  <si>
    <t>31.68∠98°</t>
  </si>
  <si>
    <t>61.1∠139°</t>
  </si>
  <si>
    <t>47.2∠248°</t>
  </si>
  <si>
    <t>26.68∠68°</t>
  </si>
  <si>
    <t>32.53∠99°</t>
  </si>
  <si>
    <t>60.82∠140°</t>
  </si>
  <si>
    <t>46.69∠249°</t>
  </si>
  <si>
    <t>27.02∠69°</t>
  </si>
  <si>
    <t>31.58∠98°</t>
  </si>
  <si>
    <t>60.87∠140°</t>
  </si>
  <si>
    <t>46.79∠249°</t>
  </si>
  <si>
    <t>26.81∠67°</t>
  </si>
  <si>
    <t>32.46∠99°</t>
  </si>
  <si>
    <t>61.52∠139°</t>
  </si>
  <si>
    <t>46.88∠249°</t>
  </si>
  <si>
    <t>27.08∠69°</t>
  </si>
  <si>
    <t>32.12∠98°</t>
  </si>
  <si>
    <t>61.02∠140°</t>
  </si>
  <si>
    <t>46.57∠249°</t>
  </si>
  <si>
    <t>26.28∠68°</t>
  </si>
  <si>
    <t>31.8∠98°</t>
  </si>
  <si>
    <t>27.09∠68°</t>
  </si>
  <si>
    <t>32.31∠99°</t>
  </si>
  <si>
    <t>60.88∠140°</t>
  </si>
  <si>
    <t>47.05∠249°</t>
  </si>
  <si>
    <t>26.67∠67°</t>
  </si>
  <si>
    <t>31.3∠99°</t>
  </si>
  <si>
    <t>60.82∠139°</t>
  </si>
  <si>
    <t>46.5∠249°</t>
  </si>
  <si>
    <t>26.2∠68°</t>
  </si>
  <si>
    <t>46.87∠249°</t>
  </si>
  <si>
    <t>27.37∠69°</t>
  </si>
  <si>
    <t>31.39∠98°</t>
  </si>
  <si>
    <t>60.66∠140°</t>
  </si>
  <si>
    <t>46.61∠249°</t>
  </si>
  <si>
    <t>25.83∠68°</t>
  </si>
  <si>
    <t>32.09∠99°</t>
  </si>
  <si>
    <t>60.96∠141°</t>
  </si>
  <si>
    <t>46.7∠250°</t>
  </si>
  <si>
    <t>27.22∠70°</t>
  </si>
  <si>
    <t>32.11∠100°</t>
  </si>
  <si>
    <t>60.8∠141°</t>
  </si>
  <si>
    <t>46.93∠250°</t>
  </si>
  <si>
    <t>27.03∠68°</t>
  </si>
  <si>
    <t>31.95∠100°</t>
  </si>
  <si>
    <t>60.72∠141°</t>
  </si>
  <si>
    <t>46.8∠250°</t>
  </si>
  <si>
    <t>27.26∠68°</t>
  </si>
  <si>
    <t>31.64∠99°</t>
  </si>
  <si>
    <t>60.08∠141°</t>
  </si>
  <si>
    <t>46.62∠249°</t>
  </si>
  <si>
    <t>26.79∠68°</t>
  </si>
  <si>
    <t>31.45∠99°</t>
  </si>
  <si>
    <t>46.53∠249°</t>
  </si>
  <si>
    <t>26.49∠69°</t>
  </si>
  <si>
    <t>32.26∠99°</t>
  </si>
  <si>
    <t>61.47∠140°</t>
  </si>
  <si>
    <t>47.26∠250°</t>
  </si>
  <si>
    <t>26.69∠71°</t>
  </si>
  <si>
    <t>31.51∠98°</t>
  </si>
  <si>
    <t>60.76∠140°</t>
  </si>
  <si>
    <t>46.71∠249°</t>
  </si>
  <si>
    <t>25.98∠68°</t>
  </si>
  <si>
    <t>32.22∠99°</t>
  </si>
  <si>
    <t>60.7∠140°</t>
  </si>
  <si>
    <t>47.01∠249°</t>
  </si>
  <si>
    <t>27.48∠69°</t>
  </si>
  <si>
    <t>31.86∠99°</t>
  </si>
  <si>
    <t>60.73∠140°</t>
  </si>
  <si>
    <t>46.54∠250°</t>
  </si>
  <si>
    <t>27.24∠68°</t>
  </si>
  <si>
    <t>31.4∠99°</t>
  </si>
  <si>
    <t>61.2∠139°</t>
  </si>
  <si>
    <t>27∠70°</t>
  </si>
  <si>
    <t>31.95∠99°</t>
  </si>
  <si>
    <t>60.3∠140°</t>
  </si>
  <si>
    <t>46.05∠249°</t>
  </si>
  <si>
    <t>26.58∠68°</t>
  </si>
  <si>
    <t>31.55∠98°</t>
  </si>
  <si>
    <t>61.03∠139°</t>
  </si>
  <si>
    <t>46.37∠249°</t>
  </si>
  <si>
    <t>26.06∠69°</t>
  </si>
  <si>
    <t>32.49∠99°</t>
  </si>
  <si>
    <t>26.95∠68°</t>
  </si>
  <si>
    <t>31.62∠99°</t>
  </si>
  <si>
    <t>60.83∠140°</t>
  </si>
  <si>
    <t>26.78∠68°</t>
  </si>
  <si>
    <t>31.55∠99°</t>
  </si>
  <si>
    <t>59.8∠140°</t>
  </si>
  <si>
    <t>46.78∠249°</t>
  </si>
  <si>
    <t>27.08∠68°</t>
  </si>
  <si>
    <t>32.05∠98°</t>
  </si>
  <si>
    <t>60.44∠140°</t>
  </si>
  <si>
    <t>46.6∠249°</t>
  </si>
  <si>
    <t>60.5∠140°</t>
  </si>
  <si>
    <t>46.61∠250°</t>
  </si>
  <si>
    <t>26.7∠70°</t>
  </si>
  <si>
    <t>60.12∠140°</t>
  </si>
  <si>
    <t>46.16∠249°</t>
  </si>
  <si>
    <t>26.53∠68°</t>
  </si>
  <si>
    <t>31.62∠100°</t>
  </si>
  <si>
    <t>60.2∠141°</t>
  </si>
  <si>
    <t>46∠250°</t>
  </si>
  <si>
    <t>26.43∠70°</t>
  </si>
  <si>
    <t>31.79∠100°</t>
  </si>
  <si>
    <t>60.01∠141°</t>
  </si>
  <si>
    <t>45.97∠250°</t>
  </si>
  <si>
    <t>26.56∠68°</t>
  </si>
  <si>
    <t>30.82∠99°</t>
  </si>
  <si>
    <t>60.16∠140°</t>
  </si>
  <si>
    <t>46.4∠249°</t>
  </si>
  <si>
    <t>26.42∠69°</t>
  </si>
  <si>
    <t>31.87∠98°</t>
  </si>
  <si>
    <t>60.47∠139°</t>
  </si>
  <si>
    <t>46.17∠249°</t>
  </si>
  <si>
    <t>26.5∠71°</t>
  </si>
  <si>
    <t>31.24∠99°</t>
  </si>
  <si>
    <t>60.22∠140°</t>
  </si>
  <si>
    <t>25.29∠68°</t>
  </si>
  <si>
    <t>31.49∠98°</t>
  </si>
  <si>
    <t>60.39∠140°</t>
  </si>
  <si>
    <t>45.86∠249°</t>
  </si>
  <si>
    <t>27.31∠68°</t>
  </si>
  <si>
    <t>31.75∠98°</t>
  </si>
  <si>
    <t>60.17∠140°</t>
  </si>
  <si>
    <t>46.51∠249°</t>
  </si>
  <si>
    <t>26.72∠67°</t>
  </si>
  <si>
    <t>61.16∠139°</t>
  </si>
  <si>
    <t>46.57∠248°</t>
  </si>
  <si>
    <t>26.78∠70°</t>
  </si>
  <si>
    <t>31.82∠99°</t>
  </si>
  <si>
    <t>45.77∠249°</t>
  </si>
  <si>
    <t>27.03∠69°</t>
  </si>
  <si>
    <t>31.11∠100°</t>
  </si>
  <si>
    <t>46.36∠249°</t>
  </si>
  <si>
    <t>26.3∠70°</t>
  </si>
  <si>
    <t>31.52∠98°</t>
  </si>
  <si>
    <t>60.43∠139°</t>
  </si>
  <si>
    <t>27.13∠68°</t>
  </si>
  <si>
    <t>31.25∠99°</t>
  </si>
  <si>
    <t>60.6∠139°</t>
  </si>
  <si>
    <t>46∠249°</t>
  </si>
  <si>
    <t>25.8∠69°</t>
  </si>
  <si>
    <t>31.6∠99°</t>
  </si>
  <si>
    <t>60.33∠140°</t>
  </si>
  <si>
    <t>45.96∠249°</t>
  </si>
  <si>
    <t>26.5∠69°</t>
  </si>
  <si>
    <t>31.37∠98°</t>
  </si>
  <si>
    <t>60.04∠140°</t>
  </si>
  <si>
    <t>45.59∠248°</t>
  </si>
  <si>
    <t>26.01∠68°</t>
  </si>
  <si>
    <t>31.91∠99°</t>
  </si>
  <si>
    <t>60.49∠139°</t>
  </si>
  <si>
    <t>46.31∠248°</t>
  </si>
  <si>
    <t>26.75∠85°</t>
  </si>
  <si>
    <t>29.61∠116°</t>
  </si>
  <si>
    <t>56.65∠155°</t>
  </si>
  <si>
    <t>44.71∠265°</t>
  </si>
  <si>
    <t>26.28∠93°</t>
  </si>
  <si>
    <t>27.96∠121°</t>
  </si>
  <si>
    <t>51.56∠158°</t>
  </si>
  <si>
    <t>42.04∠269°</t>
  </si>
  <si>
    <t>23.26∠93°</t>
  </si>
  <si>
    <t>26.25∠119°</t>
  </si>
  <si>
    <t>48.36∠154°</t>
  </si>
  <si>
    <t>39.78∠266°</t>
  </si>
  <si>
    <t>20.93∠95°</t>
  </si>
  <si>
    <t>24.37∠120°</t>
  </si>
  <si>
    <t>45∠153°</t>
  </si>
  <si>
    <t>37.6∠268°</t>
  </si>
  <si>
    <t>20.08∠91°</t>
  </si>
  <si>
    <t>22.43∠121°</t>
  </si>
  <si>
    <t>41.33∠149°</t>
  </si>
  <si>
    <t>36.43∠266°</t>
  </si>
  <si>
    <t>19.63∠86°</t>
  </si>
  <si>
    <t>20.06∠127°</t>
  </si>
  <si>
    <t>35.33∠148°</t>
  </si>
  <si>
    <t>35.39∠266°</t>
  </si>
  <si>
    <t>18.83∠74°</t>
  </si>
  <si>
    <t>19.26∠133°</t>
  </si>
  <si>
    <t>28.73∠144°</t>
  </si>
  <si>
    <t>35.63∠262°</t>
  </si>
  <si>
    <t>12.09∠65°</t>
  </si>
  <si>
    <t>20.9∠144°</t>
  </si>
  <si>
    <t>21.74∠160°</t>
  </si>
  <si>
    <t>35.12∠259°</t>
  </si>
  <si>
    <t>8.44∠171°</t>
  </si>
  <si>
    <t>24.58∠147°</t>
  </si>
  <si>
    <t>23.74∠186°</t>
  </si>
  <si>
    <t>25.02∠243°</t>
  </si>
  <si>
    <t>26.07∠144°</t>
  </si>
  <si>
    <t>21.96∠123°</t>
  </si>
  <si>
    <t>37.75∠160°</t>
  </si>
  <si>
    <t>17.01∠247°</t>
  </si>
  <si>
    <t>22.01∠132°</t>
  </si>
  <si>
    <t>17.58∠130°</t>
  </si>
  <si>
    <t>30.42∠152°</t>
  </si>
  <si>
    <t>17.95∠250°</t>
  </si>
  <si>
    <t>22.35∠129°</t>
  </si>
  <si>
    <t>15.29∠125°</t>
  </si>
  <si>
    <t>29.6∠150°</t>
  </si>
  <si>
    <t>17.08∠247°</t>
  </si>
  <si>
    <t>22.27∠125°</t>
  </si>
  <si>
    <t>14.37∠129°</t>
  </si>
  <si>
    <t>28.2∠147°</t>
  </si>
  <si>
    <t>16.96∠248°</t>
  </si>
  <si>
    <t>22.31∠123°</t>
  </si>
  <si>
    <t>14.28∠130°</t>
  </si>
  <si>
    <t>27.22∠144°</t>
  </si>
  <si>
    <t>16.35∠248°</t>
  </si>
  <si>
    <t>21.88∠122°</t>
  </si>
  <si>
    <t>13.61∠124°</t>
  </si>
  <si>
    <t>26.36∠142°</t>
  </si>
  <si>
    <t>16.12∠249°</t>
  </si>
  <si>
    <t>21.24∠118°</t>
  </si>
  <si>
    <t>12.96∠127°</t>
  </si>
  <si>
    <t>24.93∠139°</t>
  </si>
  <si>
    <t>15.9∠249°</t>
  </si>
  <si>
    <t>20.47∠117°</t>
  </si>
  <si>
    <t>13.04∠128°</t>
  </si>
  <si>
    <t>23.45∠138°</t>
  </si>
  <si>
    <t>15.47∠246°</t>
  </si>
  <si>
    <t>20.12∠115°</t>
  </si>
  <si>
    <t>12.25∠128°</t>
  </si>
  <si>
    <t>22.91∠134°</t>
  </si>
  <si>
    <t>15.15∠247°</t>
  </si>
  <si>
    <t>20.23∠114°</t>
  </si>
  <si>
    <t>11.71∠132°</t>
  </si>
  <si>
    <t>21.96∠133°</t>
  </si>
  <si>
    <t>14.37∠246°</t>
  </si>
  <si>
    <t>19.69∠112°</t>
  </si>
  <si>
    <t>11.9∠130°</t>
  </si>
  <si>
    <t>21.01∠132°</t>
  </si>
  <si>
    <t>14.14∠246°</t>
  </si>
  <si>
    <t>18.9∠113°</t>
  </si>
  <si>
    <t>12∠131°</t>
  </si>
  <si>
    <t>19.8∠132°</t>
  </si>
  <si>
    <t>13.95∠245°</t>
  </si>
  <si>
    <t>18.66∠111°</t>
  </si>
  <si>
    <t>11.66∠130°</t>
  </si>
  <si>
    <t>19.6∠130°</t>
  </si>
  <si>
    <t>13.4∠243°</t>
  </si>
  <si>
    <t>18.7∠111°</t>
  </si>
  <si>
    <t>12.28∠126°</t>
  </si>
  <si>
    <t>18.79∠129°</t>
  </si>
  <si>
    <t>13.35∠243°</t>
  </si>
  <si>
    <t>18.45∠111°</t>
  </si>
  <si>
    <t>12.55∠118°</t>
  </si>
  <si>
    <t>17.99∠130°</t>
  </si>
  <si>
    <t>13.37∠241°</t>
  </si>
  <si>
    <t>18.46∠109°</t>
  </si>
  <si>
    <t>11.56∠119°</t>
  </si>
  <si>
    <t>17.56∠128°</t>
  </si>
  <si>
    <t>13.27∠243°</t>
  </si>
  <si>
    <t>18.35∠107°</t>
  </si>
  <si>
    <t>12.31∠119°</t>
  </si>
  <si>
    <t>16.62∠125°</t>
  </si>
  <si>
    <t>13.48∠240°</t>
  </si>
  <si>
    <t>17.98∠118°</t>
  </si>
  <si>
    <t>8.68∠134°</t>
  </si>
  <si>
    <t>17.01∠134°</t>
  </si>
  <si>
    <t>11.75∠252°</t>
  </si>
  <si>
    <t>17∠107°</t>
  </si>
  <si>
    <t>8.94∠131°</t>
  </si>
  <si>
    <t>16.14∠122°</t>
  </si>
  <si>
    <t>11.41∠244°</t>
  </si>
  <si>
    <t>16.96∠107°</t>
  </si>
  <si>
    <t>9.2∠123°</t>
  </si>
  <si>
    <t>15.12∠121°</t>
  </si>
  <si>
    <t>11.85∠242°</t>
  </si>
  <si>
    <t>17.38∠106°</t>
  </si>
  <si>
    <t>8.87∠125°</t>
  </si>
  <si>
    <t>15.02∠119°</t>
  </si>
  <si>
    <t>11.55∠241°</t>
  </si>
  <si>
    <t>16.64∠105°</t>
  </si>
  <si>
    <t>8.45∠125°</t>
  </si>
  <si>
    <t>14.61∠117°</t>
  </si>
  <si>
    <t>11.31∠241°</t>
  </si>
  <si>
    <t>16.05∠103°</t>
  </si>
  <si>
    <t>8.65∠123°</t>
  </si>
  <si>
    <t>13.71∠114°</t>
  </si>
  <si>
    <t>11.15∠240°</t>
  </si>
  <si>
    <t>16.3∠103°</t>
  </si>
  <si>
    <t>8.67∠120°</t>
  </si>
  <si>
    <t>12.83∠111°</t>
  </si>
  <si>
    <t>11.24∠239°</t>
  </si>
  <si>
    <t>16.12∠103°</t>
  </si>
  <si>
    <t>8.61∠116°</t>
  </si>
  <si>
    <t>12.03∠109°</t>
  </si>
  <si>
    <t>11.36∠239°</t>
  </si>
  <si>
    <t>15.92∠103°</t>
  </si>
  <si>
    <t>8.33∠114°</t>
  </si>
  <si>
    <t>11.11∠108°</t>
  </si>
  <si>
    <t>11.47∠238°</t>
  </si>
  <si>
    <t>15.49∠102°</t>
  </si>
  <si>
    <t>7.96∠109°</t>
  </si>
  <si>
    <t>10.03∠107°</t>
  </si>
  <si>
    <t>11.54∠235°</t>
  </si>
  <si>
    <t>15.88∠101°</t>
  </si>
  <si>
    <t>8.45∠105°</t>
  </si>
  <si>
    <t>9.59∠101°</t>
  </si>
  <si>
    <t>12.16∠234°</t>
  </si>
  <si>
    <t>16.35∠101°</t>
  </si>
  <si>
    <t>8.77∠99°</t>
  </si>
  <si>
    <t>8.5∠98°</t>
  </si>
  <si>
    <t>12.73∠232°</t>
  </si>
  <si>
    <t>16.99∠103°</t>
  </si>
  <si>
    <t>9.6∠93°</t>
  </si>
  <si>
    <t>7.28∠92°</t>
  </si>
  <si>
    <t>13.79∠232°</t>
  </si>
  <si>
    <t>17.41∠102°</t>
  </si>
  <si>
    <t>10.71∠84°</t>
  </si>
  <si>
    <t>3.91∠74°</t>
  </si>
  <si>
    <t>16.27∠226°</t>
  </si>
  <si>
    <t>20.49∠100°</t>
  </si>
  <si>
    <t>13.4∠65°</t>
  </si>
  <si>
    <t>2.18∠288°</t>
  </si>
  <si>
    <t>20.24∠214°</t>
  </si>
  <si>
    <t>23.61∠89°</t>
  </si>
  <si>
    <t>16.4∠37°</t>
  </si>
  <si>
    <t>10.03∠219°</t>
  </si>
  <si>
    <t>23.13∠189°</t>
  </si>
  <si>
    <t>24.08∠50°</t>
  </si>
  <si>
    <t>17.19∠326°</t>
  </si>
  <si>
    <t>14.3∠106°</t>
  </si>
  <si>
    <t>2.65∠280°</t>
  </si>
  <si>
    <t>7.13∠51°</t>
  </si>
  <si>
    <t>7.37∠200°</t>
  </si>
  <si>
    <t>15.02∠124°</t>
  </si>
  <si>
    <t>0.67∠75°</t>
  </si>
  <si>
    <t>7.28∠51°</t>
  </si>
  <si>
    <t>4.61∠182°</t>
  </si>
  <si>
    <t>12.9∠115°</t>
  </si>
  <si>
    <t>1∠183°</t>
  </si>
  <si>
    <t>7.6∠56°</t>
  </si>
  <si>
    <t>4.2∠163°</t>
  </si>
  <si>
    <t>10.32∠111°</t>
  </si>
  <si>
    <t>2.62∠205°</t>
  </si>
  <si>
    <t>7.5∠57°</t>
  </si>
  <si>
    <t>4.45∠154°</t>
  </si>
  <si>
    <t>8.99∠107°</t>
  </si>
  <si>
    <t>2.73∠209°</t>
  </si>
  <si>
    <t>5.61∠53°</t>
  </si>
  <si>
    <t>4.05∠151°</t>
  </si>
  <si>
    <t>9.74∠104°</t>
  </si>
  <si>
    <t>1.71∠237°</t>
  </si>
  <si>
    <t>平均</t>
  </si>
  <si>
    <t>47.9∠249.2</t>
    <phoneticPr fontId="1" type="noConversion"/>
  </si>
  <si>
    <t>32.8∠97.8</t>
    <phoneticPr fontId="1" type="noConversion"/>
  </si>
  <si>
    <t>62.2∠140.3°</t>
    <phoneticPr fontId="1" type="noConversion"/>
  </si>
  <si>
    <t>27∠66.9°</t>
    <phoneticPr fontId="1" type="noConversion"/>
  </si>
  <si>
    <t>垂直</t>
    <phoneticPr fontId="1" type="noConversion"/>
  </si>
  <si>
    <t>水平</t>
    <phoneticPr fontId="1" type="noConversion"/>
  </si>
  <si>
    <t>出口</t>
    <phoneticPr fontId="1" type="noConversion"/>
  </si>
  <si>
    <t>进口</t>
    <phoneticPr fontId="1" type="noConversion"/>
  </si>
  <si>
    <t>进口面</t>
    <phoneticPr fontId="1" type="noConversion"/>
  </si>
  <si>
    <t>出口面</t>
    <phoneticPr fontId="1" type="noConversion"/>
  </si>
  <si>
    <t xml:space="preserve">进口端面375∠170° 滞后角-10° </t>
    <phoneticPr fontId="1" type="noConversion"/>
  </si>
  <si>
    <t>第四次加重</t>
    <phoneticPr fontId="1" type="noConversion"/>
  </si>
  <si>
    <t>进口叶轮端面400∠210°</t>
    <phoneticPr fontId="1" type="noConversion"/>
  </si>
  <si>
    <t>进口叶轮端面360∠350°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</si>
</sst>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000"/>
    <numFmt numFmtId="178" formatCode="yy/m/d\ h:mm:ss"/>
  </numFmts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0" borderId="0" xfId="0" applyFont="1" applyFill="1">
      <alignment vertical="center"/>
    </xf>
    <xf numFmtId="0" fontId="0" fillId="3" borderId="0" xfId="0" applyFill="1">
      <alignment vertical="center"/>
    </xf>
    <xf numFmtId="0" fontId="3" fillId="3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0" fillId="0" borderId="0" xfId="0" applyFill="1">
      <alignment vertical="center"/>
    </xf>
    <xf numFmtId="176" fontId="0" fillId="0" borderId="0" xfId="0" applyNumberFormat="1">
      <alignment vertical="center"/>
    </xf>
    <xf numFmtId="0" fontId="5" fillId="2" borderId="0" xfId="0" applyFont="1" applyFill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right" vertical="center"/>
    </xf>
    <xf numFmtId="0" fontId="6" fillId="0" borderId="0" xfId="0" applyFont="1">
      <alignment vertical="center"/>
    </xf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>
      <alignment vertical="center"/>
    </xf>
    <xf numFmtId="178" fontId="0" fillId="0" borderId="0" xfId="0" applyNumberFormat="1" applyAlignment="1">
      <alignment vertical="center"/>
    </xf>
    <xf numFmtId="178" fontId="0" fillId="0" borderId="0" xfId="0" applyNumberFormat="1">
      <alignment vertical="center"/>
    </xf>
    <xf numFmtId="178" fontId="2" fillId="0" borderId="0" xfId="0" applyNumberFormat="1" applyFont="1" applyAlignment="1">
      <alignment vertical="center"/>
    </xf>
    <xf numFmtId="0" fontId="0" fillId="0" borderId="0" xfId="0">
      <alignment vertical="center"/>
    </xf>
    <xf numFmtId="0" fontId="0" fillId="0" borderId="0" xfId="0" applyAlignment="1">
      <alignment vertical="center"/>
    </xf>
    <xf numFmtId="176" fontId="6" fillId="0" borderId="0" xfId="0" applyNumberFormat="1" applyFont="1">
      <alignment vertical="center"/>
    </xf>
    <xf numFmtId="177" fontId="6" fillId="0" borderId="0" xfId="0" applyNumberFormat="1" applyFont="1">
      <alignment vertical="center"/>
    </xf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0" fillId="2" borderId="0" xfId="0" quotePrefix="1" applyFill="1">
      <alignment vertical="center"/>
    </xf>
    <xf numFmtId="2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Fill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C143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461550515140827E-2"/>
          <c:y val="2.3517268802594575E-2"/>
          <c:w val="0.97128295530222897"/>
          <c:h val="0.96479283661670145"/>
        </c:manualLayout>
      </c:layout>
      <c:scatterChart>
        <c:scatterStyle val="smoothMarker"/>
        <c:varyColors val="0"/>
        <c:ser>
          <c:idx val="0"/>
          <c:order val="0"/>
          <c:tx>
            <c:v>圆</c:v>
          </c:tx>
          <c:marker>
            <c:symbol val="none"/>
          </c:marker>
          <c:xVal>
            <c:numRef>
              <c:f>试加重示意图!$B$10001:$B$10361</c:f>
              <c:numCache>
                <c:formatCode>General</c:formatCode>
                <c:ptCount val="361"/>
                <c:pt idx="0">
                  <c:v>37</c:v>
                </c:pt>
                <c:pt idx="1">
                  <c:v>36.997715427345867</c:v>
                </c:pt>
                <c:pt idx="2">
                  <c:v>36.990862405286435</c:v>
                </c:pt>
                <c:pt idx="3">
                  <c:v>36.979443021318609</c:v>
                </c:pt>
                <c:pt idx="4">
                  <c:v>36.963460753897365</c:v>
                </c:pt>
                <c:pt idx="5">
                  <c:v>36.942920471376183</c:v>
                </c:pt>
                <c:pt idx="6">
                  <c:v>36.917828430524096</c:v>
                </c:pt>
                <c:pt idx="7">
                  <c:v>36.888192274619826</c:v>
                </c:pt>
                <c:pt idx="8">
                  <c:v>36.854021031123551</c:v>
                </c:pt>
                <c:pt idx="9">
                  <c:v>36.81532510892707</c:v>
                </c:pt>
                <c:pt idx="10">
                  <c:v>36.772116295183125</c:v>
                </c:pt>
                <c:pt idx="11">
                  <c:v>36.724407751714963</c:v>
                </c:pt>
                <c:pt idx="12">
                  <c:v>36.672214011007085</c:v>
                </c:pt>
                <c:pt idx="13">
                  <c:v>36.615550971778532</c:v>
                </c:pt>
                <c:pt idx="14">
                  <c:v>36.554435894139949</c:v>
                </c:pt>
                <c:pt idx="15">
                  <c:v>36.488887394336025</c:v>
                </c:pt>
                <c:pt idx="16">
                  <c:v>36.418925439074783</c:v>
                </c:pt>
                <c:pt idx="17">
                  <c:v>36.344571339445537</c:v>
                </c:pt>
                <c:pt idx="18">
                  <c:v>36.265847744427305</c:v>
                </c:pt>
                <c:pt idx="19">
                  <c:v>36.182778633989756</c:v>
                </c:pt>
                <c:pt idx="20">
                  <c:v>36.095389311788622</c:v>
                </c:pt>
                <c:pt idx="21">
                  <c:v>36.003706397458025</c:v>
                </c:pt>
                <c:pt idx="22">
                  <c:v>35.907757818501807</c:v>
                </c:pt>
                <c:pt idx="23">
                  <c:v>35.807572801786606</c:v>
                </c:pt>
                <c:pt idx="24">
                  <c:v>35.703181864639014</c:v>
                </c:pt>
                <c:pt idx="25">
                  <c:v>35.594616805549748</c:v>
                </c:pt>
                <c:pt idx="26">
                  <c:v>35.481910694487503</c:v>
                </c:pt>
                <c:pt idx="27">
                  <c:v>35.365097862825522</c:v>
                </c:pt>
                <c:pt idx="28">
                  <c:v>35.244213892883906</c:v>
                </c:pt>
                <c:pt idx="29">
                  <c:v>35.119295607090933</c:v>
                </c:pt>
                <c:pt idx="30">
                  <c:v>34.99038105676658</c:v>
                </c:pt>
                <c:pt idx="31">
                  <c:v>34.857509510531685</c:v>
                </c:pt>
                <c:pt idx="32">
                  <c:v>34.720721442346388</c:v>
                </c:pt>
                <c:pt idx="33">
                  <c:v>34.580058519181364</c:v>
                </c:pt>
                <c:pt idx="34">
                  <c:v>34.435563588325628</c:v>
                </c:pt>
                <c:pt idx="35">
                  <c:v>34.28728066433488</c:v>
                </c:pt>
                <c:pt idx="36">
                  <c:v>34.135254915624216</c:v>
                </c:pt>
                <c:pt idx="37">
                  <c:v>33.979532650709395</c:v>
                </c:pt>
                <c:pt idx="38">
                  <c:v>33.820161304100829</c:v>
                </c:pt>
                <c:pt idx="39">
                  <c:v>33.657189421854568</c:v>
                </c:pt>
                <c:pt idx="40">
                  <c:v>33.490666646784668</c:v>
                </c:pt>
                <c:pt idx="41">
                  <c:v>33.320643703341581</c:v>
                </c:pt>
                <c:pt idx="42">
                  <c:v>33.147172382160917</c:v>
                </c:pt>
                <c:pt idx="43">
                  <c:v>32.970305524287554</c:v>
                </c:pt>
                <c:pt idx="44">
                  <c:v>32.790097005079765</c:v>
                </c:pt>
                <c:pt idx="45">
                  <c:v>32.606601717798213</c:v>
                </c:pt>
                <c:pt idx="46">
                  <c:v>32.419875556884961</c:v>
                </c:pt>
                <c:pt idx="47">
                  <c:v>32.229975400937477</c:v>
                </c:pt>
                <c:pt idx="48">
                  <c:v>32.036959095382869</c:v>
                </c:pt>
                <c:pt idx="49">
                  <c:v>31.840885434857611</c:v>
                </c:pt>
                <c:pt idx="50">
                  <c:v>31.641814145298092</c:v>
                </c:pt>
                <c:pt idx="51">
                  <c:v>31.439805865747562</c:v>
                </c:pt>
                <c:pt idx="52">
                  <c:v>31.234922129884872</c:v>
                </c:pt>
                <c:pt idx="53">
                  <c:v>31.027225347280726</c:v>
                </c:pt>
                <c:pt idx="54">
                  <c:v>30.816778784387097</c:v>
                </c:pt>
                <c:pt idx="55">
                  <c:v>30.60364654526569</c:v>
                </c:pt>
                <c:pt idx="56">
                  <c:v>30.3878935520612</c:v>
                </c:pt>
                <c:pt idx="57">
                  <c:v>30.169585525225408</c:v>
                </c:pt>
                <c:pt idx="58">
                  <c:v>29.948788963498075</c:v>
                </c:pt>
                <c:pt idx="59">
                  <c:v>29.725571123650816</c:v>
                </c:pt>
                <c:pt idx="60">
                  <c:v>29.5</c:v>
                </c:pt>
                <c:pt idx="61">
                  <c:v>29.272144303695057</c:v>
                </c:pt>
                <c:pt idx="62">
                  <c:v>29.042073441788361</c:v>
                </c:pt>
                <c:pt idx="63">
                  <c:v>28.809857496093201</c:v>
                </c:pt>
                <c:pt idx="64">
                  <c:v>28.575567201836162</c:v>
                </c:pt>
                <c:pt idx="65">
                  <c:v>28.339273926110494</c:v>
                </c:pt>
                <c:pt idx="66">
                  <c:v>28.101049646137007</c:v>
                </c:pt>
                <c:pt idx="67">
                  <c:v>27.860966927339106</c:v>
                </c:pt>
                <c:pt idx="68">
                  <c:v>27.619098901238683</c:v>
                </c:pt>
                <c:pt idx="69">
                  <c:v>27.375519243179504</c:v>
                </c:pt>
                <c:pt idx="70">
                  <c:v>27.130302149885033</c:v>
                </c:pt>
                <c:pt idx="71">
                  <c:v>26.883522316857352</c:v>
                </c:pt>
                <c:pt idx="72">
                  <c:v>26.635254915624213</c:v>
                </c:pt>
                <c:pt idx="73">
                  <c:v>26.385575570841052</c:v>
                </c:pt>
                <c:pt idx="74">
                  <c:v>26.134560337254989</c:v>
                </c:pt>
                <c:pt idx="75">
                  <c:v>25.882285676537812</c:v>
                </c:pt>
                <c:pt idx="76">
                  <c:v>25.628828433995015</c:v>
                </c:pt>
                <c:pt idx="77">
                  <c:v>25.374265815157976</c:v>
                </c:pt>
                <c:pt idx="78">
                  <c:v>25.118675362266387</c:v>
                </c:pt>
                <c:pt idx="79">
                  <c:v>24.862134930648175</c:v>
                </c:pt>
                <c:pt idx="80">
                  <c:v>24.604722665003955</c:v>
                </c:pt>
                <c:pt idx="81">
                  <c:v>24.346516975603464</c:v>
                </c:pt>
                <c:pt idx="82">
                  <c:v>24.087596514400982</c:v>
                </c:pt>
                <c:pt idx="83">
                  <c:v>23.828040151077211</c:v>
                </c:pt>
                <c:pt idx="84">
                  <c:v>23.567926949014801</c:v>
                </c:pt>
                <c:pt idx="85">
                  <c:v>23.307336141214876</c:v>
                </c:pt>
                <c:pt idx="86">
                  <c:v>23.046347106161878</c:v>
                </c:pt>
                <c:pt idx="87">
                  <c:v>22.785039343644158</c:v>
                </c:pt>
                <c:pt idx="88">
                  <c:v>22.523492450537518</c:v>
                </c:pt>
                <c:pt idx="89">
                  <c:v>22.261786096559256</c:v>
                </c:pt>
                <c:pt idx="90">
                  <c:v>22</c:v>
                </c:pt>
                <c:pt idx="91">
                  <c:v>21.738213903440748</c:v>
                </c:pt>
                <c:pt idx="92">
                  <c:v>21.47650754946249</c:v>
                </c:pt>
                <c:pt idx="93">
                  <c:v>21.214960656355842</c:v>
                </c:pt>
                <c:pt idx="94">
                  <c:v>20.953652893838122</c:v>
                </c:pt>
                <c:pt idx="95">
                  <c:v>20.692663858785128</c:v>
                </c:pt>
                <c:pt idx="96">
                  <c:v>20.432073050985199</c:v>
                </c:pt>
                <c:pt idx="97">
                  <c:v>20.171959848922789</c:v>
                </c:pt>
                <c:pt idx="98">
                  <c:v>19.912403485599022</c:v>
                </c:pt>
                <c:pt idx="99">
                  <c:v>19.653483024396536</c:v>
                </c:pt>
                <c:pt idx="100">
                  <c:v>19.395277334996045</c:v>
                </c:pt>
                <c:pt idx="101">
                  <c:v>19.137865069351829</c:v>
                </c:pt>
                <c:pt idx="102">
                  <c:v>18.881324637733613</c:v>
                </c:pt>
                <c:pt idx="103">
                  <c:v>18.625734184842027</c:v>
                </c:pt>
                <c:pt idx="104">
                  <c:v>18.371171566004985</c:v>
                </c:pt>
                <c:pt idx="105">
                  <c:v>18.117714323462188</c:v>
                </c:pt>
                <c:pt idx="106">
                  <c:v>17.865439662745015</c:v>
                </c:pt>
                <c:pt idx="107">
                  <c:v>17.614424429158952</c:v>
                </c:pt>
                <c:pt idx="108">
                  <c:v>17.364745084375791</c:v>
                </c:pt>
                <c:pt idx="109">
                  <c:v>17.116477683142655</c:v>
                </c:pt>
                <c:pt idx="110">
                  <c:v>16.869697850114967</c:v>
                </c:pt>
                <c:pt idx="111">
                  <c:v>16.624480756820496</c:v>
                </c:pt>
                <c:pt idx="112">
                  <c:v>16.380901098761321</c:v>
                </c:pt>
                <c:pt idx="113">
                  <c:v>16.139033072660894</c:v>
                </c:pt>
                <c:pt idx="114">
                  <c:v>15.898950353863</c:v>
                </c:pt>
                <c:pt idx="115">
                  <c:v>15.66072607388951</c:v>
                </c:pt>
                <c:pt idx="116">
                  <c:v>15.424432798163838</c:v>
                </c:pt>
                <c:pt idx="117">
                  <c:v>15.190142503906799</c:v>
                </c:pt>
                <c:pt idx="118">
                  <c:v>14.957926558211643</c:v>
                </c:pt>
                <c:pt idx="119">
                  <c:v>14.727855696304946</c:v>
                </c:pt>
                <c:pt idx="120">
                  <c:v>14.500000000000004</c:v>
                </c:pt>
                <c:pt idx="121">
                  <c:v>14.274428876349186</c:v>
                </c:pt>
                <c:pt idx="122">
                  <c:v>14.051211036501929</c:v>
                </c:pt>
                <c:pt idx="123">
                  <c:v>13.830414474774594</c:v>
                </c:pt>
                <c:pt idx="124">
                  <c:v>13.6121064479388</c:v>
                </c:pt>
                <c:pt idx="125">
                  <c:v>13.396353454734312</c:v>
                </c:pt>
                <c:pt idx="126">
                  <c:v>13.183221215612905</c:v>
                </c:pt>
                <c:pt idx="127">
                  <c:v>12.972774652719274</c:v>
                </c:pt>
                <c:pt idx="128">
                  <c:v>12.765077870115126</c:v>
                </c:pt>
                <c:pt idx="129">
                  <c:v>12.560194134252441</c:v>
                </c:pt>
                <c:pt idx="130">
                  <c:v>12.35818585470191</c:v>
                </c:pt>
                <c:pt idx="131">
                  <c:v>12.159114565142392</c:v>
                </c:pt>
                <c:pt idx="132">
                  <c:v>11.963040904617131</c:v>
                </c:pt>
                <c:pt idx="133">
                  <c:v>11.770024599062525</c:v>
                </c:pt>
                <c:pt idx="134">
                  <c:v>11.580124443115039</c:v>
                </c:pt>
                <c:pt idx="135">
                  <c:v>11.393398282201789</c:v>
                </c:pt>
                <c:pt idx="136">
                  <c:v>11.209902994920235</c:v>
                </c:pt>
                <c:pt idx="137">
                  <c:v>11.029694475712443</c:v>
                </c:pt>
                <c:pt idx="138">
                  <c:v>10.852827617839084</c:v>
                </c:pt>
                <c:pt idx="139">
                  <c:v>10.679356296658419</c:v>
                </c:pt>
                <c:pt idx="140">
                  <c:v>10.509333353215332</c:v>
                </c:pt>
                <c:pt idx="141">
                  <c:v>10.342810578145436</c:v>
                </c:pt>
                <c:pt idx="142">
                  <c:v>10.179838695899171</c:v>
                </c:pt>
                <c:pt idx="143">
                  <c:v>10.020467349290611</c:v>
                </c:pt>
                <c:pt idx="144">
                  <c:v>9.8647450843757891</c:v>
                </c:pt>
                <c:pt idx="145">
                  <c:v>9.7127193356651205</c:v>
                </c:pt>
                <c:pt idx="146">
                  <c:v>9.5644364116743752</c:v>
                </c:pt>
                <c:pt idx="147">
                  <c:v>9.4199414808186415</c:v>
                </c:pt>
                <c:pt idx="148">
                  <c:v>9.2792785576536101</c:v>
                </c:pt>
                <c:pt idx="149">
                  <c:v>9.142490489468317</c:v>
                </c:pt>
                <c:pt idx="150">
                  <c:v>9.0096189432334199</c:v>
                </c:pt>
                <c:pt idx="151">
                  <c:v>8.8807043929090632</c:v>
                </c:pt>
                <c:pt idx="152">
                  <c:v>8.7557861071160943</c:v>
                </c:pt>
                <c:pt idx="153">
                  <c:v>8.6349021371744836</c:v>
                </c:pt>
                <c:pt idx="154">
                  <c:v>8.5180893055124969</c:v>
                </c:pt>
                <c:pt idx="155">
                  <c:v>8.4053831944502502</c:v>
                </c:pt>
                <c:pt idx="156">
                  <c:v>8.2968181353609847</c:v>
                </c:pt>
                <c:pt idx="157">
                  <c:v>8.1924271982133945</c:v>
                </c:pt>
                <c:pt idx="158">
                  <c:v>8.0922421814981895</c:v>
                </c:pt>
                <c:pt idx="159">
                  <c:v>7.9962936025419751</c:v>
                </c:pt>
                <c:pt idx="160">
                  <c:v>7.9046106882113758</c:v>
                </c:pt>
                <c:pt idx="161">
                  <c:v>7.8172213660102479</c:v>
                </c:pt>
                <c:pt idx="162">
                  <c:v>7.7341522555726971</c:v>
                </c:pt>
                <c:pt idx="163">
                  <c:v>7.6554286605544686</c:v>
                </c:pt>
                <c:pt idx="164">
                  <c:v>7.5810745609252166</c:v>
                </c:pt>
                <c:pt idx="165">
                  <c:v>7.5111126056639765</c:v>
                </c:pt>
                <c:pt idx="166">
                  <c:v>7.4455641058600524</c:v>
                </c:pt>
                <c:pt idx="167">
                  <c:v>7.3844490282214732</c:v>
                </c:pt>
                <c:pt idx="168">
                  <c:v>7.3277859889929147</c:v>
                </c:pt>
                <c:pt idx="169">
                  <c:v>7.2755922482850401</c:v>
                </c:pt>
                <c:pt idx="170">
                  <c:v>7.2278837048168789</c:v>
                </c:pt>
                <c:pt idx="171">
                  <c:v>7.1846748910729357</c:v>
                </c:pt>
                <c:pt idx="172">
                  <c:v>7.1459789688764452</c:v>
                </c:pt>
                <c:pt idx="173">
                  <c:v>7.1118077253801708</c:v>
                </c:pt>
                <c:pt idx="174">
                  <c:v>7.0821715694759</c:v>
                </c:pt>
                <c:pt idx="175">
                  <c:v>7.0570795286238166</c:v>
                </c:pt>
                <c:pt idx="176">
                  <c:v>7.0365392461026364</c:v>
                </c:pt>
                <c:pt idx="177">
                  <c:v>7.0205569786813928</c:v>
                </c:pt>
                <c:pt idx="178">
                  <c:v>7.0091375947135628</c:v>
                </c:pt>
                <c:pt idx="179">
                  <c:v>7.0022845726541316</c:v>
                </c:pt>
                <c:pt idx="180">
                  <c:v>7</c:v>
                </c:pt>
                <c:pt idx="181">
                  <c:v>7.0022845726541316</c:v>
                </c:pt>
                <c:pt idx="182">
                  <c:v>7.0091375947135628</c:v>
                </c:pt>
                <c:pt idx="183">
                  <c:v>7.0205569786813928</c:v>
                </c:pt>
                <c:pt idx="184">
                  <c:v>7.0365392461026346</c:v>
                </c:pt>
                <c:pt idx="185">
                  <c:v>7.0570795286238166</c:v>
                </c:pt>
                <c:pt idx="186">
                  <c:v>7.0821715694759</c:v>
                </c:pt>
                <c:pt idx="187">
                  <c:v>7.1118077253801708</c:v>
                </c:pt>
                <c:pt idx="188">
                  <c:v>7.145978968876447</c:v>
                </c:pt>
                <c:pt idx="189">
                  <c:v>7.1846748910729339</c:v>
                </c:pt>
                <c:pt idx="190">
                  <c:v>7.2278837048168789</c:v>
                </c:pt>
                <c:pt idx="191">
                  <c:v>7.2755922482850401</c:v>
                </c:pt>
                <c:pt idx="192">
                  <c:v>7.3277859889929147</c:v>
                </c:pt>
                <c:pt idx="193">
                  <c:v>7.3844490282214714</c:v>
                </c:pt>
                <c:pt idx="194">
                  <c:v>7.4455641058600524</c:v>
                </c:pt>
                <c:pt idx="195">
                  <c:v>7.511112605663973</c:v>
                </c:pt>
                <c:pt idx="196">
                  <c:v>7.5810745609252148</c:v>
                </c:pt>
                <c:pt idx="197">
                  <c:v>7.6554286605544686</c:v>
                </c:pt>
                <c:pt idx="198">
                  <c:v>7.7341522555726971</c:v>
                </c:pt>
                <c:pt idx="199">
                  <c:v>7.8172213660102496</c:v>
                </c:pt>
                <c:pt idx="200">
                  <c:v>7.904610688211374</c:v>
                </c:pt>
                <c:pt idx="201">
                  <c:v>7.9962936025419733</c:v>
                </c:pt>
                <c:pt idx="202">
                  <c:v>8.0922421814981895</c:v>
                </c:pt>
                <c:pt idx="203">
                  <c:v>8.1924271982133945</c:v>
                </c:pt>
                <c:pt idx="204">
                  <c:v>8.2968181353609829</c:v>
                </c:pt>
                <c:pt idx="205">
                  <c:v>8.4053831944502484</c:v>
                </c:pt>
                <c:pt idx="206">
                  <c:v>8.5180893055124933</c:v>
                </c:pt>
                <c:pt idx="207">
                  <c:v>8.6349021371744783</c:v>
                </c:pt>
                <c:pt idx="208">
                  <c:v>8.7557861071160943</c:v>
                </c:pt>
                <c:pt idx="209">
                  <c:v>8.880704392909065</c:v>
                </c:pt>
                <c:pt idx="210">
                  <c:v>9.0096189432334217</c:v>
                </c:pt>
                <c:pt idx="211">
                  <c:v>9.1424904894683152</c:v>
                </c:pt>
                <c:pt idx="212">
                  <c:v>9.2792785576536083</c:v>
                </c:pt>
                <c:pt idx="213">
                  <c:v>9.4199414808186397</c:v>
                </c:pt>
                <c:pt idx="214">
                  <c:v>9.5644364116743716</c:v>
                </c:pt>
                <c:pt idx="215">
                  <c:v>9.7127193356651205</c:v>
                </c:pt>
                <c:pt idx="216">
                  <c:v>9.8647450843757873</c:v>
                </c:pt>
                <c:pt idx="217">
                  <c:v>10.020467349290604</c:v>
                </c:pt>
                <c:pt idx="218">
                  <c:v>10.179838695899166</c:v>
                </c:pt>
                <c:pt idx="219">
                  <c:v>10.342810578145436</c:v>
                </c:pt>
                <c:pt idx="220">
                  <c:v>10.509333353215331</c:v>
                </c:pt>
                <c:pt idx="221">
                  <c:v>10.679356296658421</c:v>
                </c:pt>
                <c:pt idx="222">
                  <c:v>10.852827617839086</c:v>
                </c:pt>
                <c:pt idx="223">
                  <c:v>11.029694475712441</c:v>
                </c:pt>
                <c:pt idx="224">
                  <c:v>11.209902994920235</c:v>
                </c:pt>
                <c:pt idx="225">
                  <c:v>11.393398282201785</c:v>
                </c:pt>
                <c:pt idx="226">
                  <c:v>11.580124443115036</c:v>
                </c:pt>
                <c:pt idx="227">
                  <c:v>11.770024599062522</c:v>
                </c:pt>
                <c:pt idx="228">
                  <c:v>11.963040904617124</c:v>
                </c:pt>
                <c:pt idx="229">
                  <c:v>12.159114565142385</c:v>
                </c:pt>
                <c:pt idx="230">
                  <c:v>12.358185854701908</c:v>
                </c:pt>
                <c:pt idx="231">
                  <c:v>12.560194134252443</c:v>
                </c:pt>
                <c:pt idx="232">
                  <c:v>12.765077870115128</c:v>
                </c:pt>
                <c:pt idx="233">
                  <c:v>12.972774652719275</c:v>
                </c:pt>
                <c:pt idx="234">
                  <c:v>13.183221215612901</c:v>
                </c:pt>
                <c:pt idx="235">
                  <c:v>13.396353454734305</c:v>
                </c:pt>
                <c:pt idx="236">
                  <c:v>13.612106447938791</c:v>
                </c:pt>
                <c:pt idx="237">
                  <c:v>13.830414474774596</c:v>
                </c:pt>
                <c:pt idx="238">
                  <c:v>14.051211036501925</c:v>
                </c:pt>
                <c:pt idx="239">
                  <c:v>14.274428876349184</c:v>
                </c:pt>
                <c:pt idx="240">
                  <c:v>14.499999999999993</c:v>
                </c:pt>
                <c:pt idx="241">
                  <c:v>14.727855696304935</c:v>
                </c:pt>
                <c:pt idx="242">
                  <c:v>14.957926558211639</c:v>
                </c:pt>
                <c:pt idx="243">
                  <c:v>15.190142503906795</c:v>
                </c:pt>
                <c:pt idx="244">
                  <c:v>15.424432798163835</c:v>
                </c:pt>
                <c:pt idx="245">
                  <c:v>15.660726073889514</c:v>
                </c:pt>
                <c:pt idx="246">
                  <c:v>15.898950353862999</c:v>
                </c:pt>
                <c:pt idx="247">
                  <c:v>16.139033072660894</c:v>
                </c:pt>
                <c:pt idx="248">
                  <c:v>16.380901098761314</c:v>
                </c:pt>
                <c:pt idx="249">
                  <c:v>16.624480756820489</c:v>
                </c:pt>
                <c:pt idx="250">
                  <c:v>16.86969785011496</c:v>
                </c:pt>
                <c:pt idx="251">
                  <c:v>17.116477683142652</c:v>
                </c:pt>
                <c:pt idx="252">
                  <c:v>17.364745084375787</c:v>
                </c:pt>
                <c:pt idx="253">
                  <c:v>17.614424429158944</c:v>
                </c:pt>
                <c:pt idx="254">
                  <c:v>17.865439662745018</c:v>
                </c:pt>
                <c:pt idx="255">
                  <c:v>18.117714323462192</c:v>
                </c:pt>
                <c:pt idx="256">
                  <c:v>18.371171566004982</c:v>
                </c:pt>
                <c:pt idx="257">
                  <c:v>18.62573418484202</c:v>
                </c:pt>
                <c:pt idx="258">
                  <c:v>18.881324637733602</c:v>
                </c:pt>
                <c:pt idx="259">
                  <c:v>19.137865069351832</c:v>
                </c:pt>
                <c:pt idx="260">
                  <c:v>19.395277334996045</c:v>
                </c:pt>
                <c:pt idx="261">
                  <c:v>19.653483024396536</c:v>
                </c:pt>
                <c:pt idx="262">
                  <c:v>19.912403485599011</c:v>
                </c:pt>
                <c:pt idx="263">
                  <c:v>20.171959848922778</c:v>
                </c:pt>
                <c:pt idx="264">
                  <c:v>20.432073050985185</c:v>
                </c:pt>
                <c:pt idx="265">
                  <c:v>20.692663858785124</c:v>
                </c:pt>
                <c:pt idx="266">
                  <c:v>20.953652893838118</c:v>
                </c:pt>
                <c:pt idx="267">
                  <c:v>21.214960656355849</c:v>
                </c:pt>
                <c:pt idx="268">
                  <c:v>21.47650754946249</c:v>
                </c:pt>
                <c:pt idx="269">
                  <c:v>21.738213903440748</c:v>
                </c:pt>
                <c:pt idx="270">
                  <c:v>21.999999999999996</c:v>
                </c:pt>
                <c:pt idx="271">
                  <c:v>22.261786096559248</c:v>
                </c:pt>
                <c:pt idx="272">
                  <c:v>22.523492450537507</c:v>
                </c:pt>
                <c:pt idx="273">
                  <c:v>22.785039343644147</c:v>
                </c:pt>
                <c:pt idx="274">
                  <c:v>23.046347106161878</c:v>
                </c:pt>
                <c:pt idx="275">
                  <c:v>23.307336141214869</c:v>
                </c:pt>
                <c:pt idx="276">
                  <c:v>23.567926949014808</c:v>
                </c:pt>
                <c:pt idx="277">
                  <c:v>23.828040151077214</c:v>
                </c:pt>
                <c:pt idx="278">
                  <c:v>24.087596514400982</c:v>
                </c:pt>
                <c:pt idx="279">
                  <c:v>24.346516975603461</c:v>
                </c:pt>
                <c:pt idx="280">
                  <c:v>24.604722665003948</c:v>
                </c:pt>
                <c:pt idx="281">
                  <c:v>24.862134930648164</c:v>
                </c:pt>
                <c:pt idx="282">
                  <c:v>25.118675362266391</c:v>
                </c:pt>
                <c:pt idx="283">
                  <c:v>25.374265815157973</c:v>
                </c:pt>
                <c:pt idx="284">
                  <c:v>25.628828433995011</c:v>
                </c:pt>
                <c:pt idx="285">
                  <c:v>25.882285676537805</c:v>
                </c:pt>
                <c:pt idx="286">
                  <c:v>26.134560337254978</c:v>
                </c:pt>
                <c:pt idx="287">
                  <c:v>26.385575570841052</c:v>
                </c:pt>
                <c:pt idx="288">
                  <c:v>26.635254915624209</c:v>
                </c:pt>
                <c:pt idx="289">
                  <c:v>26.883522316857345</c:v>
                </c:pt>
                <c:pt idx="290">
                  <c:v>27.130302149885033</c:v>
                </c:pt>
                <c:pt idx="291">
                  <c:v>27.375519243179504</c:v>
                </c:pt>
                <c:pt idx="292">
                  <c:v>27.619098901238679</c:v>
                </c:pt>
                <c:pt idx="293">
                  <c:v>27.860966927339103</c:v>
                </c:pt>
                <c:pt idx="294">
                  <c:v>28.101049646136996</c:v>
                </c:pt>
                <c:pt idx="295">
                  <c:v>28.339273926110483</c:v>
                </c:pt>
                <c:pt idx="296">
                  <c:v>28.575567201836162</c:v>
                </c:pt>
                <c:pt idx="297">
                  <c:v>28.809857496093201</c:v>
                </c:pt>
                <c:pt idx="298">
                  <c:v>29.042073441788357</c:v>
                </c:pt>
                <c:pt idx="299">
                  <c:v>29.272144303695057</c:v>
                </c:pt>
                <c:pt idx="300">
                  <c:v>29.5</c:v>
                </c:pt>
                <c:pt idx="301">
                  <c:v>29.725571123650813</c:v>
                </c:pt>
                <c:pt idx="302">
                  <c:v>29.948788963498071</c:v>
                </c:pt>
                <c:pt idx="303">
                  <c:v>30.169585525225401</c:v>
                </c:pt>
                <c:pt idx="304">
                  <c:v>30.387893552061207</c:v>
                </c:pt>
                <c:pt idx="305">
                  <c:v>30.60364654526569</c:v>
                </c:pt>
                <c:pt idx="306">
                  <c:v>30.816778784387093</c:v>
                </c:pt>
                <c:pt idx="307">
                  <c:v>31.027225347280719</c:v>
                </c:pt>
                <c:pt idx="308">
                  <c:v>31.234922129884868</c:v>
                </c:pt>
                <c:pt idx="309">
                  <c:v>31.439805865747552</c:v>
                </c:pt>
                <c:pt idx="310">
                  <c:v>31.641814145298088</c:v>
                </c:pt>
                <c:pt idx="311">
                  <c:v>31.840885434857604</c:v>
                </c:pt>
                <c:pt idx="312">
                  <c:v>32.036959095382876</c:v>
                </c:pt>
                <c:pt idx="313">
                  <c:v>32.229975400937477</c:v>
                </c:pt>
                <c:pt idx="314">
                  <c:v>32.419875556884961</c:v>
                </c:pt>
                <c:pt idx="315">
                  <c:v>32.606601717798213</c:v>
                </c:pt>
                <c:pt idx="316">
                  <c:v>32.790097005079765</c:v>
                </c:pt>
                <c:pt idx="317">
                  <c:v>32.970305524287554</c:v>
                </c:pt>
                <c:pt idx="318">
                  <c:v>33.147172382160903</c:v>
                </c:pt>
                <c:pt idx="319">
                  <c:v>33.320643703341581</c:v>
                </c:pt>
                <c:pt idx="320">
                  <c:v>33.490666646784668</c:v>
                </c:pt>
                <c:pt idx="321">
                  <c:v>33.657189421854568</c:v>
                </c:pt>
                <c:pt idx="322">
                  <c:v>33.820161304100829</c:v>
                </c:pt>
                <c:pt idx="323">
                  <c:v>33.979532650709395</c:v>
                </c:pt>
                <c:pt idx="324">
                  <c:v>34.135254915624209</c:v>
                </c:pt>
                <c:pt idx="325">
                  <c:v>34.287280664334872</c:v>
                </c:pt>
                <c:pt idx="326">
                  <c:v>34.435563588325621</c:v>
                </c:pt>
                <c:pt idx="327">
                  <c:v>34.580058519181364</c:v>
                </c:pt>
                <c:pt idx="328">
                  <c:v>34.720721442346388</c:v>
                </c:pt>
                <c:pt idx="329">
                  <c:v>34.857509510531685</c:v>
                </c:pt>
                <c:pt idx="330">
                  <c:v>34.99038105676658</c:v>
                </c:pt>
                <c:pt idx="331">
                  <c:v>35.119295607090933</c:v>
                </c:pt>
                <c:pt idx="332">
                  <c:v>35.244213892883906</c:v>
                </c:pt>
                <c:pt idx="333">
                  <c:v>35.365097862825515</c:v>
                </c:pt>
                <c:pt idx="334">
                  <c:v>35.481910694487503</c:v>
                </c:pt>
                <c:pt idx="335">
                  <c:v>35.594616805549748</c:v>
                </c:pt>
                <c:pt idx="336">
                  <c:v>35.703181864639014</c:v>
                </c:pt>
                <c:pt idx="337">
                  <c:v>35.807572801786606</c:v>
                </c:pt>
                <c:pt idx="338">
                  <c:v>35.907757818501807</c:v>
                </c:pt>
                <c:pt idx="339">
                  <c:v>36.003706397458025</c:v>
                </c:pt>
                <c:pt idx="340">
                  <c:v>36.095389311788622</c:v>
                </c:pt>
                <c:pt idx="341">
                  <c:v>36.182778633989756</c:v>
                </c:pt>
                <c:pt idx="342">
                  <c:v>36.265847744427305</c:v>
                </c:pt>
                <c:pt idx="343">
                  <c:v>36.34457133944553</c:v>
                </c:pt>
                <c:pt idx="344">
                  <c:v>36.418925439074783</c:v>
                </c:pt>
                <c:pt idx="345">
                  <c:v>36.488887394336025</c:v>
                </c:pt>
                <c:pt idx="346">
                  <c:v>36.554435894139949</c:v>
                </c:pt>
                <c:pt idx="347">
                  <c:v>36.615550971778525</c:v>
                </c:pt>
                <c:pt idx="348">
                  <c:v>36.672214011007085</c:v>
                </c:pt>
                <c:pt idx="349">
                  <c:v>36.724407751714963</c:v>
                </c:pt>
                <c:pt idx="350">
                  <c:v>36.772116295183125</c:v>
                </c:pt>
                <c:pt idx="351">
                  <c:v>36.815325108927063</c:v>
                </c:pt>
                <c:pt idx="352">
                  <c:v>36.854021031123551</c:v>
                </c:pt>
                <c:pt idx="353">
                  <c:v>36.888192274619826</c:v>
                </c:pt>
                <c:pt idx="354">
                  <c:v>36.917828430524096</c:v>
                </c:pt>
                <c:pt idx="355">
                  <c:v>36.942920471376183</c:v>
                </c:pt>
                <c:pt idx="356">
                  <c:v>36.963460753897365</c:v>
                </c:pt>
                <c:pt idx="357">
                  <c:v>36.979443021318609</c:v>
                </c:pt>
                <c:pt idx="358">
                  <c:v>36.990862405286435</c:v>
                </c:pt>
                <c:pt idx="359">
                  <c:v>36.997715427345867</c:v>
                </c:pt>
                <c:pt idx="360">
                  <c:v>37</c:v>
                </c:pt>
              </c:numCache>
            </c:numRef>
          </c:xVal>
          <c:yVal>
            <c:numRef>
              <c:f>试加重示意图!$C$10001:$C$10361</c:f>
              <c:numCache>
                <c:formatCode>General</c:formatCode>
                <c:ptCount val="361"/>
                <c:pt idx="0">
                  <c:v>22</c:v>
                </c:pt>
                <c:pt idx="1">
                  <c:v>22.261786096559252</c:v>
                </c:pt>
                <c:pt idx="2">
                  <c:v>22.523492450537514</c:v>
                </c:pt>
                <c:pt idx="3">
                  <c:v>22.785039343644158</c:v>
                </c:pt>
                <c:pt idx="4">
                  <c:v>23.046347106161878</c:v>
                </c:pt>
                <c:pt idx="5">
                  <c:v>23.307336141214872</c:v>
                </c:pt>
                <c:pt idx="6">
                  <c:v>23.567926949014801</c:v>
                </c:pt>
                <c:pt idx="7">
                  <c:v>23.828040151077211</c:v>
                </c:pt>
                <c:pt idx="8">
                  <c:v>24.087596514400982</c:v>
                </c:pt>
                <c:pt idx="9">
                  <c:v>24.346516975603464</c:v>
                </c:pt>
                <c:pt idx="10">
                  <c:v>24.604722665003955</c:v>
                </c:pt>
                <c:pt idx="11">
                  <c:v>24.862134930648171</c:v>
                </c:pt>
                <c:pt idx="12">
                  <c:v>25.118675362266391</c:v>
                </c:pt>
                <c:pt idx="13">
                  <c:v>25.374265815157976</c:v>
                </c:pt>
                <c:pt idx="14">
                  <c:v>25.628828433995015</c:v>
                </c:pt>
                <c:pt idx="15">
                  <c:v>25.882285676537812</c:v>
                </c:pt>
                <c:pt idx="16">
                  <c:v>26.134560337254989</c:v>
                </c:pt>
                <c:pt idx="17">
                  <c:v>26.385575570841052</c:v>
                </c:pt>
                <c:pt idx="18">
                  <c:v>26.635254915624209</c:v>
                </c:pt>
                <c:pt idx="19">
                  <c:v>26.883522316857352</c:v>
                </c:pt>
                <c:pt idx="20">
                  <c:v>27.130302149885033</c:v>
                </c:pt>
                <c:pt idx="21">
                  <c:v>27.375519243179504</c:v>
                </c:pt>
                <c:pt idx="22">
                  <c:v>27.619098901238679</c:v>
                </c:pt>
                <c:pt idx="23">
                  <c:v>27.860966927339106</c:v>
                </c:pt>
                <c:pt idx="24">
                  <c:v>28.101049646137003</c:v>
                </c:pt>
                <c:pt idx="25">
                  <c:v>28.339273926110494</c:v>
                </c:pt>
                <c:pt idx="26">
                  <c:v>28.575567201836162</c:v>
                </c:pt>
                <c:pt idx="27">
                  <c:v>28.809857496093201</c:v>
                </c:pt>
                <c:pt idx="28">
                  <c:v>29.042073441788361</c:v>
                </c:pt>
                <c:pt idx="29">
                  <c:v>29.272144303695057</c:v>
                </c:pt>
                <c:pt idx="30">
                  <c:v>29.5</c:v>
                </c:pt>
                <c:pt idx="31">
                  <c:v>29.725571123650813</c:v>
                </c:pt>
                <c:pt idx="32">
                  <c:v>29.948788963498075</c:v>
                </c:pt>
                <c:pt idx="33">
                  <c:v>30.169585525225404</c:v>
                </c:pt>
                <c:pt idx="34">
                  <c:v>30.3878935520612</c:v>
                </c:pt>
                <c:pt idx="35">
                  <c:v>30.60364654526569</c:v>
                </c:pt>
                <c:pt idx="36">
                  <c:v>30.816778784387097</c:v>
                </c:pt>
                <c:pt idx="37">
                  <c:v>31.027225347280726</c:v>
                </c:pt>
                <c:pt idx="38">
                  <c:v>31.234922129884872</c:v>
                </c:pt>
                <c:pt idx="39">
                  <c:v>31.439805865747562</c:v>
                </c:pt>
                <c:pt idx="40">
                  <c:v>31.641814145298088</c:v>
                </c:pt>
                <c:pt idx="41">
                  <c:v>31.840885434857611</c:v>
                </c:pt>
                <c:pt idx="42">
                  <c:v>32.036959095382869</c:v>
                </c:pt>
                <c:pt idx="43">
                  <c:v>32.229975400937477</c:v>
                </c:pt>
                <c:pt idx="44">
                  <c:v>32.419875556884961</c:v>
                </c:pt>
                <c:pt idx="45">
                  <c:v>32.606601717798213</c:v>
                </c:pt>
                <c:pt idx="46">
                  <c:v>32.790097005079765</c:v>
                </c:pt>
                <c:pt idx="47">
                  <c:v>32.970305524287554</c:v>
                </c:pt>
                <c:pt idx="48">
                  <c:v>33.14717238216091</c:v>
                </c:pt>
                <c:pt idx="49">
                  <c:v>33.320643703341581</c:v>
                </c:pt>
                <c:pt idx="50">
                  <c:v>33.490666646784668</c:v>
                </c:pt>
                <c:pt idx="51">
                  <c:v>33.657189421854561</c:v>
                </c:pt>
                <c:pt idx="52">
                  <c:v>33.820161304100829</c:v>
                </c:pt>
                <c:pt idx="53">
                  <c:v>33.979532650709395</c:v>
                </c:pt>
                <c:pt idx="54">
                  <c:v>34.135254915624216</c:v>
                </c:pt>
                <c:pt idx="55">
                  <c:v>34.28728066433488</c:v>
                </c:pt>
                <c:pt idx="56">
                  <c:v>34.435563588325628</c:v>
                </c:pt>
                <c:pt idx="57">
                  <c:v>34.580058519181357</c:v>
                </c:pt>
                <c:pt idx="58">
                  <c:v>34.720721442346388</c:v>
                </c:pt>
                <c:pt idx="59">
                  <c:v>34.857509510531685</c:v>
                </c:pt>
                <c:pt idx="60">
                  <c:v>34.99038105676658</c:v>
                </c:pt>
                <c:pt idx="61">
                  <c:v>35.119295607090933</c:v>
                </c:pt>
                <c:pt idx="62">
                  <c:v>35.244213892883906</c:v>
                </c:pt>
                <c:pt idx="63">
                  <c:v>35.365097862825515</c:v>
                </c:pt>
                <c:pt idx="64">
                  <c:v>35.481910694487503</c:v>
                </c:pt>
                <c:pt idx="65">
                  <c:v>35.594616805549748</c:v>
                </c:pt>
                <c:pt idx="66">
                  <c:v>35.703181864639014</c:v>
                </c:pt>
                <c:pt idx="67">
                  <c:v>35.807572801786606</c:v>
                </c:pt>
                <c:pt idx="68">
                  <c:v>35.907757818501807</c:v>
                </c:pt>
                <c:pt idx="69">
                  <c:v>36.003706397458025</c:v>
                </c:pt>
                <c:pt idx="70">
                  <c:v>36.095389311788622</c:v>
                </c:pt>
                <c:pt idx="71">
                  <c:v>36.182778633989749</c:v>
                </c:pt>
                <c:pt idx="72">
                  <c:v>36.265847744427305</c:v>
                </c:pt>
                <c:pt idx="73">
                  <c:v>36.34457133944553</c:v>
                </c:pt>
                <c:pt idx="74">
                  <c:v>36.418925439074783</c:v>
                </c:pt>
                <c:pt idx="75">
                  <c:v>36.488887394336025</c:v>
                </c:pt>
                <c:pt idx="76">
                  <c:v>36.554435894139949</c:v>
                </c:pt>
                <c:pt idx="77">
                  <c:v>36.615550971778532</c:v>
                </c:pt>
                <c:pt idx="78">
                  <c:v>36.672214011007085</c:v>
                </c:pt>
                <c:pt idx="79">
                  <c:v>36.724407751714963</c:v>
                </c:pt>
                <c:pt idx="80">
                  <c:v>36.772116295183125</c:v>
                </c:pt>
                <c:pt idx="81">
                  <c:v>36.81532510892707</c:v>
                </c:pt>
                <c:pt idx="82">
                  <c:v>36.854021031123551</c:v>
                </c:pt>
                <c:pt idx="83">
                  <c:v>36.888192274619826</c:v>
                </c:pt>
                <c:pt idx="84">
                  <c:v>36.917828430524096</c:v>
                </c:pt>
                <c:pt idx="85">
                  <c:v>36.942920471376183</c:v>
                </c:pt>
                <c:pt idx="86">
                  <c:v>36.963460753897365</c:v>
                </c:pt>
                <c:pt idx="87">
                  <c:v>36.979443021318609</c:v>
                </c:pt>
                <c:pt idx="88">
                  <c:v>36.990862405286435</c:v>
                </c:pt>
                <c:pt idx="89">
                  <c:v>36.997715427345867</c:v>
                </c:pt>
                <c:pt idx="90">
                  <c:v>37</c:v>
                </c:pt>
                <c:pt idx="91">
                  <c:v>36.997715427345867</c:v>
                </c:pt>
                <c:pt idx="92">
                  <c:v>36.990862405286435</c:v>
                </c:pt>
                <c:pt idx="93">
                  <c:v>36.979443021318609</c:v>
                </c:pt>
                <c:pt idx="94">
                  <c:v>36.963460753897365</c:v>
                </c:pt>
                <c:pt idx="95">
                  <c:v>36.942920471376183</c:v>
                </c:pt>
                <c:pt idx="96">
                  <c:v>36.917828430524104</c:v>
                </c:pt>
                <c:pt idx="97">
                  <c:v>36.888192274619833</c:v>
                </c:pt>
                <c:pt idx="98">
                  <c:v>36.854021031123551</c:v>
                </c:pt>
                <c:pt idx="99">
                  <c:v>36.815325108927063</c:v>
                </c:pt>
                <c:pt idx="100">
                  <c:v>36.772116295183125</c:v>
                </c:pt>
                <c:pt idx="101">
                  <c:v>36.724407751714963</c:v>
                </c:pt>
                <c:pt idx="102">
                  <c:v>36.672214011007085</c:v>
                </c:pt>
                <c:pt idx="103">
                  <c:v>36.615550971778532</c:v>
                </c:pt>
                <c:pt idx="104">
                  <c:v>36.554435894139949</c:v>
                </c:pt>
                <c:pt idx="105">
                  <c:v>36.488887394336025</c:v>
                </c:pt>
                <c:pt idx="106">
                  <c:v>36.418925439074783</c:v>
                </c:pt>
                <c:pt idx="107">
                  <c:v>36.344571339445537</c:v>
                </c:pt>
                <c:pt idx="108">
                  <c:v>36.265847744427305</c:v>
                </c:pt>
                <c:pt idx="109">
                  <c:v>36.182778633989756</c:v>
                </c:pt>
                <c:pt idx="110">
                  <c:v>36.095389311788622</c:v>
                </c:pt>
                <c:pt idx="111">
                  <c:v>36.003706397458025</c:v>
                </c:pt>
                <c:pt idx="112">
                  <c:v>35.907757818501807</c:v>
                </c:pt>
                <c:pt idx="113">
                  <c:v>35.807572801786606</c:v>
                </c:pt>
                <c:pt idx="114">
                  <c:v>35.703181864639014</c:v>
                </c:pt>
                <c:pt idx="115">
                  <c:v>35.594616805549748</c:v>
                </c:pt>
                <c:pt idx="116">
                  <c:v>35.481910694487503</c:v>
                </c:pt>
                <c:pt idx="117">
                  <c:v>35.365097862825522</c:v>
                </c:pt>
                <c:pt idx="118">
                  <c:v>35.244213892883906</c:v>
                </c:pt>
                <c:pt idx="119">
                  <c:v>35.11929560709094</c:v>
                </c:pt>
                <c:pt idx="120">
                  <c:v>34.99038105676658</c:v>
                </c:pt>
                <c:pt idx="121">
                  <c:v>34.857509510531685</c:v>
                </c:pt>
                <c:pt idx="122">
                  <c:v>34.720721442346388</c:v>
                </c:pt>
                <c:pt idx="123">
                  <c:v>34.580058519181357</c:v>
                </c:pt>
                <c:pt idx="124">
                  <c:v>34.435563588325628</c:v>
                </c:pt>
                <c:pt idx="125">
                  <c:v>34.28728066433488</c:v>
                </c:pt>
                <c:pt idx="126">
                  <c:v>34.135254915624216</c:v>
                </c:pt>
                <c:pt idx="127">
                  <c:v>33.979532650709388</c:v>
                </c:pt>
                <c:pt idx="128">
                  <c:v>33.820161304100829</c:v>
                </c:pt>
                <c:pt idx="129">
                  <c:v>33.657189421854568</c:v>
                </c:pt>
                <c:pt idx="130">
                  <c:v>33.490666646784668</c:v>
                </c:pt>
                <c:pt idx="131">
                  <c:v>33.320643703341581</c:v>
                </c:pt>
                <c:pt idx="132">
                  <c:v>33.147172382160917</c:v>
                </c:pt>
                <c:pt idx="133">
                  <c:v>32.970305524287561</c:v>
                </c:pt>
                <c:pt idx="134">
                  <c:v>32.790097005079765</c:v>
                </c:pt>
                <c:pt idx="135">
                  <c:v>32.606601717798213</c:v>
                </c:pt>
                <c:pt idx="136">
                  <c:v>32.419875556884961</c:v>
                </c:pt>
                <c:pt idx="137">
                  <c:v>32.229975400937477</c:v>
                </c:pt>
                <c:pt idx="138">
                  <c:v>32.036959095382869</c:v>
                </c:pt>
                <c:pt idx="139">
                  <c:v>31.840885434857611</c:v>
                </c:pt>
                <c:pt idx="140">
                  <c:v>31.641814145298092</c:v>
                </c:pt>
                <c:pt idx="141">
                  <c:v>31.439805865747559</c:v>
                </c:pt>
                <c:pt idx="142">
                  <c:v>31.234922129884875</c:v>
                </c:pt>
                <c:pt idx="143">
                  <c:v>31.027225347280726</c:v>
                </c:pt>
                <c:pt idx="144">
                  <c:v>30.816778784387097</c:v>
                </c:pt>
                <c:pt idx="145">
                  <c:v>30.60364654526569</c:v>
                </c:pt>
                <c:pt idx="146">
                  <c:v>30.387893552061204</c:v>
                </c:pt>
                <c:pt idx="147">
                  <c:v>30.169585525225408</c:v>
                </c:pt>
                <c:pt idx="148">
                  <c:v>29.948788963498075</c:v>
                </c:pt>
                <c:pt idx="149">
                  <c:v>29.725571123650816</c:v>
                </c:pt>
                <c:pt idx="150">
                  <c:v>29.5</c:v>
                </c:pt>
                <c:pt idx="151">
                  <c:v>29.272144303695057</c:v>
                </c:pt>
                <c:pt idx="152">
                  <c:v>29.042073441788361</c:v>
                </c:pt>
                <c:pt idx="153">
                  <c:v>28.809857496093201</c:v>
                </c:pt>
                <c:pt idx="154">
                  <c:v>28.575567201836165</c:v>
                </c:pt>
                <c:pt idx="155">
                  <c:v>28.339273926110494</c:v>
                </c:pt>
                <c:pt idx="156">
                  <c:v>28.101049646137</c:v>
                </c:pt>
                <c:pt idx="157">
                  <c:v>27.860966927339106</c:v>
                </c:pt>
                <c:pt idx="158">
                  <c:v>27.619098901238683</c:v>
                </c:pt>
                <c:pt idx="159">
                  <c:v>27.375519243179511</c:v>
                </c:pt>
                <c:pt idx="160">
                  <c:v>27.130302149885033</c:v>
                </c:pt>
                <c:pt idx="161">
                  <c:v>26.883522316857348</c:v>
                </c:pt>
                <c:pt idx="162">
                  <c:v>26.635254915624213</c:v>
                </c:pt>
                <c:pt idx="163">
                  <c:v>26.385575570841056</c:v>
                </c:pt>
                <c:pt idx="164">
                  <c:v>26.134560337254989</c:v>
                </c:pt>
                <c:pt idx="165">
                  <c:v>25.882285676537816</c:v>
                </c:pt>
                <c:pt idx="166">
                  <c:v>25.628828433995015</c:v>
                </c:pt>
                <c:pt idx="167">
                  <c:v>25.374265815157976</c:v>
                </c:pt>
                <c:pt idx="168">
                  <c:v>25.118675362266391</c:v>
                </c:pt>
                <c:pt idx="169">
                  <c:v>24.862134930648175</c:v>
                </c:pt>
                <c:pt idx="170">
                  <c:v>24.604722665003962</c:v>
                </c:pt>
                <c:pt idx="171">
                  <c:v>24.346516975603464</c:v>
                </c:pt>
                <c:pt idx="172">
                  <c:v>24.087596514400978</c:v>
                </c:pt>
                <c:pt idx="173">
                  <c:v>23.828040151077214</c:v>
                </c:pt>
                <c:pt idx="174">
                  <c:v>23.567926949014804</c:v>
                </c:pt>
                <c:pt idx="175">
                  <c:v>23.307336141214872</c:v>
                </c:pt>
                <c:pt idx="176">
                  <c:v>23.046347106161882</c:v>
                </c:pt>
                <c:pt idx="177">
                  <c:v>22.785039343644165</c:v>
                </c:pt>
                <c:pt idx="178">
                  <c:v>22.523492450537518</c:v>
                </c:pt>
                <c:pt idx="179">
                  <c:v>22.261786096559252</c:v>
                </c:pt>
                <c:pt idx="180">
                  <c:v>22.000000000000004</c:v>
                </c:pt>
                <c:pt idx="181">
                  <c:v>21.738213903440752</c:v>
                </c:pt>
                <c:pt idx="182">
                  <c:v>21.476507549462486</c:v>
                </c:pt>
                <c:pt idx="183">
                  <c:v>21.214960656355846</c:v>
                </c:pt>
                <c:pt idx="184">
                  <c:v>20.953652893838129</c:v>
                </c:pt>
                <c:pt idx="185">
                  <c:v>20.692663858785131</c:v>
                </c:pt>
                <c:pt idx="186">
                  <c:v>20.432073050985199</c:v>
                </c:pt>
                <c:pt idx="187">
                  <c:v>20.171959848922782</c:v>
                </c:pt>
                <c:pt idx="188">
                  <c:v>19.912403485599018</c:v>
                </c:pt>
                <c:pt idx="189">
                  <c:v>19.653483024396539</c:v>
                </c:pt>
                <c:pt idx="190">
                  <c:v>19.395277334996042</c:v>
                </c:pt>
                <c:pt idx="191">
                  <c:v>19.137865069351829</c:v>
                </c:pt>
                <c:pt idx="192">
                  <c:v>18.881324637733613</c:v>
                </c:pt>
                <c:pt idx="193">
                  <c:v>18.625734184842024</c:v>
                </c:pt>
                <c:pt idx="194">
                  <c:v>18.371171566004989</c:v>
                </c:pt>
                <c:pt idx="195">
                  <c:v>18.117714323462195</c:v>
                </c:pt>
                <c:pt idx="196">
                  <c:v>17.865439662745022</c:v>
                </c:pt>
                <c:pt idx="197">
                  <c:v>17.614424429158948</c:v>
                </c:pt>
                <c:pt idx="198">
                  <c:v>17.364745084375784</c:v>
                </c:pt>
                <c:pt idx="199">
                  <c:v>17.116477683142648</c:v>
                </c:pt>
                <c:pt idx="200">
                  <c:v>16.869697850114971</c:v>
                </c:pt>
                <c:pt idx="201">
                  <c:v>16.624480756820493</c:v>
                </c:pt>
                <c:pt idx="202">
                  <c:v>16.380901098761321</c:v>
                </c:pt>
                <c:pt idx="203">
                  <c:v>16.139033072660897</c:v>
                </c:pt>
                <c:pt idx="204">
                  <c:v>15.898950353863004</c:v>
                </c:pt>
                <c:pt idx="205">
                  <c:v>15.66072607388951</c:v>
                </c:pt>
                <c:pt idx="206">
                  <c:v>15.424432798163844</c:v>
                </c:pt>
                <c:pt idx="207">
                  <c:v>15.190142503906806</c:v>
                </c:pt>
                <c:pt idx="208">
                  <c:v>14.957926558211643</c:v>
                </c:pt>
                <c:pt idx="209">
                  <c:v>14.727855696304939</c:v>
                </c:pt>
                <c:pt idx="210">
                  <c:v>14.499999999999998</c:v>
                </c:pt>
                <c:pt idx="211">
                  <c:v>14.274428876349187</c:v>
                </c:pt>
                <c:pt idx="212">
                  <c:v>14.051211036501929</c:v>
                </c:pt>
                <c:pt idx="213">
                  <c:v>13.830414474774594</c:v>
                </c:pt>
                <c:pt idx="214">
                  <c:v>13.6121064479388</c:v>
                </c:pt>
                <c:pt idx="215">
                  <c:v>13.396353454734312</c:v>
                </c:pt>
                <c:pt idx="216">
                  <c:v>13.183221215612905</c:v>
                </c:pt>
                <c:pt idx="217">
                  <c:v>12.972774652719279</c:v>
                </c:pt>
                <c:pt idx="218">
                  <c:v>12.765077870115132</c:v>
                </c:pt>
                <c:pt idx="219">
                  <c:v>12.560194134252443</c:v>
                </c:pt>
                <c:pt idx="220">
                  <c:v>12.358185854701912</c:v>
                </c:pt>
                <c:pt idx="221">
                  <c:v>12.159114565142389</c:v>
                </c:pt>
                <c:pt idx="222">
                  <c:v>11.963040904617127</c:v>
                </c:pt>
                <c:pt idx="223">
                  <c:v>11.770024599062525</c:v>
                </c:pt>
                <c:pt idx="224">
                  <c:v>11.580124443115039</c:v>
                </c:pt>
                <c:pt idx="225">
                  <c:v>11.393398282201789</c:v>
                </c:pt>
                <c:pt idx="226">
                  <c:v>11.209902994920236</c:v>
                </c:pt>
                <c:pt idx="227">
                  <c:v>11.029694475712443</c:v>
                </c:pt>
                <c:pt idx="228">
                  <c:v>10.85282761783909</c:v>
                </c:pt>
                <c:pt idx="229">
                  <c:v>10.679356296658424</c:v>
                </c:pt>
                <c:pt idx="230">
                  <c:v>10.509333353215332</c:v>
                </c:pt>
                <c:pt idx="231">
                  <c:v>10.342810578145434</c:v>
                </c:pt>
                <c:pt idx="232">
                  <c:v>10.179838695899168</c:v>
                </c:pt>
                <c:pt idx="233">
                  <c:v>10.020467349290607</c:v>
                </c:pt>
                <c:pt idx="234">
                  <c:v>9.8647450843757891</c:v>
                </c:pt>
                <c:pt idx="235">
                  <c:v>9.7127193356651258</c:v>
                </c:pt>
                <c:pt idx="236">
                  <c:v>9.5644364116743787</c:v>
                </c:pt>
                <c:pt idx="237">
                  <c:v>9.4199414808186397</c:v>
                </c:pt>
                <c:pt idx="238">
                  <c:v>9.2792785576536101</c:v>
                </c:pt>
                <c:pt idx="239">
                  <c:v>9.1424904894683188</c:v>
                </c:pt>
                <c:pt idx="240">
                  <c:v>9.0096189432334235</c:v>
                </c:pt>
                <c:pt idx="241">
                  <c:v>8.8807043929090668</c:v>
                </c:pt>
                <c:pt idx="242">
                  <c:v>8.7557861071160943</c:v>
                </c:pt>
                <c:pt idx="243">
                  <c:v>8.6349021371744836</c:v>
                </c:pt>
                <c:pt idx="244">
                  <c:v>8.5180893055124969</c:v>
                </c:pt>
                <c:pt idx="245">
                  <c:v>8.4053831944502484</c:v>
                </c:pt>
                <c:pt idx="246">
                  <c:v>8.2968181353609847</c:v>
                </c:pt>
                <c:pt idx="247">
                  <c:v>8.1924271982133963</c:v>
                </c:pt>
                <c:pt idx="248">
                  <c:v>8.0922421814981895</c:v>
                </c:pt>
                <c:pt idx="249">
                  <c:v>7.9962936025419751</c:v>
                </c:pt>
                <c:pt idx="250">
                  <c:v>7.9046106882113776</c:v>
                </c:pt>
                <c:pt idx="251">
                  <c:v>7.8172213660102479</c:v>
                </c:pt>
                <c:pt idx="252">
                  <c:v>7.7341522555726971</c:v>
                </c:pt>
                <c:pt idx="253">
                  <c:v>7.6554286605544704</c:v>
                </c:pt>
                <c:pt idx="254">
                  <c:v>7.5810745609252148</c:v>
                </c:pt>
                <c:pt idx="255">
                  <c:v>7.5111126056639748</c:v>
                </c:pt>
                <c:pt idx="256">
                  <c:v>7.4455641058600524</c:v>
                </c:pt>
                <c:pt idx="257">
                  <c:v>7.3844490282214732</c:v>
                </c:pt>
                <c:pt idx="258">
                  <c:v>7.3277859889929164</c:v>
                </c:pt>
                <c:pt idx="259">
                  <c:v>7.2755922482850401</c:v>
                </c:pt>
                <c:pt idx="260">
                  <c:v>7.2278837048168789</c:v>
                </c:pt>
                <c:pt idx="261">
                  <c:v>7.1846748910729357</c:v>
                </c:pt>
                <c:pt idx="262">
                  <c:v>7.145978968876447</c:v>
                </c:pt>
                <c:pt idx="263">
                  <c:v>7.1118077253801708</c:v>
                </c:pt>
                <c:pt idx="264">
                  <c:v>7.0821715694759</c:v>
                </c:pt>
                <c:pt idx="265">
                  <c:v>7.0570795286238166</c:v>
                </c:pt>
                <c:pt idx="266">
                  <c:v>7.0365392461026364</c:v>
                </c:pt>
                <c:pt idx="267">
                  <c:v>7.0205569786813911</c:v>
                </c:pt>
                <c:pt idx="268">
                  <c:v>7.0091375947135628</c:v>
                </c:pt>
                <c:pt idx="269">
                  <c:v>7.0022845726541316</c:v>
                </c:pt>
                <c:pt idx="270">
                  <c:v>7</c:v>
                </c:pt>
                <c:pt idx="271">
                  <c:v>7.0022845726541316</c:v>
                </c:pt>
                <c:pt idx="272">
                  <c:v>7.0091375947135628</c:v>
                </c:pt>
                <c:pt idx="273">
                  <c:v>7.0205569786813911</c:v>
                </c:pt>
                <c:pt idx="274">
                  <c:v>7.0365392461026346</c:v>
                </c:pt>
                <c:pt idx="275">
                  <c:v>7.0570795286238166</c:v>
                </c:pt>
                <c:pt idx="276">
                  <c:v>7.0821715694759</c:v>
                </c:pt>
                <c:pt idx="277">
                  <c:v>7.1118077253801708</c:v>
                </c:pt>
                <c:pt idx="278">
                  <c:v>7.1459789688764452</c:v>
                </c:pt>
                <c:pt idx="279">
                  <c:v>7.1846748910729339</c:v>
                </c:pt>
                <c:pt idx="280">
                  <c:v>7.2278837048168789</c:v>
                </c:pt>
                <c:pt idx="281">
                  <c:v>7.2755922482850384</c:v>
                </c:pt>
                <c:pt idx="282">
                  <c:v>7.3277859889929164</c:v>
                </c:pt>
                <c:pt idx="283">
                  <c:v>7.3844490282214714</c:v>
                </c:pt>
                <c:pt idx="284">
                  <c:v>7.4455641058600506</c:v>
                </c:pt>
                <c:pt idx="285">
                  <c:v>7.511112605663973</c:v>
                </c:pt>
                <c:pt idx="286">
                  <c:v>7.5810745609252148</c:v>
                </c:pt>
                <c:pt idx="287">
                  <c:v>7.6554286605544686</c:v>
                </c:pt>
                <c:pt idx="288">
                  <c:v>7.7341522555726954</c:v>
                </c:pt>
                <c:pt idx="289">
                  <c:v>7.8172213660102461</c:v>
                </c:pt>
                <c:pt idx="290">
                  <c:v>7.9046106882113758</c:v>
                </c:pt>
                <c:pt idx="291">
                  <c:v>7.9962936025419733</c:v>
                </c:pt>
                <c:pt idx="292">
                  <c:v>8.0922421814981895</c:v>
                </c:pt>
                <c:pt idx="293">
                  <c:v>8.1924271982133927</c:v>
                </c:pt>
                <c:pt idx="294">
                  <c:v>8.2968181353609829</c:v>
                </c:pt>
                <c:pt idx="295">
                  <c:v>8.4053831944502466</c:v>
                </c:pt>
                <c:pt idx="296">
                  <c:v>8.5180893055124951</c:v>
                </c:pt>
                <c:pt idx="297">
                  <c:v>8.6349021371744819</c:v>
                </c:pt>
                <c:pt idx="298">
                  <c:v>8.7557861071160943</c:v>
                </c:pt>
                <c:pt idx="299">
                  <c:v>8.880704392909065</c:v>
                </c:pt>
                <c:pt idx="300">
                  <c:v>9.0096189432334217</c:v>
                </c:pt>
                <c:pt idx="301">
                  <c:v>9.1424904894683152</c:v>
                </c:pt>
                <c:pt idx="302">
                  <c:v>9.2792785576536065</c:v>
                </c:pt>
                <c:pt idx="303">
                  <c:v>9.4199414808186361</c:v>
                </c:pt>
                <c:pt idx="304">
                  <c:v>9.5644364116743752</c:v>
                </c:pt>
                <c:pt idx="305">
                  <c:v>9.7127193356651222</c:v>
                </c:pt>
                <c:pt idx="306">
                  <c:v>9.8647450843757873</c:v>
                </c:pt>
                <c:pt idx="307">
                  <c:v>10.020467349290604</c:v>
                </c:pt>
                <c:pt idx="308">
                  <c:v>10.179838695899164</c:v>
                </c:pt>
                <c:pt idx="309">
                  <c:v>10.34281057814543</c:v>
                </c:pt>
                <c:pt idx="310">
                  <c:v>10.509333353215329</c:v>
                </c:pt>
                <c:pt idx="311">
                  <c:v>10.679356296658417</c:v>
                </c:pt>
                <c:pt idx="312">
                  <c:v>10.85282761783909</c:v>
                </c:pt>
                <c:pt idx="313">
                  <c:v>11.029694475712445</c:v>
                </c:pt>
                <c:pt idx="314">
                  <c:v>11.209902994920233</c:v>
                </c:pt>
                <c:pt idx="315">
                  <c:v>11.393398282201785</c:v>
                </c:pt>
                <c:pt idx="316">
                  <c:v>11.580124443115036</c:v>
                </c:pt>
                <c:pt idx="317">
                  <c:v>11.770024599062516</c:v>
                </c:pt>
                <c:pt idx="318">
                  <c:v>11.963040904617118</c:v>
                </c:pt>
                <c:pt idx="319">
                  <c:v>12.159114565142389</c:v>
                </c:pt>
                <c:pt idx="320">
                  <c:v>12.358185854701906</c:v>
                </c:pt>
                <c:pt idx="321">
                  <c:v>12.560194134252443</c:v>
                </c:pt>
                <c:pt idx="322">
                  <c:v>12.765077870115128</c:v>
                </c:pt>
                <c:pt idx="323">
                  <c:v>12.972774652719275</c:v>
                </c:pt>
                <c:pt idx="324">
                  <c:v>13.1832212156129</c:v>
                </c:pt>
                <c:pt idx="325">
                  <c:v>13.396353454734303</c:v>
                </c:pt>
                <c:pt idx="326">
                  <c:v>13.612106447938789</c:v>
                </c:pt>
                <c:pt idx="327">
                  <c:v>13.830414474774596</c:v>
                </c:pt>
                <c:pt idx="328">
                  <c:v>14.051211036501925</c:v>
                </c:pt>
                <c:pt idx="329">
                  <c:v>14.274428876349184</c:v>
                </c:pt>
                <c:pt idx="330">
                  <c:v>14.499999999999993</c:v>
                </c:pt>
                <c:pt idx="331">
                  <c:v>14.727855696304935</c:v>
                </c:pt>
                <c:pt idx="332">
                  <c:v>14.957926558211639</c:v>
                </c:pt>
                <c:pt idx="333">
                  <c:v>15.190142503906795</c:v>
                </c:pt>
                <c:pt idx="334">
                  <c:v>15.424432798163833</c:v>
                </c:pt>
                <c:pt idx="335">
                  <c:v>15.660726073889512</c:v>
                </c:pt>
                <c:pt idx="336">
                  <c:v>15.898950353862997</c:v>
                </c:pt>
                <c:pt idx="337">
                  <c:v>16.139033072660894</c:v>
                </c:pt>
                <c:pt idx="338">
                  <c:v>16.380901098761314</c:v>
                </c:pt>
                <c:pt idx="339">
                  <c:v>16.624480756820489</c:v>
                </c:pt>
                <c:pt idx="340">
                  <c:v>16.86969785011496</c:v>
                </c:pt>
                <c:pt idx="341">
                  <c:v>17.116477683142648</c:v>
                </c:pt>
                <c:pt idx="342">
                  <c:v>17.364745084375784</c:v>
                </c:pt>
                <c:pt idx="343">
                  <c:v>17.614424429158944</c:v>
                </c:pt>
                <c:pt idx="344">
                  <c:v>17.865439662745015</c:v>
                </c:pt>
                <c:pt idx="345">
                  <c:v>18.117714323462188</c:v>
                </c:pt>
                <c:pt idx="346">
                  <c:v>18.371171566004982</c:v>
                </c:pt>
                <c:pt idx="347">
                  <c:v>18.62573418484202</c:v>
                </c:pt>
                <c:pt idx="348">
                  <c:v>18.881324637733602</c:v>
                </c:pt>
                <c:pt idx="349">
                  <c:v>19.137865069351829</c:v>
                </c:pt>
                <c:pt idx="350">
                  <c:v>19.395277334996045</c:v>
                </c:pt>
                <c:pt idx="351">
                  <c:v>19.653483024396532</c:v>
                </c:pt>
                <c:pt idx="352">
                  <c:v>19.912403485599011</c:v>
                </c:pt>
                <c:pt idx="353">
                  <c:v>20.171959848922778</c:v>
                </c:pt>
                <c:pt idx="354">
                  <c:v>20.432073050985185</c:v>
                </c:pt>
                <c:pt idx="355">
                  <c:v>20.692663858785124</c:v>
                </c:pt>
                <c:pt idx="356">
                  <c:v>20.953652893838115</c:v>
                </c:pt>
                <c:pt idx="357">
                  <c:v>21.214960656355849</c:v>
                </c:pt>
                <c:pt idx="358">
                  <c:v>21.476507549462486</c:v>
                </c:pt>
                <c:pt idx="359">
                  <c:v>21.738213903440748</c:v>
                </c:pt>
                <c:pt idx="360">
                  <c:v>21.999999999999996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16-4609-8DF6-0C1692C7E527}"/>
            </c:ext>
          </c:extLst>
        </c:ser>
        <c:ser>
          <c:idx val="1"/>
          <c:order val="1"/>
          <c:tx>
            <c:v>转向线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试加重示意图!$D$10010:$D$10055</c:f>
              <c:numCache>
                <c:formatCode>General</c:formatCode>
                <c:ptCount val="46"/>
                <c:pt idx="0">
                  <c:v>30.874983496554687</c:v>
                </c:pt>
                <c:pt idx="1">
                  <c:v>30.541469504591809</c:v>
                </c:pt>
                <c:pt idx="2">
                  <c:v>30.205353698274749</c:v>
                </c:pt>
                <c:pt idx="3">
                  <c:v>29.866738461734155</c:v>
                </c:pt>
                <c:pt idx="4">
                  <c:v>29.525726940451303</c:v>
                </c:pt>
                <c:pt idx="5">
                  <c:v>29.182423009839045</c:v>
                </c:pt>
                <c:pt idx="6">
                  <c:v>28.83693124360029</c:v>
                </c:pt>
                <c:pt idx="7">
                  <c:v>28.489356881873896</c:v>
                </c:pt>
                <c:pt idx="8">
                  <c:v>28.139805799177473</c:v>
                </c:pt>
                <c:pt idx="9">
                  <c:v>27.788384472156981</c:v>
                </c:pt>
                <c:pt idx="10">
                  <c:v>27.435199947152935</c:v>
                </c:pt>
                <c:pt idx="11">
                  <c:v>27.08035980759302</c:v>
                </c:pt>
                <c:pt idx="12">
                  <c:v>26.723972141221168</c:v>
                </c:pt>
                <c:pt idx="13">
                  <c:v>26.366145507172945</c:v>
                </c:pt>
                <c:pt idx="14">
                  <c:v>26.006988902907445</c:v>
                </c:pt>
                <c:pt idx="15">
                  <c:v>25.646611731005539</c:v>
                </c:pt>
                <c:pt idx="16">
                  <c:v>25.285123765844851</c:v>
                </c:pt>
                <c:pt idx="17">
                  <c:v>24.922635120161374</c:v>
                </c:pt>
                <c:pt idx="18">
                  <c:v>24.559256211508096</c:v>
                </c:pt>
                <c:pt idx="19">
                  <c:v>24.195097728620723</c:v>
                </c:pt>
                <c:pt idx="20">
                  <c:v>23.830270597700824</c:v>
                </c:pt>
                <c:pt idx="21">
                  <c:v>23.46488594862663</c:v>
                </c:pt>
                <c:pt idx="22">
                  <c:v>23.099055081101824</c:v>
                </c:pt>
                <c:pt idx="23">
                  <c:v>22.732889430752522</c:v>
                </c:pt>
                <c:pt idx="24">
                  <c:v>22.366500535182954</c:v>
                </c:pt>
                <c:pt idx="25">
                  <c:v>22</c:v>
                </c:pt>
                <c:pt idx="26">
                  <c:v>21.633499464817046</c:v>
                </c:pt>
                <c:pt idx="27">
                  <c:v>21.267110569247485</c:v>
                </c:pt>
                <c:pt idx="28">
                  <c:v>20.90094491889818</c:v>
                </c:pt>
                <c:pt idx="29">
                  <c:v>20.53511405137337</c:v>
                </c:pt>
                <c:pt idx="30">
                  <c:v>20.169729402299176</c:v>
                </c:pt>
                <c:pt idx="31">
                  <c:v>19.80490227137928</c:v>
                </c:pt>
                <c:pt idx="32">
                  <c:v>19.440743788491904</c:v>
                </c:pt>
                <c:pt idx="33">
                  <c:v>19.077364879838633</c:v>
                </c:pt>
                <c:pt idx="34">
                  <c:v>18.714876234155149</c:v>
                </c:pt>
                <c:pt idx="35">
                  <c:v>18.353388268994465</c:v>
                </c:pt>
                <c:pt idx="36">
                  <c:v>17.993011097092559</c:v>
                </c:pt>
                <c:pt idx="37">
                  <c:v>17.633854492827059</c:v>
                </c:pt>
                <c:pt idx="38">
                  <c:v>17.276027858778839</c:v>
                </c:pt>
                <c:pt idx="39">
                  <c:v>16.91964019240698</c:v>
                </c:pt>
                <c:pt idx="40">
                  <c:v>16.564800052847062</c:v>
                </c:pt>
                <c:pt idx="41">
                  <c:v>16.211615527843019</c:v>
                </c:pt>
                <c:pt idx="42">
                  <c:v>15.86019420082253</c:v>
                </c:pt>
                <c:pt idx="43">
                  <c:v>15.510643118126106</c:v>
                </c:pt>
                <c:pt idx="44">
                  <c:v>15.163068756399715</c:v>
                </c:pt>
                <c:pt idx="45">
                  <c:v>14.817576990160958</c:v>
                </c:pt>
              </c:numCache>
            </c:numRef>
          </c:xVal>
          <c:yVal>
            <c:numRef>
              <c:f>试加重示意图!$E$10010:$E$10055</c:f>
              <c:numCache>
                <c:formatCode>General</c:formatCode>
                <c:ptCount val="46"/>
                <c:pt idx="0">
                  <c:v>41.03246352776965</c:v>
                </c:pt>
                <c:pt idx="1">
                  <c:v>41.184454610494619</c:v>
                </c:pt>
                <c:pt idx="2">
                  <c:v>41.330601922501245</c:v>
                </c:pt>
                <c:pt idx="3">
                  <c:v>41.47086094590253</c:v>
                </c:pt>
                <c:pt idx="4">
                  <c:v>41.605188956441239</c:v>
                </c:pt>
                <c:pt idx="5">
                  <c:v>41.733545036504069</c:v>
                </c:pt>
                <c:pt idx="6">
                  <c:v>41.855890087585649</c:v>
                </c:pt>
                <c:pt idx="7">
                  <c:v>41.972186842198226</c:v>
                </c:pt>
                <c:pt idx="8">
                  <c:v>42.082399875223743</c:v>
                </c:pt>
                <c:pt idx="9">
                  <c:v>42.186495614704697</c:v>
                </c:pt>
                <c:pt idx="10">
                  <c:v>42.284442352070435</c:v>
                </c:pt>
                <c:pt idx="11">
                  <c:v>42.376210251795925</c:v>
                </c:pt>
                <c:pt idx="12">
                  <c:v>42.461771360489934</c:v>
                </c:pt>
                <c:pt idx="13">
                  <c:v>42.541099615409919</c:v>
                </c:pt>
                <c:pt idx="14">
                  <c:v>42.614170852400946</c:v>
                </c:pt>
                <c:pt idx="15">
                  <c:v>42.680962813256372</c:v>
                </c:pt>
                <c:pt idx="16">
                  <c:v>42.741455152497892</c:v>
                </c:pt>
                <c:pt idx="17">
                  <c:v>42.795629443572977</c:v>
                </c:pt>
                <c:pt idx="18">
                  <c:v>42.843469184467764</c:v>
                </c:pt>
                <c:pt idx="19">
                  <c:v>42.884959802733739</c:v>
                </c:pt>
                <c:pt idx="20">
                  <c:v>42.920088659926655</c:v>
                </c:pt>
                <c:pt idx="21">
                  <c:v>42.948845055456303</c:v>
                </c:pt>
                <c:pt idx="22">
                  <c:v>42.971220229846054</c:v>
                </c:pt>
                <c:pt idx="23">
                  <c:v>42.987207367401012</c:v>
                </c:pt>
                <c:pt idx="24">
                  <c:v>42.996801598284215</c:v>
                </c:pt>
                <c:pt idx="25">
                  <c:v>43</c:v>
                </c:pt>
                <c:pt idx="26">
                  <c:v>42.996801598284215</c:v>
                </c:pt>
                <c:pt idx="27">
                  <c:v>42.987207367401012</c:v>
                </c:pt>
                <c:pt idx="28">
                  <c:v>42.971220229846054</c:v>
                </c:pt>
                <c:pt idx="29">
                  <c:v>42.948845055456303</c:v>
                </c:pt>
                <c:pt idx="30">
                  <c:v>42.920088659926655</c:v>
                </c:pt>
                <c:pt idx="31">
                  <c:v>42.884959802733746</c:v>
                </c:pt>
                <c:pt idx="32">
                  <c:v>42.843469184467764</c:v>
                </c:pt>
                <c:pt idx="33">
                  <c:v>42.795629443572977</c:v>
                </c:pt>
                <c:pt idx="34">
                  <c:v>42.741455152497892</c:v>
                </c:pt>
                <c:pt idx="35">
                  <c:v>42.680962813256372</c:v>
                </c:pt>
                <c:pt idx="36">
                  <c:v>42.614170852400946</c:v>
                </c:pt>
                <c:pt idx="37">
                  <c:v>42.541099615409919</c:v>
                </c:pt>
                <c:pt idx="38">
                  <c:v>42.461771360489934</c:v>
                </c:pt>
                <c:pt idx="39">
                  <c:v>42.376210251795925</c:v>
                </c:pt>
                <c:pt idx="40">
                  <c:v>42.284442352070435</c:v>
                </c:pt>
                <c:pt idx="41">
                  <c:v>42.186495614704697</c:v>
                </c:pt>
                <c:pt idx="42">
                  <c:v>42.082399875223743</c:v>
                </c:pt>
                <c:pt idx="43">
                  <c:v>41.972186842198226</c:v>
                </c:pt>
                <c:pt idx="44">
                  <c:v>41.855890087585649</c:v>
                </c:pt>
                <c:pt idx="45">
                  <c:v>41.733545036504076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16-4609-8DF6-0C1692C7E527}"/>
            </c:ext>
          </c:extLst>
        </c:ser>
        <c:ser>
          <c:idx val="2"/>
          <c:order val="2"/>
          <c:tx>
            <c:strRef>
              <c:f>试加重示意图!$R$10014</c:f>
              <c:strCache>
                <c:ptCount val="1"/>
                <c:pt idx="0">
                  <c:v>1500rpm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216-4609-8DF6-0C1692C7E52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216-4609-8DF6-0C1692C7E5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试加重示意图!$D$10057:$D$10059</c:f>
              <c:numCache>
                <c:formatCode>General</c:formatCode>
                <c:ptCount val="3"/>
                <c:pt idx="0">
                  <c:v>15.391153426512005</c:v>
                </c:pt>
                <c:pt idx="1">
                  <c:v>14.817576990160958</c:v>
                </c:pt>
                <c:pt idx="2">
                  <c:v>15.723884777197608</c:v>
                </c:pt>
              </c:numCache>
            </c:numRef>
          </c:xVal>
          <c:yVal>
            <c:numRef>
              <c:f>试加重示意图!$E$10057:$E$10059</c:f>
              <c:numCache>
                <c:formatCode>General</c:formatCode>
                <c:ptCount val="3"/>
                <c:pt idx="0">
                  <c:v>42.552697080793067</c:v>
                </c:pt>
                <c:pt idx="1">
                  <c:v>41.733545036504076</c:v>
                </c:pt>
                <c:pt idx="2">
                  <c:v>41.310926774763374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16-4609-8DF6-0C1692C7E527}"/>
            </c:ext>
          </c:extLst>
        </c:ser>
        <c:ser>
          <c:idx val="3"/>
          <c:order val="3"/>
          <c:tx>
            <c:v>圆心</c:v>
          </c:tx>
          <c:marker>
            <c:symbol val="circle"/>
            <c:size val="5"/>
            <c:spPr>
              <a:solidFill>
                <a:srgbClr val="FF0000"/>
              </a:solidFill>
            </c:spPr>
          </c:marker>
          <c:xVal>
            <c:numRef>
              <c:f>试加重示意图!$D$10061</c:f>
              <c:numCache>
                <c:formatCode>General</c:formatCode>
                <c:ptCount val="1"/>
                <c:pt idx="0">
                  <c:v>22</c:v>
                </c:pt>
              </c:numCache>
            </c:numRef>
          </c:xVal>
          <c:yVal>
            <c:numRef>
              <c:f>试加重示意图!$E$10061</c:f>
              <c:numCache>
                <c:formatCode>General</c:formatCode>
                <c:ptCount val="1"/>
                <c:pt idx="0">
                  <c:v>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216-4609-8DF6-0C1692C7E527}"/>
            </c:ext>
          </c:extLst>
        </c:ser>
        <c:ser>
          <c:idx val="4"/>
          <c:order val="4"/>
          <c:tx>
            <c:v>键相</c:v>
          </c:tx>
          <c:spPr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216-4609-8DF6-0C1692C7E527}"/>
                </c:ext>
              </c:extLst>
            </c:dLbl>
            <c:dLbl>
              <c:idx val="1"/>
              <c:spPr>
                <a:noFill/>
              </c:spPr>
              <c:txPr>
                <a:bodyPr anchor="b" anchorCtr="1"/>
                <a:lstStyle/>
                <a:p>
                  <a:pPr>
                    <a:defRPr sz="1200" b="1"/>
                  </a:pPr>
                  <a:endParaRPr lang="zh-CN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A216-4609-8DF6-0C1692C7E527}"/>
                </c:ext>
              </c:extLst>
            </c:dLbl>
            <c:spPr>
              <a:noFill/>
            </c:spPr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试加重示意图!$D$10066:$D$10067</c:f>
              <c:numCache>
                <c:formatCode>General</c:formatCode>
                <c:ptCount val="2"/>
                <c:pt idx="0">
                  <c:v>41.5</c:v>
                </c:pt>
                <c:pt idx="1">
                  <c:v>43.5</c:v>
                </c:pt>
              </c:numCache>
            </c:numRef>
          </c:xVal>
          <c:yVal>
            <c:numRef>
              <c:f>试加重示意图!$E$10066:$E$10067</c:f>
              <c:numCache>
                <c:formatCode>General</c:formatCode>
                <c:ptCount val="2"/>
                <c:pt idx="0">
                  <c:v>22</c:v>
                </c:pt>
                <c:pt idx="1">
                  <c:v>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216-4609-8DF6-0C1692C7E527}"/>
            </c:ext>
          </c:extLst>
        </c:ser>
        <c:ser>
          <c:idx val="5"/>
          <c:order val="5"/>
          <c:tx>
            <c:v>键相宽</c:v>
          </c:tx>
          <c:spPr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试加重示意图!$D$10068:$D$10070</c:f>
              <c:numCache>
                <c:formatCode>General</c:formatCode>
                <c:ptCount val="3"/>
                <c:pt idx="0">
                  <c:v>41.5</c:v>
                </c:pt>
                <c:pt idx="1">
                  <c:v>41.5</c:v>
                </c:pt>
                <c:pt idx="2">
                  <c:v>41.5</c:v>
                </c:pt>
              </c:numCache>
            </c:numRef>
          </c:xVal>
          <c:yVal>
            <c:numRef>
              <c:f>试加重示意图!$E$10068:$E$10070</c:f>
              <c:numCache>
                <c:formatCode>General</c:formatCode>
                <c:ptCount val="3"/>
                <c:pt idx="0">
                  <c:v>21</c:v>
                </c:pt>
                <c:pt idx="1">
                  <c:v>22</c:v>
                </c:pt>
                <c:pt idx="2">
                  <c:v>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216-4609-8DF6-0C1692C7E527}"/>
            </c:ext>
          </c:extLst>
        </c:ser>
        <c:ser>
          <c:idx val="6"/>
          <c:order val="6"/>
          <c:tx>
            <c:strRef>
              <c:f>试加重示意图!$L$10015</c:f>
              <c:strCache>
                <c:ptCount val="1"/>
                <c:pt idx="0">
                  <c:v>X向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216-4609-8DF6-0C1692C7E527}"/>
                </c:ext>
              </c:extLst>
            </c:dLbl>
            <c:spPr>
              <a:scene3d>
                <a:camera prst="orthographicFront"/>
                <a:lightRig rig="threePt" dir="t"/>
              </a:scene3d>
              <a:sp3d>
                <a:bevelT prst="relaxedInset"/>
              </a:sp3d>
            </c:spPr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试加重示意图!$D$10075:$D$10076</c:f>
              <c:numCache>
                <c:formatCode>General</c:formatCode>
                <c:ptCount val="2"/>
                <c:pt idx="0">
                  <c:v>41.5</c:v>
                </c:pt>
                <c:pt idx="1">
                  <c:v>43.5</c:v>
                </c:pt>
              </c:numCache>
            </c:numRef>
          </c:xVal>
          <c:yVal>
            <c:numRef>
              <c:f>试加重示意图!$E$10075:$E$10076</c:f>
              <c:numCache>
                <c:formatCode>General</c:formatCode>
                <c:ptCount val="2"/>
                <c:pt idx="0">
                  <c:v>22</c:v>
                </c:pt>
                <c:pt idx="1">
                  <c:v>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216-4609-8DF6-0C1692C7E527}"/>
            </c:ext>
          </c:extLst>
        </c:ser>
        <c:ser>
          <c:idx val="7"/>
          <c:order val="7"/>
          <c:tx>
            <c:v>X向宽</c:v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试加重示意图!$D$10077:$D$10079</c:f>
              <c:numCache>
                <c:formatCode>General</c:formatCode>
                <c:ptCount val="3"/>
                <c:pt idx="0">
                  <c:v>41.5</c:v>
                </c:pt>
                <c:pt idx="1">
                  <c:v>41.5</c:v>
                </c:pt>
                <c:pt idx="2">
                  <c:v>41.5</c:v>
                </c:pt>
              </c:numCache>
            </c:numRef>
          </c:xVal>
          <c:yVal>
            <c:numRef>
              <c:f>试加重示意图!$E$10077:$E$10079</c:f>
              <c:numCache>
                <c:formatCode>General</c:formatCode>
                <c:ptCount val="3"/>
                <c:pt idx="0">
                  <c:v>21</c:v>
                </c:pt>
                <c:pt idx="1">
                  <c:v>22</c:v>
                </c:pt>
                <c:pt idx="2">
                  <c:v>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216-4609-8DF6-0C1692C7E527}"/>
            </c:ext>
          </c:extLst>
        </c:ser>
        <c:ser>
          <c:idx val="8"/>
          <c:order val="8"/>
          <c:tx>
            <c:strRef>
              <c:f>试加重示意图!$L$10020</c:f>
              <c:strCache>
                <c:ptCount val="1"/>
                <c:pt idx="0">
                  <c:v>Y向</c:v>
                </c:pt>
              </c:strCache>
            </c:strRef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bg2">
                    <a:lumMod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E-A216-4609-8DF6-0C1692C7E527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216-4609-8DF6-0C1692C7E5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试加重示意图!$D$10084:$D$10085</c:f>
              <c:numCache>
                <c:formatCode>General</c:formatCode>
                <c:ptCount val="2"/>
                <c:pt idx="0">
                  <c:v>22</c:v>
                </c:pt>
                <c:pt idx="1">
                  <c:v>22</c:v>
                </c:pt>
              </c:numCache>
            </c:numRef>
          </c:xVal>
          <c:yVal>
            <c:numRef>
              <c:f>试加重示意图!$E$10084:$E$10085</c:f>
              <c:numCache>
                <c:formatCode>General</c:formatCode>
                <c:ptCount val="2"/>
                <c:pt idx="0">
                  <c:v>41.5</c:v>
                </c:pt>
                <c:pt idx="1">
                  <c:v>43.5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216-4609-8DF6-0C1692C7E527}"/>
            </c:ext>
          </c:extLst>
        </c:ser>
        <c:ser>
          <c:idx val="9"/>
          <c:order val="9"/>
          <c:tx>
            <c:v>Y向宽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试加重示意图!$D$10086:$D$10088</c:f>
              <c:numCache>
                <c:formatCode>General</c:formatCode>
                <c:ptCount val="3"/>
                <c:pt idx="0">
                  <c:v>23</c:v>
                </c:pt>
                <c:pt idx="1">
                  <c:v>22</c:v>
                </c:pt>
                <c:pt idx="2">
                  <c:v>21</c:v>
                </c:pt>
              </c:numCache>
            </c:numRef>
          </c:xVal>
          <c:yVal>
            <c:numRef>
              <c:f>试加重示意图!$E$10086:$E$10088</c:f>
              <c:numCache>
                <c:formatCode>General</c:formatCode>
                <c:ptCount val="3"/>
                <c:pt idx="0">
                  <c:v>41.5</c:v>
                </c:pt>
                <c:pt idx="1">
                  <c:v>41.5</c:v>
                </c:pt>
                <c:pt idx="2">
                  <c:v>41.5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A216-4609-8DF6-0C1692C7E527}"/>
            </c:ext>
          </c:extLst>
        </c:ser>
        <c:ser>
          <c:idx val="10"/>
          <c:order val="10"/>
          <c:tx>
            <c:v>Ax矢量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试加重示意图!$D$10093:$D$10094</c:f>
              <c:numCache>
                <c:formatCode>General</c:formatCode>
                <c:ptCount val="2"/>
                <c:pt idx="0">
                  <c:v>22</c:v>
                </c:pt>
                <c:pt idx="1">
                  <c:v>36.986842451482872</c:v>
                </c:pt>
              </c:numCache>
            </c:numRef>
          </c:xVal>
          <c:yVal>
            <c:numRef>
              <c:f>试加重示意图!$E$10093:$E$10094</c:f>
              <c:numCache>
                <c:formatCode>General</c:formatCode>
                <c:ptCount val="2"/>
                <c:pt idx="0">
                  <c:v>22</c:v>
                </c:pt>
                <c:pt idx="1">
                  <c:v>21.371865194062007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A216-4609-8DF6-0C1692C7E527}"/>
            </c:ext>
          </c:extLst>
        </c:ser>
        <c:ser>
          <c:idx val="11"/>
          <c:order val="11"/>
          <c:tx>
            <c:v>Ax矢量箭头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试加重示意图!$D$10095:$D$10097</c:f>
              <c:numCache>
                <c:formatCode>General</c:formatCode>
                <c:ptCount val="3"/>
                <c:pt idx="0">
                  <c:v>36.30996648180021</c:v>
                </c:pt>
                <c:pt idx="1">
                  <c:v>36.986842451482872</c:v>
                </c:pt>
                <c:pt idx="2">
                  <c:v>36.250745364363141</c:v>
                </c:pt>
              </c:numCache>
            </c:numRef>
          </c:xVal>
          <c:yVal>
            <c:numRef>
              <c:f>试加重示意图!$E$10095:$E$10097</c:f>
              <c:numCache>
                <c:formatCode>General</c:formatCode>
                <c:ptCount val="3"/>
                <c:pt idx="0">
                  <c:v>22.107962281181742</c:v>
                </c:pt>
                <c:pt idx="1">
                  <c:v>21.371865194062007</c:v>
                </c:pt>
                <c:pt idx="2">
                  <c:v>20.694989224379345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216-4609-8DF6-0C1692C7E527}"/>
            </c:ext>
          </c:extLst>
        </c:ser>
        <c:ser>
          <c:idx val="12"/>
          <c:order val="12"/>
          <c:tx>
            <c:v>Px矢量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试加重示意图!$D$10099:$D$10100</c:f>
              <c:numCache>
                <c:formatCode>General</c:formatCode>
                <c:ptCount val="2"/>
                <c:pt idx="0">
                  <c:v>22</c:v>
                </c:pt>
                <c:pt idx="1">
                  <c:v>36.986842451482872</c:v>
                </c:pt>
              </c:numCache>
            </c:numRef>
          </c:xVal>
          <c:yVal>
            <c:numRef>
              <c:f>试加重示意图!$E$10099:$E$10100</c:f>
              <c:numCache>
                <c:formatCode>General</c:formatCode>
                <c:ptCount val="2"/>
                <c:pt idx="0">
                  <c:v>22</c:v>
                </c:pt>
                <c:pt idx="1">
                  <c:v>21.371865194062007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A216-4609-8DF6-0C1692C7E527}"/>
            </c:ext>
          </c:extLst>
        </c:ser>
        <c:ser>
          <c:idx val="13"/>
          <c:order val="13"/>
          <c:tx>
            <c:v>Px矢量箭头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试加重示意图!$D$10101:$D$10103</c:f>
              <c:numCache>
                <c:formatCode>General</c:formatCode>
                <c:ptCount val="3"/>
                <c:pt idx="0">
                  <c:v>36.30996648180021</c:v>
                </c:pt>
                <c:pt idx="1">
                  <c:v>36.986842451482872</c:v>
                </c:pt>
                <c:pt idx="2">
                  <c:v>36.250745364363141</c:v>
                </c:pt>
              </c:numCache>
            </c:numRef>
          </c:xVal>
          <c:yVal>
            <c:numRef>
              <c:f>试加重示意图!$E$10101:$E$10103</c:f>
              <c:numCache>
                <c:formatCode>General</c:formatCode>
                <c:ptCount val="3"/>
                <c:pt idx="0">
                  <c:v>22.107962281181742</c:v>
                </c:pt>
                <c:pt idx="1">
                  <c:v>21.371865194062007</c:v>
                </c:pt>
                <c:pt idx="2">
                  <c:v>20.694989224379345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216-4609-8DF6-0C1692C7E527}"/>
            </c:ext>
          </c:extLst>
        </c:ser>
        <c:ser>
          <c:idx val="14"/>
          <c:order val="14"/>
          <c:tx>
            <c:v>基线</c:v>
          </c:tx>
          <c:spPr>
            <a:ln w="6350">
              <a:prstDash val="sysDash"/>
            </a:ln>
          </c:spPr>
          <c:marker>
            <c:symbol val="none"/>
          </c:marker>
          <c:xVal>
            <c:numRef>
              <c:f>试加重示意图!$D$10090:$D$10091</c:f>
              <c:numCache>
                <c:formatCode>General</c:formatCode>
                <c:ptCount val="2"/>
                <c:pt idx="0">
                  <c:v>22</c:v>
                </c:pt>
                <c:pt idx="1">
                  <c:v>37</c:v>
                </c:pt>
              </c:numCache>
            </c:numRef>
          </c:xVal>
          <c:yVal>
            <c:numRef>
              <c:f>试加重示意图!$E$10090:$E$10091</c:f>
              <c:numCache>
                <c:formatCode>General</c:formatCode>
                <c:ptCount val="2"/>
                <c:pt idx="0">
                  <c:v>22</c:v>
                </c:pt>
                <c:pt idx="1">
                  <c:v>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A216-4609-8DF6-0C1692C7E527}"/>
            </c:ext>
          </c:extLst>
        </c:ser>
        <c:ser>
          <c:idx val="15"/>
          <c:order val="15"/>
          <c:tx>
            <c:strRef>
              <c:f>试加重示意图!$L$10017</c:f>
              <c:strCache>
                <c:ptCount val="1"/>
                <c:pt idx="0">
                  <c:v>Ax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试加重示意图!$D$10098</c:f>
              <c:numCache>
                <c:formatCode>General</c:formatCode>
                <c:ptCount val="1"/>
                <c:pt idx="0">
                  <c:v>39.234868819205303</c:v>
                </c:pt>
              </c:numCache>
            </c:numRef>
          </c:xVal>
          <c:yVal>
            <c:numRef>
              <c:f>试加重示意图!$E$10098</c:f>
              <c:numCache>
                <c:formatCode>General</c:formatCode>
                <c:ptCount val="1"/>
                <c:pt idx="0">
                  <c:v>21.277644973171306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A216-4609-8DF6-0C1692C7E527}"/>
            </c:ext>
          </c:extLst>
        </c:ser>
        <c:ser>
          <c:idx val="16"/>
          <c:order val="16"/>
          <c:tx>
            <c:strRef>
              <c:f>试加重示意图!$L$10016</c:f>
              <c:strCache>
                <c:ptCount val="1"/>
                <c:pt idx="0">
                  <c:v>Px</c:v>
                </c:pt>
              </c:strCache>
            </c:strRef>
          </c:tx>
          <c:marker>
            <c:symbol val="none"/>
          </c:marker>
          <c:dLbls>
            <c:numFmt formatCode="#,##0_);\(#,##0\)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试加重示意图!$D$10104</c:f>
              <c:numCache>
                <c:formatCode>General</c:formatCode>
                <c:ptCount val="1"/>
                <c:pt idx="0">
                  <c:v>39.234868819205303</c:v>
                </c:pt>
              </c:numCache>
            </c:numRef>
          </c:xVal>
          <c:yVal>
            <c:numRef>
              <c:f>试加重示意图!$E$10104</c:f>
              <c:numCache>
                <c:formatCode>General</c:formatCode>
                <c:ptCount val="1"/>
                <c:pt idx="0">
                  <c:v>21.277644973171306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A216-4609-8DF6-0C1692C7E527}"/>
            </c:ext>
          </c:extLst>
        </c:ser>
        <c:ser>
          <c:idx val="17"/>
          <c:order val="17"/>
          <c:tx>
            <c:v>Px夹角</c:v>
          </c:tx>
          <c:spPr>
            <a:ln w="19050">
              <a:prstDash val="sysDash"/>
            </a:ln>
          </c:spPr>
          <c:marker>
            <c:symbol val="none"/>
          </c:marker>
          <c:xVal>
            <c:numRef>
              <c:f>试加重示意图!$G$10004:$G$10204</c:f>
              <c:numCache>
                <c:formatCode>General</c:formatCode>
                <c:ptCount val="201"/>
                <c:pt idx="0">
                  <c:v>24.25</c:v>
                </c:pt>
                <c:pt idx="1">
                  <c:v>24.249999950651979</c:v>
                </c:pt>
                <c:pt idx="2">
                  <c:v>24.249999802607913</c:v>
                </c:pt>
                <c:pt idx="3">
                  <c:v>24.249999555867817</c:v>
                </c:pt>
                <c:pt idx="4">
                  <c:v>24.249999210431696</c:v>
                </c:pt>
                <c:pt idx="5">
                  <c:v>24.249998766299562</c:v>
                </c:pt>
                <c:pt idx="6">
                  <c:v>24.24999822347144</c:v>
                </c:pt>
                <c:pt idx="7">
                  <c:v>24.249997581947355</c:v>
                </c:pt>
                <c:pt idx="8">
                  <c:v>24.249996841727331</c:v>
                </c:pt>
                <c:pt idx="9">
                  <c:v>24.2499960028114</c:v>
                </c:pt>
                <c:pt idx="10">
                  <c:v>24.249995065199602</c:v>
                </c:pt>
                <c:pt idx="11">
                  <c:v>24.24999402889198</c:v>
                </c:pt>
                <c:pt idx="12">
                  <c:v>24.249992893888571</c:v>
                </c:pt>
                <c:pt idx="13">
                  <c:v>24.249991660189433</c:v>
                </c:pt>
                <c:pt idx="14">
                  <c:v>24.249990327794617</c:v>
                </c:pt>
                <c:pt idx="15">
                  <c:v>24.249988896704181</c:v>
                </c:pt>
                <c:pt idx="16">
                  <c:v>24.249987366918187</c:v>
                </c:pt>
                <c:pt idx="17">
                  <c:v>24.249985738436706</c:v>
                </c:pt>
                <c:pt idx="18">
                  <c:v>24.249984011259805</c:v>
                </c:pt>
                <c:pt idx="19">
                  <c:v>24.249982185387566</c:v>
                </c:pt>
                <c:pt idx="20">
                  <c:v>24.24998026082006</c:v>
                </c:pt>
                <c:pt idx="21">
                  <c:v>24.249978237557379</c:v>
                </c:pt>
                <c:pt idx="22">
                  <c:v>24.249976115599605</c:v>
                </c:pt>
                <c:pt idx="23">
                  <c:v>24.249973894946837</c:v>
                </c:pt>
                <c:pt idx="24">
                  <c:v>24.249971575599172</c:v>
                </c:pt>
                <c:pt idx="25">
                  <c:v>24.249969157556709</c:v>
                </c:pt>
                <c:pt idx="26">
                  <c:v>24.249966640819558</c:v>
                </c:pt>
                <c:pt idx="27">
                  <c:v>24.249964025387822</c:v>
                </c:pt>
                <c:pt idx="28">
                  <c:v>24.249961311261625</c:v>
                </c:pt>
                <c:pt idx="29">
                  <c:v>24.249958498441078</c:v>
                </c:pt>
                <c:pt idx="30">
                  <c:v>24.249955586926308</c:v>
                </c:pt>
                <c:pt idx="31">
                  <c:v>24.249952576717444</c:v>
                </c:pt>
                <c:pt idx="32">
                  <c:v>24.249949467814616</c:v>
                </c:pt>
                <c:pt idx="33">
                  <c:v>24.249946260217961</c:v>
                </c:pt>
                <c:pt idx="34">
                  <c:v>24.249942953927619</c:v>
                </c:pt>
                <c:pt idx="35">
                  <c:v>24.249939548943736</c:v>
                </c:pt>
                <c:pt idx="36">
                  <c:v>24.249936045266463</c:v>
                </c:pt>
                <c:pt idx="37">
                  <c:v>24.249932442895947</c:v>
                </c:pt>
                <c:pt idx="38">
                  <c:v>24.249928741832356</c:v>
                </c:pt>
                <c:pt idx="39">
                  <c:v>24.249924942075843</c:v>
                </c:pt>
                <c:pt idx="40">
                  <c:v>24.249921043626582</c:v>
                </c:pt>
                <c:pt idx="41">
                  <c:v>24.24991704648474</c:v>
                </c:pt>
                <c:pt idx="42">
                  <c:v>24.24991295065049</c:v>
                </c:pt>
                <c:pt idx="43">
                  <c:v>24.249908756124018</c:v>
                </c:pt>
                <c:pt idx="44">
                  <c:v>24.249904462905505</c:v>
                </c:pt>
                <c:pt idx="45">
                  <c:v>24.249900070995139</c:v>
                </c:pt>
                <c:pt idx="46">
                  <c:v>24.249895580393108</c:v>
                </c:pt>
                <c:pt idx="47">
                  <c:v>24.249890991099619</c:v>
                </c:pt>
                <c:pt idx="48">
                  <c:v>24.249886303114867</c:v>
                </c:pt>
                <c:pt idx="49">
                  <c:v>24.249881516439057</c:v>
                </c:pt>
                <c:pt idx="50">
                  <c:v>24.249876631072404</c:v>
                </c:pt>
                <c:pt idx="51">
                  <c:v>24.249871647015116</c:v>
                </c:pt>
                <c:pt idx="52">
                  <c:v>24.249866564267414</c:v>
                </c:pt>
                <c:pt idx="53">
                  <c:v>24.249861382829522</c:v>
                </c:pt>
                <c:pt idx="54">
                  <c:v>24.249856102701667</c:v>
                </c:pt>
                <c:pt idx="55">
                  <c:v>24.24985072388408</c:v>
                </c:pt>
                <c:pt idx="56">
                  <c:v>24.249845246376999</c:v>
                </c:pt>
                <c:pt idx="57">
                  <c:v>24.249839670180663</c:v>
                </c:pt>
                <c:pt idx="58">
                  <c:v>24.249833995295315</c:v>
                </c:pt>
                <c:pt idx="59">
                  <c:v>24.249828221721206</c:v>
                </c:pt>
                <c:pt idx="60">
                  <c:v>24.249822349458587</c:v>
                </c:pt>
                <c:pt idx="61">
                  <c:v>24.249816378507717</c:v>
                </c:pt>
                <c:pt idx="62">
                  <c:v>24.249810308868859</c:v>
                </c:pt>
                <c:pt idx="63">
                  <c:v>24.249804140542278</c:v>
                </c:pt>
                <c:pt idx="64">
                  <c:v>24.249797873528244</c:v>
                </c:pt>
                <c:pt idx="65">
                  <c:v>24.24979150782703</c:v>
                </c:pt>
                <c:pt idx="66">
                  <c:v>24.249785043438923</c:v>
                </c:pt>
                <c:pt idx="67">
                  <c:v>24.249778480364199</c:v>
                </c:pt>
                <c:pt idx="68">
                  <c:v>24.249771818603147</c:v>
                </c:pt>
                <c:pt idx="69">
                  <c:v>24.249765058156061</c:v>
                </c:pt>
                <c:pt idx="70">
                  <c:v>24.24975819902324</c:v>
                </c:pt>
                <c:pt idx="71">
                  <c:v>24.249751241204979</c:v>
                </c:pt>
                <c:pt idx="72">
                  <c:v>24.249744184701587</c:v>
                </c:pt>
                <c:pt idx="73">
                  <c:v>24.249737029513373</c:v>
                </c:pt>
                <c:pt idx="74">
                  <c:v>24.249729775640649</c:v>
                </c:pt>
                <c:pt idx="75">
                  <c:v>24.249722423083735</c:v>
                </c:pt>
                <c:pt idx="76">
                  <c:v>24.249714971842955</c:v>
                </c:pt>
                <c:pt idx="77">
                  <c:v>24.249707421918632</c:v>
                </c:pt>
                <c:pt idx="78">
                  <c:v>24.2496997733111</c:v>
                </c:pt>
                <c:pt idx="79">
                  <c:v>24.249692026020696</c:v>
                </c:pt>
                <c:pt idx="80">
                  <c:v>24.249684180047755</c:v>
                </c:pt>
                <c:pt idx="81">
                  <c:v>24.249676235392627</c:v>
                </c:pt>
                <c:pt idx="82">
                  <c:v>24.249668192055655</c:v>
                </c:pt>
                <c:pt idx="83">
                  <c:v>24.249660050037193</c:v>
                </c:pt>
                <c:pt idx="84">
                  <c:v>24.2496518093376</c:v>
                </c:pt>
                <c:pt idx="85">
                  <c:v>24.249643469957235</c:v>
                </c:pt>
                <c:pt idx="86">
                  <c:v>24.249635031896467</c:v>
                </c:pt>
                <c:pt idx="87">
                  <c:v>24.249626495155667</c:v>
                </c:pt>
                <c:pt idx="88">
                  <c:v>24.249617859735203</c:v>
                </c:pt>
                <c:pt idx="89">
                  <c:v>24.249609125635462</c:v>
                </c:pt>
                <c:pt idx="90">
                  <c:v>24.249600292856819</c:v>
                </c:pt>
                <c:pt idx="91">
                  <c:v>24.24959136139967</c:v>
                </c:pt>
                <c:pt idx="92">
                  <c:v>24.249582331264399</c:v>
                </c:pt>
                <c:pt idx="93">
                  <c:v>24.249573202451405</c:v>
                </c:pt>
                <c:pt idx="94">
                  <c:v>24.249563974961092</c:v>
                </c:pt>
                <c:pt idx="95">
                  <c:v>24.249554648793858</c:v>
                </c:pt>
                <c:pt idx="96">
                  <c:v>24.249545223950115</c:v>
                </c:pt>
                <c:pt idx="97">
                  <c:v>24.249535700430279</c:v>
                </c:pt>
                <c:pt idx="98">
                  <c:v>24.249526078234766</c:v>
                </c:pt>
                <c:pt idx="99">
                  <c:v>24.249516357363998</c:v>
                </c:pt>
                <c:pt idx="100">
                  <c:v>24.249506537818402</c:v>
                </c:pt>
                <c:pt idx="101">
                  <c:v>24.249496619598407</c:v>
                </c:pt>
                <c:pt idx="102">
                  <c:v>24.249486602704451</c:v>
                </c:pt>
                <c:pt idx="103">
                  <c:v>24.249476487136967</c:v>
                </c:pt>
                <c:pt idx="104">
                  <c:v>24.249466272896406</c:v>
                </c:pt>
                <c:pt idx="105">
                  <c:v>24.249455959983216</c:v>
                </c:pt>
                <c:pt idx="106">
                  <c:v>24.249445548397841</c:v>
                </c:pt>
                <c:pt idx="107">
                  <c:v>24.249435038140746</c:v>
                </c:pt>
                <c:pt idx="108">
                  <c:v>24.249424429212389</c:v>
                </c:pt>
                <c:pt idx="109">
                  <c:v>24.249413721613237</c:v>
                </c:pt>
                <c:pt idx="110">
                  <c:v>24.249402915343758</c:v>
                </c:pt>
                <c:pt idx="111">
                  <c:v>24.249392010404424</c:v>
                </c:pt>
                <c:pt idx="112">
                  <c:v>24.249381006795719</c:v>
                </c:pt>
                <c:pt idx="113">
                  <c:v>24.249369904518122</c:v>
                </c:pt>
                <c:pt idx="114">
                  <c:v>24.249358703572117</c:v>
                </c:pt>
                <c:pt idx="115">
                  <c:v>24.249347403958204</c:v>
                </c:pt>
                <c:pt idx="116">
                  <c:v>24.24933600567687</c:v>
                </c:pt>
                <c:pt idx="117">
                  <c:v>24.24932450872862</c:v>
                </c:pt>
                <c:pt idx="118">
                  <c:v>24.249312913113954</c:v>
                </c:pt>
                <c:pt idx="119">
                  <c:v>24.249301218833384</c:v>
                </c:pt>
                <c:pt idx="120">
                  <c:v>24.249289425887426</c:v>
                </c:pt>
                <c:pt idx="121">
                  <c:v>24.24927753427659</c:v>
                </c:pt>
                <c:pt idx="122">
                  <c:v>24.249265544001403</c:v>
                </c:pt>
                <c:pt idx="123">
                  <c:v>24.249253455062387</c:v>
                </c:pt>
                <c:pt idx="124">
                  <c:v>24.249241267460079</c:v>
                </c:pt>
                <c:pt idx="125">
                  <c:v>24.249228981195003</c:v>
                </c:pt>
                <c:pt idx="126">
                  <c:v>24.249216596267708</c:v>
                </c:pt>
                <c:pt idx="127">
                  <c:v>24.249204112678733</c:v>
                </c:pt>
                <c:pt idx="128">
                  <c:v>24.249191530428625</c:v>
                </c:pt>
                <c:pt idx="129">
                  <c:v>24.249178849517936</c:v>
                </c:pt>
                <c:pt idx="130">
                  <c:v>24.249166069947226</c:v>
                </c:pt>
                <c:pt idx="131">
                  <c:v>24.249153191717049</c:v>
                </c:pt>
                <c:pt idx="132">
                  <c:v>24.249140214827975</c:v>
                </c:pt>
                <c:pt idx="133">
                  <c:v>24.249127139280574</c:v>
                </c:pt>
                <c:pt idx="134">
                  <c:v>24.249113965075413</c:v>
                </c:pt>
                <c:pt idx="135">
                  <c:v>24.249100692213077</c:v>
                </c:pt>
                <c:pt idx="136">
                  <c:v>24.249087320694144</c:v>
                </c:pt>
                <c:pt idx="137">
                  <c:v>24.249073850519203</c:v>
                </c:pt>
                <c:pt idx="138">
                  <c:v>24.249060281688845</c:v>
                </c:pt>
                <c:pt idx="139">
                  <c:v>24.249046614203664</c:v>
                </c:pt>
                <c:pt idx="140">
                  <c:v>24.249032848064257</c:v>
                </c:pt>
                <c:pt idx="141">
                  <c:v>24.249018983271231</c:v>
                </c:pt>
                <c:pt idx="142">
                  <c:v>24.249005019825194</c:v>
                </c:pt>
                <c:pt idx="143">
                  <c:v>24.248990957726758</c:v>
                </c:pt>
                <c:pt idx="144">
                  <c:v>24.248976796976539</c:v>
                </c:pt>
                <c:pt idx="145">
                  <c:v>24.24896253757516</c:v>
                </c:pt>
                <c:pt idx="146">
                  <c:v>24.248948179523246</c:v>
                </c:pt>
                <c:pt idx="147">
                  <c:v>24.248933722821427</c:v>
                </c:pt>
                <c:pt idx="148">
                  <c:v>24.248919167470333</c:v>
                </c:pt>
                <c:pt idx="149">
                  <c:v>24.24890451347061</c:v>
                </c:pt>
                <c:pt idx="150">
                  <c:v>24.248889760822895</c:v>
                </c:pt>
                <c:pt idx="151">
                  <c:v>24.248874909527839</c:v>
                </c:pt>
                <c:pt idx="152">
                  <c:v>24.248859959586088</c:v>
                </c:pt>
                <c:pt idx="153">
                  <c:v>24.248844910998304</c:v>
                </c:pt>
                <c:pt idx="154">
                  <c:v>24.248829763765141</c:v>
                </c:pt>
                <c:pt idx="155">
                  <c:v>24.248814517887268</c:v>
                </c:pt>
                <c:pt idx="156">
                  <c:v>24.248799173365356</c:v>
                </c:pt>
                <c:pt idx="157">
                  <c:v>24.248783730200071</c:v>
                </c:pt>
                <c:pt idx="158">
                  <c:v>24.248768188392091</c:v>
                </c:pt>
                <c:pt idx="159">
                  <c:v>24.248752547942107</c:v>
                </c:pt>
                <c:pt idx="160">
                  <c:v>24.248736808850794</c:v>
                </c:pt>
                <c:pt idx="161">
                  <c:v>24.24872097111885</c:v>
                </c:pt>
                <c:pt idx="162">
                  <c:v>24.248705034746965</c:v>
                </c:pt>
                <c:pt idx="163">
                  <c:v>24.24868899973584</c:v>
                </c:pt>
                <c:pt idx="164">
                  <c:v>24.248672866086178</c:v>
                </c:pt>
                <c:pt idx="165">
                  <c:v>24.248656633798689</c:v>
                </c:pt>
                <c:pt idx="166">
                  <c:v>24.248640302874083</c:v>
                </c:pt>
                <c:pt idx="167">
                  <c:v>24.248623873313072</c:v>
                </c:pt>
                <c:pt idx="168">
                  <c:v>24.248607345116387</c:v>
                </c:pt>
                <c:pt idx="169">
                  <c:v>24.248590718284742</c:v>
                </c:pt>
                <c:pt idx="170">
                  <c:v>24.248573992818873</c:v>
                </c:pt>
                <c:pt idx="171">
                  <c:v>24.248557168719515</c:v>
                </c:pt>
                <c:pt idx="172">
                  <c:v>24.2485402459874</c:v>
                </c:pt>
                <c:pt idx="173">
                  <c:v>24.248523224623273</c:v>
                </c:pt>
                <c:pt idx="174">
                  <c:v>24.248506104627882</c:v>
                </c:pt>
                <c:pt idx="175">
                  <c:v>24.248488886001976</c:v>
                </c:pt>
                <c:pt idx="176">
                  <c:v>24.248471568746311</c:v>
                </c:pt>
                <c:pt idx="177">
                  <c:v>24.248454152861648</c:v>
                </c:pt>
                <c:pt idx="178">
                  <c:v>24.24843663834875</c:v>
                </c:pt>
                <c:pt idx="179">
                  <c:v>24.248419025208385</c:v>
                </c:pt>
                <c:pt idx="180">
                  <c:v>24.248401313441327</c:v>
                </c:pt>
                <c:pt idx="181">
                  <c:v>24.248383503048348</c:v>
                </c:pt>
                <c:pt idx="182">
                  <c:v>24.248365594030236</c:v>
                </c:pt>
                <c:pt idx="183">
                  <c:v>24.248347586387773</c:v>
                </c:pt>
                <c:pt idx="184">
                  <c:v>24.248329480121747</c:v>
                </c:pt>
                <c:pt idx="185">
                  <c:v>24.248311275232957</c:v>
                </c:pt>
                <c:pt idx="186">
                  <c:v>24.248292971722197</c:v>
                </c:pt>
                <c:pt idx="187">
                  <c:v>24.248274569590272</c:v>
                </c:pt>
                <c:pt idx="188">
                  <c:v>24.248256068837993</c:v>
                </c:pt>
                <c:pt idx="189">
                  <c:v>24.248237469466162</c:v>
                </c:pt>
                <c:pt idx="190">
                  <c:v>24.248218771475607</c:v>
                </c:pt>
                <c:pt idx="191">
                  <c:v>24.248199974867138</c:v>
                </c:pt>
                <c:pt idx="192">
                  <c:v>24.248181079641583</c:v>
                </c:pt>
                <c:pt idx="193">
                  <c:v>24.24816208579977</c:v>
                </c:pt>
                <c:pt idx="194">
                  <c:v>24.248142993342537</c:v>
                </c:pt>
                <c:pt idx="195">
                  <c:v>24.248123802270715</c:v>
                </c:pt>
                <c:pt idx="196">
                  <c:v>24.248104512585151</c:v>
                </c:pt>
                <c:pt idx="197">
                  <c:v>24.248085124286685</c:v>
                </c:pt>
                <c:pt idx="198">
                  <c:v>24.248065637376175</c:v>
                </c:pt>
                <c:pt idx="199">
                  <c:v>24.24804605185447</c:v>
                </c:pt>
                <c:pt idx="200">
                  <c:v>24.248026367722431</c:v>
                </c:pt>
              </c:numCache>
            </c:numRef>
          </c:xVal>
          <c:yVal>
            <c:numRef>
              <c:f>试加重示意图!$H$10004:$H$10204</c:f>
              <c:numCache>
                <c:formatCode>General</c:formatCode>
                <c:ptCount val="201"/>
                <c:pt idx="0">
                  <c:v>22</c:v>
                </c:pt>
                <c:pt idx="1">
                  <c:v>21.999528761105406</c:v>
                </c:pt>
                <c:pt idx="2">
                  <c:v>21.999057522231485</c:v>
                </c:pt>
                <c:pt idx="3">
                  <c:v>21.998586283398904</c:v>
                </c:pt>
                <c:pt idx="4">
                  <c:v>21.998115044628335</c:v>
                </c:pt>
                <c:pt idx="5">
                  <c:v>21.997643805940449</c:v>
                </c:pt>
                <c:pt idx="6">
                  <c:v>21.997172567355918</c:v>
                </c:pt>
                <c:pt idx="7">
                  <c:v>21.996701328895416</c:v>
                </c:pt>
                <c:pt idx="8">
                  <c:v>21.996230090579605</c:v>
                </c:pt>
                <c:pt idx="9">
                  <c:v>21.995758852429162</c:v>
                </c:pt>
                <c:pt idx="10">
                  <c:v>21.995287614464758</c:v>
                </c:pt>
                <c:pt idx="11">
                  <c:v>21.99481637670706</c:v>
                </c:pt>
                <c:pt idx="12">
                  <c:v>21.99434513917674</c:v>
                </c:pt>
                <c:pt idx="13">
                  <c:v>21.993873901894474</c:v>
                </c:pt>
                <c:pt idx="14">
                  <c:v>21.993402664880925</c:v>
                </c:pt>
                <c:pt idx="15">
                  <c:v>21.992931428156769</c:v>
                </c:pt>
                <c:pt idx="16">
                  <c:v>21.992460191742676</c:v>
                </c:pt>
                <c:pt idx="17">
                  <c:v>21.991988955659316</c:v>
                </c:pt>
                <c:pt idx="18">
                  <c:v>21.991517719927359</c:v>
                </c:pt>
                <c:pt idx="19">
                  <c:v>21.991046484567477</c:v>
                </c:pt>
                <c:pt idx="20">
                  <c:v>21.99057524960034</c:v>
                </c:pt>
                <c:pt idx="21">
                  <c:v>21.990104015046619</c:v>
                </c:pt>
                <c:pt idx="22">
                  <c:v>21.989632780926982</c:v>
                </c:pt>
                <c:pt idx="23">
                  <c:v>21.989161547262107</c:v>
                </c:pt>
                <c:pt idx="24">
                  <c:v>21.988690314072656</c:v>
                </c:pt>
                <c:pt idx="25">
                  <c:v>21.988219081379302</c:v>
                </c:pt>
                <c:pt idx="26">
                  <c:v>21.987747849202723</c:v>
                </c:pt>
                <c:pt idx="27">
                  <c:v>21.98727661756358</c:v>
                </c:pt>
                <c:pt idx="28">
                  <c:v>21.986805386482548</c:v>
                </c:pt>
                <c:pt idx="29">
                  <c:v>21.986334155980295</c:v>
                </c:pt>
                <c:pt idx="30">
                  <c:v>21.985862926077491</c:v>
                </c:pt>
                <c:pt idx="31">
                  <c:v>21.98539169679481</c:v>
                </c:pt>
                <c:pt idx="32">
                  <c:v>21.984920468152922</c:v>
                </c:pt>
                <c:pt idx="33">
                  <c:v>21.984449240172498</c:v>
                </c:pt>
                <c:pt idx="34">
                  <c:v>21.9839780128742</c:v>
                </c:pt>
                <c:pt idx="35">
                  <c:v>21.983506786278713</c:v>
                </c:pt>
                <c:pt idx="36">
                  <c:v>21.983035560406694</c:v>
                </c:pt>
                <c:pt idx="37">
                  <c:v>21.982564335278823</c:v>
                </c:pt>
                <c:pt idx="38">
                  <c:v>21.982093110915763</c:v>
                </c:pt>
                <c:pt idx="39">
                  <c:v>21.981621887338186</c:v>
                </c:pt>
                <c:pt idx="40">
                  <c:v>21.981150664566766</c:v>
                </c:pt>
                <c:pt idx="41">
                  <c:v>21.980679442622169</c:v>
                </c:pt>
                <c:pt idx="42">
                  <c:v>21.980208221525064</c:v>
                </c:pt>
                <c:pt idx="43">
                  <c:v>21.979737001296126</c:v>
                </c:pt>
                <c:pt idx="44">
                  <c:v>21.979265781956023</c:v>
                </c:pt>
                <c:pt idx="45">
                  <c:v>21.978794563525426</c:v>
                </c:pt>
                <c:pt idx="46">
                  <c:v>21.978323346025</c:v>
                </c:pt>
                <c:pt idx="47">
                  <c:v>21.977852129475419</c:v>
                </c:pt>
                <c:pt idx="48">
                  <c:v>21.977380913897356</c:v>
                </c:pt>
                <c:pt idx="49">
                  <c:v>21.976909699311474</c:v>
                </c:pt>
                <c:pt idx="50">
                  <c:v>21.976438485738445</c:v>
                </c:pt>
                <c:pt idx="51">
                  <c:v>21.97596727319894</c:v>
                </c:pt>
                <c:pt idx="52">
                  <c:v>21.975496061713631</c:v>
                </c:pt>
                <c:pt idx="53">
                  <c:v>21.975024851303182</c:v>
                </c:pt>
                <c:pt idx="54">
                  <c:v>21.974553641988269</c:v>
                </c:pt>
                <c:pt idx="55">
                  <c:v>21.974082433789555</c:v>
                </c:pt>
                <c:pt idx="56">
                  <c:v>21.973611226727716</c:v>
                </c:pt>
                <c:pt idx="57">
                  <c:v>21.973140020823415</c:v>
                </c:pt>
                <c:pt idx="58">
                  <c:v>21.972668816097322</c:v>
                </c:pt>
                <c:pt idx="59">
                  <c:v>21.972197612570113</c:v>
                </c:pt>
                <c:pt idx="60">
                  <c:v>21.971726410262455</c:v>
                </c:pt>
                <c:pt idx="61">
                  <c:v>21.971255209195014</c:v>
                </c:pt>
                <c:pt idx="62">
                  <c:v>21.970784009388456</c:v>
                </c:pt>
                <c:pt idx="63">
                  <c:v>21.970312810863462</c:v>
                </c:pt>
                <c:pt idx="64">
                  <c:v>21.969841613640689</c:v>
                </c:pt>
                <c:pt idx="65">
                  <c:v>21.969370417740812</c:v>
                </c:pt>
                <c:pt idx="66">
                  <c:v>21.968899223184501</c:v>
                </c:pt>
                <c:pt idx="67">
                  <c:v>21.968428029992417</c:v>
                </c:pt>
                <c:pt idx="68">
                  <c:v>21.967956838185241</c:v>
                </c:pt>
                <c:pt idx="69">
                  <c:v>21.967485647783633</c:v>
                </c:pt>
                <c:pt idx="70">
                  <c:v>21.967014458808261</c:v>
                </c:pt>
                <c:pt idx="71">
                  <c:v>21.9665432712798</c:v>
                </c:pt>
                <c:pt idx="72">
                  <c:v>21.966072085218915</c:v>
                </c:pt>
                <c:pt idx="73">
                  <c:v>21.965600900646276</c:v>
                </c:pt>
                <c:pt idx="74">
                  <c:v>21.965129717582549</c:v>
                </c:pt>
                <c:pt idx="75">
                  <c:v>21.9646585360484</c:v>
                </c:pt>
                <c:pt idx="76">
                  <c:v>21.964187356064507</c:v>
                </c:pt>
                <c:pt idx="77">
                  <c:v>21.963716177651531</c:v>
                </c:pt>
                <c:pt idx="78">
                  <c:v>21.963245000830142</c:v>
                </c:pt>
                <c:pt idx="79">
                  <c:v>21.962773825621003</c:v>
                </c:pt>
                <c:pt idx="80">
                  <c:v>21.962302652044791</c:v>
                </c:pt>
                <c:pt idx="81">
                  <c:v>21.961831480122168</c:v>
                </c:pt>
                <c:pt idx="82">
                  <c:v>21.961360309873804</c:v>
                </c:pt>
                <c:pt idx="83">
                  <c:v>21.960889141320365</c:v>
                </c:pt>
                <c:pt idx="84">
                  <c:v>21.960417974482521</c:v>
                </c:pt>
                <c:pt idx="85">
                  <c:v>21.959946809380941</c:v>
                </c:pt>
                <c:pt idx="86">
                  <c:v>21.959475646036289</c:v>
                </c:pt>
                <c:pt idx="87">
                  <c:v>21.959004484469236</c:v>
                </c:pt>
                <c:pt idx="88">
                  <c:v>21.958533324700447</c:v>
                </c:pt>
                <c:pt idx="89">
                  <c:v>21.958062166750587</c:v>
                </c:pt>
                <c:pt idx="90">
                  <c:v>21.957591010640328</c:v>
                </c:pt>
                <c:pt idx="91">
                  <c:v>21.957119856390335</c:v>
                </c:pt>
                <c:pt idx="92">
                  <c:v>21.95664870402128</c:v>
                </c:pt>
                <c:pt idx="93">
                  <c:v>21.956177553553818</c:v>
                </c:pt>
                <c:pt idx="94">
                  <c:v>21.95570640500863</c:v>
                </c:pt>
                <c:pt idx="95">
                  <c:v>21.955235258406372</c:v>
                </c:pt>
                <c:pt idx="96">
                  <c:v>21.95476411376772</c:v>
                </c:pt>
                <c:pt idx="97">
                  <c:v>21.954292971113333</c:v>
                </c:pt>
                <c:pt idx="98">
                  <c:v>21.95382183046388</c:v>
                </c:pt>
                <c:pt idx="99">
                  <c:v>21.953350691840029</c:v>
                </c:pt>
                <c:pt idx="100">
                  <c:v>21.952879555262445</c:v>
                </c:pt>
                <c:pt idx="101">
                  <c:v>21.952408420751794</c:v>
                </c:pt>
                <c:pt idx="102">
                  <c:v>21.951937288328747</c:v>
                </c:pt>
                <c:pt idx="103">
                  <c:v>21.951466158013961</c:v>
                </c:pt>
                <c:pt idx="104">
                  <c:v>21.950995029828114</c:v>
                </c:pt>
                <c:pt idx="105">
                  <c:v>21.950523903791861</c:v>
                </c:pt>
                <c:pt idx="106">
                  <c:v>21.950052779925873</c:v>
                </c:pt>
                <c:pt idx="107">
                  <c:v>21.949581658250818</c:v>
                </c:pt>
                <c:pt idx="108">
                  <c:v>21.949110538787355</c:v>
                </c:pt>
                <c:pt idx="109">
                  <c:v>21.948639421556155</c:v>
                </c:pt>
                <c:pt idx="110">
                  <c:v>21.948168306577884</c:v>
                </c:pt>
                <c:pt idx="111">
                  <c:v>21.947697193873204</c:v>
                </c:pt>
                <c:pt idx="112">
                  <c:v>21.94722608346278</c:v>
                </c:pt>
                <c:pt idx="113">
                  <c:v>21.946754975367284</c:v>
                </c:pt>
                <c:pt idx="114">
                  <c:v>21.94628386960737</c:v>
                </c:pt>
                <c:pt idx="115">
                  <c:v>21.945812766203712</c:v>
                </c:pt>
                <c:pt idx="116">
                  <c:v>21.945341665176972</c:v>
                </c:pt>
                <c:pt idx="117">
                  <c:v>21.944870566547817</c:v>
                </c:pt>
                <c:pt idx="118">
                  <c:v>21.944399470336908</c:v>
                </c:pt>
                <c:pt idx="119">
                  <c:v>21.943928376564909</c:v>
                </c:pt>
                <c:pt idx="120">
                  <c:v>21.943457285252489</c:v>
                </c:pt>
                <c:pt idx="121">
                  <c:v>21.942986196420311</c:v>
                </c:pt>
                <c:pt idx="122">
                  <c:v>21.942515110089033</c:v>
                </c:pt>
                <c:pt idx="123">
                  <c:v>21.94204402627933</c:v>
                </c:pt>
                <c:pt idx="124">
                  <c:v>21.941572945011856</c:v>
                </c:pt>
                <c:pt idx="125">
                  <c:v>21.941101866307282</c:v>
                </c:pt>
                <c:pt idx="126">
                  <c:v>21.940630790186269</c:v>
                </c:pt>
                <c:pt idx="127">
                  <c:v>21.940159716669481</c:v>
                </c:pt>
                <c:pt idx="128">
                  <c:v>21.939688645777583</c:v>
                </c:pt>
                <c:pt idx="129">
                  <c:v>21.939217577531235</c:v>
                </c:pt>
                <c:pt idx="130">
                  <c:v>21.938746511951102</c:v>
                </c:pt>
                <c:pt idx="131">
                  <c:v>21.938275449057848</c:v>
                </c:pt>
                <c:pt idx="132">
                  <c:v>21.937804388872138</c:v>
                </c:pt>
                <c:pt idx="133">
                  <c:v>21.937333331414631</c:v>
                </c:pt>
                <c:pt idx="134">
                  <c:v>21.936862276705991</c:v>
                </c:pt>
                <c:pt idx="135">
                  <c:v>21.936391224766883</c:v>
                </c:pt>
                <c:pt idx="136">
                  <c:v>21.935920175617966</c:v>
                </c:pt>
                <c:pt idx="137">
                  <c:v>21.935449129279906</c:v>
                </c:pt>
                <c:pt idx="138">
                  <c:v>21.934978085773363</c:v>
                </c:pt>
                <c:pt idx="139">
                  <c:v>21.934507045119002</c:v>
                </c:pt>
                <c:pt idx="140">
                  <c:v>21.934036007337482</c:v>
                </c:pt>
                <c:pt idx="141">
                  <c:v>21.933564972449467</c:v>
                </c:pt>
                <c:pt idx="142">
                  <c:v>21.933093940475622</c:v>
                </c:pt>
                <c:pt idx="143">
                  <c:v>21.932622911436599</c:v>
                </c:pt>
                <c:pt idx="144">
                  <c:v>21.932151885353072</c:v>
                </c:pt>
                <c:pt idx="145">
                  <c:v>21.931680862245692</c:v>
                </c:pt>
                <c:pt idx="146">
                  <c:v>21.931209842135125</c:v>
                </c:pt>
                <c:pt idx="147">
                  <c:v>21.930738825042031</c:v>
                </c:pt>
                <c:pt idx="148">
                  <c:v>21.930267810987072</c:v>
                </c:pt>
                <c:pt idx="149">
                  <c:v>21.929796799990914</c:v>
                </c:pt>
                <c:pt idx="150">
                  <c:v>21.929325792074206</c:v>
                </c:pt>
                <c:pt idx="151">
                  <c:v>21.92885478725762</c:v>
                </c:pt>
                <c:pt idx="152">
                  <c:v>21.928383785561813</c:v>
                </c:pt>
                <c:pt idx="153">
                  <c:v>21.927912787007443</c:v>
                </c:pt>
                <c:pt idx="154">
                  <c:v>21.927441791615173</c:v>
                </c:pt>
                <c:pt idx="155">
                  <c:v>21.926970799405659</c:v>
                </c:pt>
                <c:pt idx="156">
                  <c:v>21.926499810399569</c:v>
                </c:pt>
                <c:pt idx="157">
                  <c:v>21.926028824617553</c:v>
                </c:pt>
                <c:pt idx="158">
                  <c:v>21.925557842080281</c:v>
                </c:pt>
                <c:pt idx="159">
                  <c:v>21.925086862808403</c:v>
                </c:pt>
                <c:pt idx="160">
                  <c:v>21.924615886822586</c:v>
                </c:pt>
                <c:pt idx="161">
                  <c:v>21.924144914143486</c:v>
                </c:pt>
                <c:pt idx="162">
                  <c:v>21.923673944791759</c:v>
                </c:pt>
                <c:pt idx="163">
                  <c:v>21.923202978788073</c:v>
                </c:pt>
                <c:pt idx="164">
                  <c:v>21.922732016153077</c:v>
                </c:pt>
                <c:pt idx="165">
                  <c:v>21.922261056907434</c:v>
                </c:pt>
                <c:pt idx="166">
                  <c:v>21.921790101071803</c:v>
                </c:pt>
                <c:pt idx="167">
                  <c:v>21.921319148666843</c:v>
                </c:pt>
                <c:pt idx="168">
                  <c:v>21.920848199713213</c:v>
                </c:pt>
                <c:pt idx="169">
                  <c:v>21.920377254231564</c:v>
                </c:pt>
                <c:pt idx="170">
                  <c:v>21.919906312242563</c:v>
                </c:pt>
                <c:pt idx="171">
                  <c:v>21.919435373766866</c:v>
                </c:pt>
                <c:pt idx="172">
                  <c:v>21.918964438825125</c:v>
                </c:pt>
                <c:pt idx="173">
                  <c:v>21.918493507438004</c:v>
                </c:pt>
                <c:pt idx="174">
                  <c:v>21.918022579626157</c:v>
                </c:pt>
                <c:pt idx="175">
                  <c:v>21.917551655410247</c:v>
                </c:pt>
                <c:pt idx="176">
                  <c:v>21.91708073481092</c:v>
                </c:pt>
                <c:pt idx="177">
                  <c:v>21.91660981784884</c:v>
                </c:pt>
                <c:pt idx="178">
                  <c:v>21.916138904544663</c:v>
                </c:pt>
                <c:pt idx="179">
                  <c:v>21.915667994919044</c:v>
                </c:pt>
                <c:pt idx="180">
                  <c:v>21.915197088992645</c:v>
                </c:pt>
                <c:pt idx="181">
                  <c:v>21.914726186786112</c:v>
                </c:pt>
                <c:pt idx="182">
                  <c:v>21.914255288320113</c:v>
                </c:pt>
                <c:pt idx="183">
                  <c:v>21.913784393615295</c:v>
                </c:pt>
                <c:pt idx="184">
                  <c:v>21.913313502692315</c:v>
                </c:pt>
                <c:pt idx="185">
                  <c:v>21.912842615571833</c:v>
                </c:pt>
                <c:pt idx="186">
                  <c:v>21.912371732274501</c:v>
                </c:pt>
                <c:pt idx="187">
                  <c:v>21.911900852820974</c:v>
                </c:pt>
                <c:pt idx="188">
                  <c:v>21.911429977231908</c:v>
                </c:pt>
                <c:pt idx="189">
                  <c:v>21.910959105527958</c:v>
                </c:pt>
                <c:pt idx="190">
                  <c:v>21.91048823772978</c:v>
                </c:pt>
                <c:pt idx="191">
                  <c:v>21.910017373858025</c:v>
                </c:pt>
                <c:pt idx="192">
                  <c:v>21.90954651393335</c:v>
                </c:pt>
                <c:pt idx="193">
                  <c:v>21.909075657976409</c:v>
                </c:pt>
                <c:pt idx="194">
                  <c:v>21.908604806007858</c:v>
                </c:pt>
                <c:pt idx="195">
                  <c:v>21.908133958048349</c:v>
                </c:pt>
                <c:pt idx="196">
                  <c:v>21.907663114118535</c:v>
                </c:pt>
                <c:pt idx="197">
                  <c:v>21.907192274239069</c:v>
                </c:pt>
                <c:pt idx="198">
                  <c:v>21.906721438430605</c:v>
                </c:pt>
                <c:pt idx="199">
                  <c:v>21.906250606713797</c:v>
                </c:pt>
                <c:pt idx="200">
                  <c:v>21.905779779109295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A216-4609-8DF6-0C1692C7E527}"/>
            </c:ext>
          </c:extLst>
        </c:ser>
        <c:ser>
          <c:idx val="18"/>
          <c:order val="18"/>
          <c:tx>
            <c:strRef>
              <c:f>试加重示意图!$L$10018</c:f>
              <c:strCache>
                <c:ptCount val="1"/>
                <c:pt idx="0">
                  <c:v>2.39999999999998°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试加重示意图!$G$10206</c:f>
              <c:numCache>
                <c:formatCode>General</c:formatCode>
                <c:ptCount val="1"/>
                <c:pt idx="0">
                  <c:v>25.374274536045995</c:v>
                </c:pt>
              </c:numCache>
            </c:numRef>
          </c:xVal>
          <c:yVal>
            <c:numRef>
              <c:f>试加重示意图!$H$10206</c:f>
              <c:numCache>
                <c:formatCode>General</c:formatCode>
                <c:ptCount val="1"/>
                <c:pt idx="0">
                  <c:v>21.930026037760044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A216-4609-8DF6-0C1692C7E527}"/>
            </c:ext>
          </c:extLst>
        </c:ser>
        <c:ser>
          <c:idx val="19"/>
          <c:order val="19"/>
          <c:tx>
            <c:v>Ax夹角</c:v>
          </c:tx>
          <c:spPr>
            <a:ln w="19050">
              <a:prstDash val="sysDash"/>
            </a:ln>
          </c:spPr>
          <c:marker>
            <c:symbol val="none"/>
          </c:marker>
          <c:xVal>
            <c:numRef>
              <c:f>试加重示意图!$G$10209:$G$10409</c:f>
              <c:numCache>
                <c:formatCode>General</c:formatCode>
                <c:ptCount val="201"/>
                <c:pt idx="0">
                  <c:v>24.997368490296576</c:v>
                </c:pt>
                <c:pt idx="1">
                  <c:v>24.997368490296576</c:v>
                </c:pt>
                <c:pt idx="2">
                  <c:v>24.997368490296576</c:v>
                </c:pt>
                <c:pt idx="3">
                  <c:v>24.997368490296576</c:v>
                </c:pt>
                <c:pt idx="4">
                  <c:v>24.997368490296576</c:v>
                </c:pt>
                <c:pt idx="5">
                  <c:v>24.997368490296576</c:v>
                </c:pt>
                <c:pt idx="6">
                  <c:v>24.997368490296576</c:v>
                </c:pt>
                <c:pt idx="7">
                  <c:v>24.997368490296576</c:v>
                </c:pt>
                <c:pt idx="8">
                  <c:v>24.997368490296576</c:v>
                </c:pt>
                <c:pt idx="9">
                  <c:v>24.997368490296576</c:v>
                </c:pt>
                <c:pt idx="10">
                  <c:v>24.997368490296576</c:v>
                </c:pt>
                <c:pt idx="11">
                  <c:v>24.997368490296576</c:v>
                </c:pt>
                <c:pt idx="12">
                  <c:v>24.997368490296576</c:v>
                </c:pt>
                <c:pt idx="13">
                  <c:v>24.997368490296576</c:v>
                </c:pt>
                <c:pt idx="14">
                  <c:v>24.997368490296576</c:v>
                </c:pt>
                <c:pt idx="15">
                  <c:v>24.997368490296576</c:v>
                </c:pt>
                <c:pt idx="16">
                  <c:v>24.997368490296576</c:v>
                </c:pt>
                <c:pt idx="17">
                  <c:v>24.997368490296576</c:v>
                </c:pt>
                <c:pt idx="18">
                  <c:v>24.997368490296576</c:v>
                </c:pt>
                <c:pt idx="19">
                  <c:v>24.997368490296576</c:v>
                </c:pt>
                <c:pt idx="20">
                  <c:v>24.997368490296576</c:v>
                </c:pt>
                <c:pt idx="21">
                  <c:v>24.997368490296576</c:v>
                </c:pt>
                <c:pt idx="22">
                  <c:v>24.997368490296576</c:v>
                </c:pt>
                <c:pt idx="23">
                  <c:v>24.997368490296576</c:v>
                </c:pt>
                <c:pt idx="24">
                  <c:v>24.997368490296576</c:v>
                </c:pt>
                <c:pt idx="25">
                  <c:v>24.997368490296576</c:v>
                </c:pt>
                <c:pt idx="26">
                  <c:v>24.997368490296576</c:v>
                </c:pt>
                <c:pt idx="27">
                  <c:v>24.997368490296576</c:v>
                </c:pt>
                <c:pt idx="28">
                  <c:v>24.997368490296576</c:v>
                </c:pt>
                <c:pt idx="29">
                  <c:v>24.997368490296576</c:v>
                </c:pt>
                <c:pt idx="30">
                  <c:v>24.997368490296576</c:v>
                </c:pt>
                <c:pt idx="31">
                  <c:v>24.997368490296576</c:v>
                </c:pt>
                <c:pt idx="32">
                  <c:v>24.997368490296576</c:v>
                </c:pt>
                <c:pt idx="33">
                  <c:v>24.997368490296576</c:v>
                </c:pt>
                <c:pt idx="34">
                  <c:v>24.997368490296576</c:v>
                </c:pt>
                <c:pt idx="35">
                  <c:v>24.997368490296576</c:v>
                </c:pt>
                <c:pt idx="36">
                  <c:v>24.997368490296576</c:v>
                </c:pt>
                <c:pt idx="37">
                  <c:v>24.997368490296576</c:v>
                </c:pt>
                <c:pt idx="38">
                  <c:v>24.997368490296576</c:v>
                </c:pt>
                <c:pt idx="39">
                  <c:v>24.997368490296576</c:v>
                </c:pt>
                <c:pt idx="40">
                  <c:v>24.997368490296576</c:v>
                </c:pt>
                <c:pt idx="41">
                  <c:v>24.997368490296576</c:v>
                </c:pt>
                <c:pt idx="42">
                  <c:v>24.997368490296576</c:v>
                </c:pt>
                <c:pt idx="43">
                  <c:v>24.997368490296576</c:v>
                </c:pt>
                <c:pt idx="44">
                  <c:v>24.997368490296576</c:v>
                </c:pt>
                <c:pt idx="45">
                  <c:v>24.997368490296576</c:v>
                </c:pt>
                <c:pt idx="46">
                  <c:v>24.997368490296576</c:v>
                </c:pt>
                <c:pt idx="47">
                  <c:v>24.997368490296576</c:v>
                </c:pt>
                <c:pt idx="48">
                  <c:v>24.997368490296576</c:v>
                </c:pt>
                <c:pt idx="49">
                  <c:v>24.997368490296576</c:v>
                </c:pt>
                <c:pt idx="50">
                  <c:v>24.997368490296576</c:v>
                </c:pt>
                <c:pt idx="51">
                  <c:v>24.997368490296576</c:v>
                </c:pt>
                <c:pt idx="52">
                  <c:v>24.997368490296576</c:v>
                </c:pt>
                <c:pt idx="53">
                  <c:v>24.997368490296576</c:v>
                </c:pt>
                <c:pt idx="54">
                  <c:v>24.997368490296576</c:v>
                </c:pt>
                <c:pt idx="55">
                  <c:v>24.997368490296576</c:v>
                </c:pt>
                <c:pt idx="56">
                  <c:v>24.997368490296576</c:v>
                </c:pt>
                <c:pt idx="57">
                  <c:v>24.997368490296576</c:v>
                </c:pt>
                <c:pt idx="58">
                  <c:v>24.997368490296576</c:v>
                </c:pt>
                <c:pt idx="59">
                  <c:v>24.997368490296576</c:v>
                </c:pt>
                <c:pt idx="60">
                  <c:v>24.997368490296576</c:v>
                </c:pt>
                <c:pt idx="61">
                  <c:v>24.997368490296576</c:v>
                </c:pt>
                <c:pt idx="62">
                  <c:v>24.997368490296576</c:v>
                </c:pt>
                <c:pt idx="63">
                  <c:v>24.997368490296576</c:v>
                </c:pt>
                <c:pt idx="64">
                  <c:v>24.997368490296576</c:v>
                </c:pt>
                <c:pt idx="65">
                  <c:v>24.997368490296576</c:v>
                </c:pt>
                <c:pt idx="66">
                  <c:v>24.997368490296576</c:v>
                </c:pt>
                <c:pt idx="67">
                  <c:v>24.997368490296576</c:v>
                </c:pt>
                <c:pt idx="68">
                  <c:v>24.997368490296576</c:v>
                </c:pt>
                <c:pt idx="69">
                  <c:v>24.997368490296576</c:v>
                </c:pt>
                <c:pt idx="70">
                  <c:v>24.997368490296576</c:v>
                </c:pt>
                <c:pt idx="71">
                  <c:v>24.997368490296576</c:v>
                </c:pt>
                <c:pt idx="72">
                  <c:v>24.997368490296576</c:v>
                </c:pt>
                <c:pt idx="73">
                  <c:v>24.997368490296576</c:v>
                </c:pt>
                <c:pt idx="74">
                  <c:v>24.997368490296576</c:v>
                </c:pt>
                <c:pt idx="75">
                  <c:v>24.997368490296576</c:v>
                </c:pt>
                <c:pt idx="76">
                  <c:v>24.997368490296576</c:v>
                </c:pt>
                <c:pt idx="77">
                  <c:v>24.997368490296576</c:v>
                </c:pt>
                <c:pt idx="78">
                  <c:v>24.997368490296576</c:v>
                </c:pt>
                <c:pt idx="79">
                  <c:v>24.997368490296576</c:v>
                </c:pt>
                <c:pt idx="80">
                  <c:v>24.997368490296576</c:v>
                </c:pt>
                <c:pt idx="81">
                  <c:v>24.997368490296576</c:v>
                </c:pt>
                <c:pt idx="82">
                  <c:v>24.997368490296576</c:v>
                </c:pt>
                <c:pt idx="83">
                  <c:v>24.997368490296576</c:v>
                </c:pt>
                <c:pt idx="84">
                  <c:v>24.997368490296576</c:v>
                </c:pt>
                <c:pt idx="85">
                  <c:v>24.997368490296576</c:v>
                </c:pt>
                <c:pt idx="86">
                  <c:v>24.997368490296576</c:v>
                </c:pt>
                <c:pt idx="87">
                  <c:v>24.997368490296576</c:v>
                </c:pt>
                <c:pt idx="88">
                  <c:v>24.997368490296576</c:v>
                </c:pt>
                <c:pt idx="89">
                  <c:v>24.997368490296576</c:v>
                </c:pt>
                <c:pt idx="90">
                  <c:v>24.997368490296576</c:v>
                </c:pt>
                <c:pt idx="91">
                  <c:v>24.997368490296576</c:v>
                </c:pt>
                <c:pt idx="92">
                  <c:v>24.997368490296576</c:v>
                </c:pt>
                <c:pt idx="93">
                  <c:v>24.997368490296576</c:v>
                </c:pt>
                <c:pt idx="94">
                  <c:v>24.997368490296576</c:v>
                </c:pt>
                <c:pt idx="95">
                  <c:v>24.997368490296576</c:v>
                </c:pt>
                <c:pt idx="96">
                  <c:v>24.997368490296576</c:v>
                </c:pt>
                <c:pt idx="97">
                  <c:v>24.997368490296576</c:v>
                </c:pt>
                <c:pt idx="98">
                  <c:v>24.997368490296576</c:v>
                </c:pt>
                <c:pt idx="99">
                  <c:v>24.997368490296576</c:v>
                </c:pt>
                <c:pt idx="100">
                  <c:v>24.997368490296576</c:v>
                </c:pt>
                <c:pt idx="101">
                  <c:v>24.997368490296576</c:v>
                </c:pt>
                <c:pt idx="102">
                  <c:v>24.997368490296576</c:v>
                </c:pt>
                <c:pt idx="103">
                  <c:v>24.997368490296576</c:v>
                </c:pt>
                <c:pt idx="104">
                  <c:v>24.997368490296576</c:v>
                </c:pt>
                <c:pt idx="105">
                  <c:v>24.997368490296576</c:v>
                </c:pt>
                <c:pt idx="106">
                  <c:v>24.997368490296576</c:v>
                </c:pt>
                <c:pt idx="107">
                  <c:v>24.997368490296576</c:v>
                </c:pt>
                <c:pt idx="108">
                  <c:v>24.997368490296576</c:v>
                </c:pt>
                <c:pt idx="109">
                  <c:v>24.997368490296576</c:v>
                </c:pt>
                <c:pt idx="110">
                  <c:v>24.997368490296576</c:v>
                </c:pt>
                <c:pt idx="111">
                  <c:v>24.997368490296576</c:v>
                </c:pt>
                <c:pt idx="112">
                  <c:v>24.997368490296576</c:v>
                </c:pt>
                <c:pt idx="113">
                  <c:v>24.997368490296576</c:v>
                </c:pt>
                <c:pt idx="114">
                  <c:v>24.997368490296576</c:v>
                </c:pt>
                <c:pt idx="115">
                  <c:v>24.997368490296576</c:v>
                </c:pt>
                <c:pt idx="116">
                  <c:v>24.997368490296576</c:v>
                </c:pt>
                <c:pt idx="117">
                  <c:v>24.997368490296576</c:v>
                </c:pt>
                <c:pt idx="118">
                  <c:v>24.997368490296576</c:v>
                </c:pt>
                <c:pt idx="119">
                  <c:v>24.997368490296576</c:v>
                </c:pt>
                <c:pt idx="120">
                  <c:v>24.997368490296576</c:v>
                </c:pt>
                <c:pt idx="121">
                  <c:v>24.997368490296576</c:v>
                </c:pt>
                <c:pt idx="122">
                  <c:v>24.997368490296576</c:v>
                </c:pt>
                <c:pt idx="123">
                  <c:v>24.997368490296576</c:v>
                </c:pt>
                <c:pt idx="124">
                  <c:v>24.997368490296576</c:v>
                </c:pt>
                <c:pt idx="125">
                  <c:v>24.997368490296576</c:v>
                </c:pt>
                <c:pt idx="126">
                  <c:v>24.997368490296576</c:v>
                </c:pt>
                <c:pt idx="127">
                  <c:v>24.997368490296576</c:v>
                </c:pt>
                <c:pt idx="128">
                  <c:v>24.997368490296576</c:v>
                </c:pt>
                <c:pt idx="129">
                  <c:v>24.997368490296576</c:v>
                </c:pt>
                <c:pt idx="130">
                  <c:v>24.997368490296576</c:v>
                </c:pt>
                <c:pt idx="131">
                  <c:v>24.997368490296576</c:v>
                </c:pt>
                <c:pt idx="132">
                  <c:v>24.997368490296576</c:v>
                </c:pt>
                <c:pt idx="133">
                  <c:v>24.997368490296576</c:v>
                </c:pt>
                <c:pt idx="134">
                  <c:v>24.997368490296576</c:v>
                </c:pt>
                <c:pt idx="135">
                  <c:v>24.997368490296576</c:v>
                </c:pt>
                <c:pt idx="136">
                  <c:v>24.997368490296576</c:v>
                </c:pt>
                <c:pt idx="137">
                  <c:v>24.997368490296576</c:v>
                </c:pt>
                <c:pt idx="138">
                  <c:v>24.997368490296576</c:v>
                </c:pt>
                <c:pt idx="139">
                  <c:v>24.997368490296576</c:v>
                </c:pt>
                <c:pt idx="140">
                  <c:v>24.997368490296576</c:v>
                </c:pt>
                <c:pt idx="141">
                  <c:v>24.997368490296576</c:v>
                </c:pt>
                <c:pt idx="142">
                  <c:v>24.997368490296576</c:v>
                </c:pt>
                <c:pt idx="143">
                  <c:v>24.997368490296576</c:v>
                </c:pt>
                <c:pt idx="144">
                  <c:v>24.997368490296576</c:v>
                </c:pt>
                <c:pt idx="145">
                  <c:v>24.997368490296576</c:v>
                </c:pt>
                <c:pt idx="146">
                  <c:v>24.997368490296576</c:v>
                </c:pt>
                <c:pt idx="147">
                  <c:v>24.997368490296576</c:v>
                </c:pt>
                <c:pt idx="148">
                  <c:v>24.997368490296576</c:v>
                </c:pt>
                <c:pt idx="149">
                  <c:v>24.997368490296576</c:v>
                </c:pt>
                <c:pt idx="150">
                  <c:v>24.997368490296576</c:v>
                </c:pt>
                <c:pt idx="151">
                  <c:v>24.997368490296576</c:v>
                </c:pt>
                <c:pt idx="152">
                  <c:v>24.997368490296576</c:v>
                </c:pt>
                <c:pt idx="153">
                  <c:v>24.997368490296576</c:v>
                </c:pt>
                <c:pt idx="154">
                  <c:v>24.997368490296576</c:v>
                </c:pt>
                <c:pt idx="155">
                  <c:v>24.997368490296576</c:v>
                </c:pt>
                <c:pt idx="156">
                  <c:v>24.997368490296576</c:v>
                </c:pt>
                <c:pt idx="157">
                  <c:v>24.997368490296576</c:v>
                </c:pt>
                <c:pt idx="158">
                  <c:v>24.997368490296576</c:v>
                </c:pt>
                <c:pt idx="159">
                  <c:v>24.997368490296576</c:v>
                </c:pt>
                <c:pt idx="160">
                  <c:v>24.997368490296576</c:v>
                </c:pt>
                <c:pt idx="161">
                  <c:v>24.997368490296576</c:v>
                </c:pt>
                <c:pt idx="162">
                  <c:v>24.997368490296576</c:v>
                </c:pt>
                <c:pt idx="163">
                  <c:v>24.997368490296576</c:v>
                </c:pt>
                <c:pt idx="164">
                  <c:v>24.997368490296576</c:v>
                </c:pt>
                <c:pt idx="165">
                  <c:v>24.997368490296576</c:v>
                </c:pt>
                <c:pt idx="166">
                  <c:v>24.997368490296576</c:v>
                </c:pt>
                <c:pt idx="167">
                  <c:v>24.997368490296576</c:v>
                </c:pt>
                <c:pt idx="168">
                  <c:v>24.997368490296576</c:v>
                </c:pt>
                <c:pt idx="169">
                  <c:v>24.997368490296576</c:v>
                </c:pt>
                <c:pt idx="170">
                  <c:v>24.997368490296576</c:v>
                </c:pt>
                <c:pt idx="171">
                  <c:v>24.997368490296576</c:v>
                </c:pt>
                <c:pt idx="172">
                  <c:v>24.997368490296576</c:v>
                </c:pt>
                <c:pt idx="173">
                  <c:v>24.997368490296576</c:v>
                </c:pt>
                <c:pt idx="174">
                  <c:v>24.997368490296576</c:v>
                </c:pt>
                <c:pt idx="175">
                  <c:v>24.997368490296576</c:v>
                </c:pt>
                <c:pt idx="176">
                  <c:v>24.997368490296576</c:v>
                </c:pt>
                <c:pt idx="177">
                  <c:v>24.997368490296576</c:v>
                </c:pt>
                <c:pt idx="178">
                  <c:v>24.997368490296576</c:v>
                </c:pt>
                <c:pt idx="179">
                  <c:v>24.997368490296576</c:v>
                </c:pt>
                <c:pt idx="180">
                  <c:v>24.997368490296576</c:v>
                </c:pt>
                <c:pt idx="181">
                  <c:v>24.997368490296576</c:v>
                </c:pt>
                <c:pt idx="182">
                  <c:v>24.997368490296576</c:v>
                </c:pt>
                <c:pt idx="183">
                  <c:v>24.997368490296576</c:v>
                </c:pt>
                <c:pt idx="184">
                  <c:v>24.997368490296576</c:v>
                </c:pt>
                <c:pt idx="185">
                  <c:v>24.997368490296576</c:v>
                </c:pt>
                <c:pt idx="186">
                  <c:v>24.997368490296576</c:v>
                </c:pt>
                <c:pt idx="187">
                  <c:v>24.997368490296576</c:v>
                </c:pt>
                <c:pt idx="188">
                  <c:v>24.997368490296576</c:v>
                </c:pt>
                <c:pt idx="189">
                  <c:v>24.997368490296576</c:v>
                </c:pt>
                <c:pt idx="190">
                  <c:v>24.997368490296576</c:v>
                </c:pt>
                <c:pt idx="191">
                  <c:v>24.997368490296576</c:v>
                </c:pt>
                <c:pt idx="192">
                  <c:v>24.997368490296576</c:v>
                </c:pt>
                <c:pt idx="193">
                  <c:v>24.997368490296576</c:v>
                </c:pt>
                <c:pt idx="194">
                  <c:v>24.997368490296576</c:v>
                </c:pt>
                <c:pt idx="195">
                  <c:v>24.997368490296576</c:v>
                </c:pt>
                <c:pt idx="196">
                  <c:v>24.997368490296576</c:v>
                </c:pt>
                <c:pt idx="197">
                  <c:v>24.997368490296576</c:v>
                </c:pt>
                <c:pt idx="198">
                  <c:v>24.997368490296576</c:v>
                </c:pt>
                <c:pt idx="199">
                  <c:v>24.997368490296576</c:v>
                </c:pt>
                <c:pt idx="200">
                  <c:v>24.997368490296576</c:v>
                </c:pt>
              </c:numCache>
            </c:numRef>
          </c:xVal>
          <c:yVal>
            <c:numRef>
              <c:f>试加重示意图!$H$10209:$H$10409</c:f>
              <c:numCache>
                <c:formatCode>General</c:formatCode>
                <c:ptCount val="201"/>
                <c:pt idx="0">
                  <c:v>21.874373038812404</c:v>
                </c:pt>
                <c:pt idx="1">
                  <c:v>21.874373038812404</c:v>
                </c:pt>
                <c:pt idx="2">
                  <c:v>21.874373038812404</c:v>
                </c:pt>
                <c:pt idx="3">
                  <c:v>21.874373038812404</c:v>
                </c:pt>
                <c:pt idx="4">
                  <c:v>21.874373038812404</c:v>
                </c:pt>
                <c:pt idx="5">
                  <c:v>21.874373038812404</c:v>
                </c:pt>
                <c:pt idx="6">
                  <c:v>21.874373038812404</c:v>
                </c:pt>
                <c:pt idx="7">
                  <c:v>21.874373038812404</c:v>
                </c:pt>
                <c:pt idx="8">
                  <c:v>21.874373038812404</c:v>
                </c:pt>
                <c:pt idx="9">
                  <c:v>21.874373038812404</c:v>
                </c:pt>
                <c:pt idx="10">
                  <c:v>21.874373038812404</c:v>
                </c:pt>
                <c:pt idx="11">
                  <c:v>21.874373038812404</c:v>
                </c:pt>
                <c:pt idx="12">
                  <c:v>21.874373038812404</c:v>
                </c:pt>
                <c:pt idx="13">
                  <c:v>21.874373038812404</c:v>
                </c:pt>
                <c:pt idx="14">
                  <c:v>21.874373038812404</c:v>
                </c:pt>
                <c:pt idx="15">
                  <c:v>21.874373038812404</c:v>
                </c:pt>
                <c:pt idx="16">
                  <c:v>21.874373038812404</c:v>
                </c:pt>
                <c:pt idx="17">
                  <c:v>21.874373038812404</c:v>
                </c:pt>
                <c:pt idx="18">
                  <c:v>21.874373038812404</c:v>
                </c:pt>
                <c:pt idx="19">
                  <c:v>21.874373038812404</c:v>
                </c:pt>
                <c:pt idx="20">
                  <c:v>21.874373038812404</c:v>
                </c:pt>
                <c:pt idx="21">
                  <c:v>21.874373038812404</c:v>
                </c:pt>
                <c:pt idx="22">
                  <c:v>21.874373038812404</c:v>
                </c:pt>
                <c:pt idx="23">
                  <c:v>21.874373038812404</c:v>
                </c:pt>
                <c:pt idx="24">
                  <c:v>21.874373038812404</c:v>
                </c:pt>
                <c:pt idx="25">
                  <c:v>21.874373038812404</c:v>
                </c:pt>
                <c:pt idx="26">
                  <c:v>21.874373038812404</c:v>
                </c:pt>
                <c:pt idx="27">
                  <c:v>21.874373038812404</c:v>
                </c:pt>
                <c:pt idx="28">
                  <c:v>21.874373038812404</c:v>
                </c:pt>
                <c:pt idx="29">
                  <c:v>21.874373038812404</c:v>
                </c:pt>
                <c:pt idx="30">
                  <c:v>21.874373038812404</c:v>
                </c:pt>
                <c:pt idx="31">
                  <c:v>21.874373038812404</c:v>
                </c:pt>
                <c:pt idx="32">
                  <c:v>21.874373038812404</c:v>
                </c:pt>
                <c:pt idx="33">
                  <c:v>21.874373038812404</c:v>
                </c:pt>
                <c:pt idx="34">
                  <c:v>21.874373038812404</c:v>
                </c:pt>
                <c:pt idx="35">
                  <c:v>21.874373038812404</c:v>
                </c:pt>
                <c:pt idx="36">
                  <c:v>21.874373038812404</c:v>
                </c:pt>
                <c:pt idx="37">
                  <c:v>21.874373038812404</c:v>
                </c:pt>
                <c:pt idx="38">
                  <c:v>21.874373038812404</c:v>
                </c:pt>
                <c:pt idx="39">
                  <c:v>21.874373038812404</c:v>
                </c:pt>
                <c:pt idx="40">
                  <c:v>21.874373038812404</c:v>
                </c:pt>
                <c:pt idx="41">
                  <c:v>21.874373038812404</c:v>
                </c:pt>
                <c:pt idx="42">
                  <c:v>21.874373038812404</c:v>
                </c:pt>
                <c:pt idx="43">
                  <c:v>21.874373038812404</c:v>
                </c:pt>
                <c:pt idx="44">
                  <c:v>21.874373038812404</c:v>
                </c:pt>
                <c:pt idx="45">
                  <c:v>21.874373038812404</c:v>
                </c:pt>
                <c:pt idx="46">
                  <c:v>21.874373038812404</c:v>
                </c:pt>
                <c:pt idx="47">
                  <c:v>21.874373038812404</c:v>
                </c:pt>
                <c:pt idx="48">
                  <c:v>21.874373038812404</c:v>
                </c:pt>
                <c:pt idx="49">
                  <c:v>21.874373038812404</c:v>
                </c:pt>
                <c:pt idx="50">
                  <c:v>21.874373038812404</c:v>
                </c:pt>
                <c:pt idx="51">
                  <c:v>21.874373038812404</c:v>
                </c:pt>
                <c:pt idx="52">
                  <c:v>21.874373038812404</c:v>
                </c:pt>
                <c:pt idx="53">
                  <c:v>21.874373038812404</c:v>
                </c:pt>
                <c:pt idx="54">
                  <c:v>21.874373038812404</c:v>
                </c:pt>
                <c:pt idx="55">
                  <c:v>21.874373038812404</c:v>
                </c:pt>
                <c:pt idx="56">
                  <c:v>21.874373038812404</c:v>
                </c:pt>
                <c:pt idx="57">
                  <c:v>21.874373038812404</c:v>
                </c:pt>
                <c:pt idx="58">
                  <c:v>21.874373038812404</c:v>
                </c:pt>
                <c:pt idx="59">
                  <c:v>21.874373038812404</c:v>
                </c:pt>
                <c:pt idx="60">
                  <c:v>21.874373038812404</c:v>
                </c:pt>
                <c:pt idx="61">
                  <c:v>21.874373038812404</c:v>
                </c:pt>
                <c:pt idx="62">
                  <c:v>21.874373038812404</c:v>
                </c:pt>
                <c:pt idx="63">
                  <c:v>21.874373038812404</c:v>
                </c:pt>
                <c:pt idx="64">
                  <c:v>21.874373038812404</c:v>
                </c:pt>
                <c:pt idx="65">
                  <c:v>21.874373038812404</c:v>
                </c:pt>
                <c:pt idx="66">
                  <c:v>21.874373038812404</c:v>
                </c:pt>
                <c:pt idx="67">
                  <c:v>21.874373038812404</c:v>
                </c:pt>
                <c:pt idx="68">
                  <c:v>21.874373038812404</c:v>
                </c:pt>
                <c:pt idx="69">
                  <c:v>21.874373038812404</c:v>
                </c:pt>
                <c:pt idx="70">
                  <c:v>21.874373038812404</c:v>
                </c:pt>
                <c:pt idx="71">
                  <c:v>21.874373038812404</c:v>
                </c:pt>
                <c:pt idx="72">
                  <c:v>21.874373038812404</c:v>
                </c:pt>
                <c:pt idx="73">
                  <c:v>21.874373038812404</c:v>
                </c:pt>
                <c:pt idx="74">
                  <c:v>21.874373038812404</c:v>
                </c:pt>
                <c:pt idx="75">
                  <c:v>21.874373038812404</c:v>
                </c:pt>
                <c:pt idx="76">
                  <c:v>21.874373038812404</c:v>
                </c:pt>
                <c:pt idx="77">
                  <c:v>21.874373038812404</c:v>
                </c:pt>
                <c:pt idx="78">
                  <c:v>21.874373038812404</c:v>
                </c:pt>
                <c:pt idx="79">
                  <c:v>21.874373038812404</c:v>
                </c:pt>
                <c:pt idx="80">
                  <c:v>21.874373038812404</c:v>
                </c:pt>
                <c:pt idx="81">
                  <c:v>21.874373038812404</c:v>
                </c:pt>
                <c:pt idx="82">
                  <c:v>21.874373038812404</c:v>
                </c:pt>
                <c:pt idx="83">
                  <c:v>21.874373038812404</c:v>
                </c:pt>
                <c:pt idx="84">
                  <c:v>21.874373038812404</c:v>
                </c:pt>
                <c:pt idx="85">
                  <c:v>21.874373038812404</c:v>
                </c:pt>
                <c:pt idx="86">
                  <c:v>21.874373038812404</c:v>
                </c:pt>
                <c:pt idx="87">
                  <c:v>21.874373038812404</c:v>
                </c:pt>
                <c:pt idx="88">
                  <c:v>21.874373038812404</c:v>
                </c:pt>
                <c:pt idx="89">
                  <c:v>21.874373038812404</c:v>
                </c:pt>
                <c:pt idx="90">
                  <c:v>21.874373038812404</c:v>
                </c:pt>
                <c:pt idx="91">
                  <c:v>21.874373038812404</c:v>
                </c:pt>
                <c:pt idx="92">
                  <c:v>21.874373038812404</c:v>
                </c:pt>
                <c:pt idx="93">
                  <c:v>21.874373038812404</c:v>
                </c:pt>
                <c:pt idx="94">
                  <c:v>21.874373038812404</c:v>
                </c:pt>
                <c:pt idx="95">
                  <c:v>21.874373038812404</c:v>
                </c:pt>
                <c:pt idx="96">
                  <c:v>21.874373038812404</c:v>
                </c:pt>
                <c:pt idx="97">
                  <c:v>21.874373038812404</c:v>
                </c:pt>
                <c:pt idx="98">
                  <c:v>21.874373038812404</c:v>
                </c:pt>
                <c:pt idx="99">
                  <c:v>21.874373038812404</c:v>
                </c:pt>
                <c:pt idx="100">
                  <c:v>21.874373038812404</c:v>
                </c:pt>
                <c:pt idx="101">
                  <c:v>21.874373038812404</c:v>
                </c:pt>
                <c:pt idx="102">
                  <c:v>21.874373038812404</c:v>
                </c:pt>
                <c:pt idx="103">
                  <c:v>21.874373038812404</c:v>
                </c:pt>
                <c:pt idx="104">
                  <c:v>21.874373038812404</c:v>
                </c:pt>
                <c:pt idx="105">
                  <c:v>21.874373038812404</c:v>
                </c:pt>
                <c:pt idx="106">
                  <c:v>21.874373038812404</c:v>
                </c:pt>
                <c:pt idx="107">
                  <c:v>21.874373038812404</c:v>
                </c:pt>
                <c:pt idx="108">
                  <c:v>21.874373038812404</c:v>
                </c:pt>
                <c:pt idx="109">
                  <c:v>21.874373038812404</c:v>
                </c:pt>
                <c:pt idx="110">
                  <c:v>21.874373038812404</c:v>
                </c:pt>
                <c:pt idx="111">
                  <c:v>21.874373038812404</c:v>
                </c:pt>
                <c:pt idx="112">
                  <c:v>21.874373038812404</c:v>
                </c:pt>
                <c:pt idx="113">
                  <c:v>21.874373038812404</c:v>
                </c:pt>
                <c:pt idx="114">
                  <c:v>21.874373038812404</c:v>
                </c:pt>
                <c:pt idx="115">
                  <c:v>21.874373038812404</c:v>
                </c:pt>
                <c:pt idx="116">
                  <c:v>21.874373038812404</c:v>
                </c:pt>
                <c:pt idx="117">
                  <c:v>21.874373038812404</c:v>
                </c:pt>
                <c:pt idx="118">
                  <c:v>21.874373038812404</c:v>
                </c:pt>
                <c:pt idx="119">
                  <c:v>21.874373038812404</c:v>
                </c:pt>
                <c:pt idx="120">
                  <c:v>21.874373038812404</c:v>
                </c:pt>
                <c:pt idx="121">
                  <c:v>21.874373038812404</c:v>
                </c:pt>
                <c:pt idx="122">
                  <c:v>21.874373038812404</c:v>
                </c:pt>
                <c:pt idx="123">
                  <c:v>21.874373038812404</c:v>
                </c:pt>
                <c:pt idx="124">
                  <c:v>21.874373038812404</c:v>
                </c:pt>
                <c:pt idx="125">
                  <c:v>21.874373038812404</c:v>
                </c:pt>
                <c:pt idx="126">
                  <c:v>21.874373038812404</c:v>
                </c:pt>
                <c:pt idx="127">
                  <c:v>21.874373038812404</c:v>
                </c:pt>
                <c:pt idx="128">
                  <c:v>21.874373038812404</c:v>
                </c:pt>
                <c:pt idx="129">
                  <c:v>21.874373038812404</c:v>
                </c:pt>
                <c:pt idx="130">
                  <c:v>21.874373038812404</c:v>
                </c:pt>
                <c:pt idx="131">
                  <c:v>21.874373038812404</c:v>
                </c:pt>
                <c:pt idx="132">
                  <c:v>21.874373038812404</c:v>
                </c:pt>
                <c:pt idx="133">
                  <c:v>21.874373038812404</c:v>
                </c:pt>
                <c:pt idx="134">
                  <c:v>21.874373038812404</c:v>
                </c:pt>
                <c:pt idx="135">
                  <c:v>21.874373038812404</c:v>
                </c:pt>
                <c:pt idx="136">
                  <c:v>21.874373038812404</c:v>
                </c:pt>
                <c:pt idx="137">
                  <c:v>21.874373038812404</c:v>
                </c:pt>
                <c:pt idx="138">
                  <c:v>21.874373038812404</c:v>
                </c:pt>
                <c:pt idx="139">
                  <c:v>21.874373038812404</c:v>
                </c:pt>
                <c:pt idx="140">
                  <c:v>21.874373038812404</c:v>
                </c:pt>
                <c:pt idx="141">
                  <c:v>21.874373038812404</c:v>
                </c:pt>
                <c:pt idx="142">
                  <c:v>21.874373038812404</c:v>
                </c:pt>
                <c:pt idx="143">
                  <c:v>21.874373038812404</c:v>
                </c:pt>
                <c:pt idx="144">
                  <c:v>21.874373038812404</c:v>
                </c:pt>
                <c:pt idx="145">
                  <c:v>21.874373038812404</c:v>
                </c:pt>
                <c:pt idx="146">
                  <c:v>21.874373038812404</c:v>
                </c:pt>
                <c:pt idx="147">
                  <c:v>21.874373038812404</c:v>
                </c:pt>
                <c:pt idx="148">
                  <c:v>21.874373038812404</c:v>
                </c:pt>
                <c:pt idx="149">
                  <c:v>21.874373038812404</c:v>
                </c:pt>
                <c:pt idx="150">
                  <c:v>21.874373038812404</c:v>
                </c:pt>
                <c:pt idx="151">
                  <c:v>21.874373038812404</c:v>
                </c:pt>
                <c:pt idx="152">
                  <c:v>21.874373038812404</c:v>
                </c:pt>
                <c:pt idx="153">
                  <c:v>21.874373038812404</c:v>
                </c:pt>
                <c:pt idx="154">
                  <c:v>21.874373038812404</c:v>
                </c:pt>
                <c:pt idx="155">
                  <c:v>21.874373038812404</c:v>
                </c:pt>
                <c:pt idx="156">
                  <c:v>21.874373038812404</c:v>
                </c:pt>
                <c:pt idx="157">
                  <c:v>21.874373038812404</c:v>
                </c:pt>
                <c:pt idx="158">
                  <c:v>21.874373038812404</c:v>
                </c:pt>
                <c:pt idx="159">
                  <c:v>21.874373038812404</c:v>
                </c:pt>
                <c:pt idx="160">
                  <c:v>21.874373038812404</c:v>
                </c:pt>
                <c:pt idx="161">
                  <c:v>21.874373038812404</c:v>
                </c:pt>
                <c:pt idx="162">
                  <c:v>21.874373038812404</c:v>
                </c:pt>
                <c:pt idx="163">
                  <c:v>21.874373038812404</c:v>
                </c:pt>
                <c:pt idx="164">
                  <c:v>21.874373038812404</c:v>
                </c:pt>
                <c:pt idx="165">
                  <c:v>21.874373038812404</c:v>
                </c:pt>
                <c:pt idx="166">
                  <c:v>21.874373038812404</c:v>
                </c:pt>
                <c:pt idx="167">
                  <c:v>21.874373038812404</c:v>
                </c:pt>
                <c:pt idx="168">
                  <c:v>21.874373038812404</c:v>
                </c:pt>
                <c:pt idx="169">
                  <c:v>21.874373038812404</c:v>
                </c:pt>
                <c:pt idx="170">
                  <c:v>21.874373038812404</c:v>
                </c:pt>
                <c:pt idx="171">
                  <c:v>21.874373038812404</c:v>
                </c:pt>
                <c:pt idx="172">
                  <c:v>21.874373038812404</c:v>
                </c:pt>
                <c:pt idx="173">
                  <c:v>21.874373038812404</c:v>
                </c:pt>
                <c:pt idx="174">
                  <c:v>21.874373038812404</c:v>
                </c:pt>
                <c:pt idx="175">
                  <c:v>21.874373038812404</c:v>
                </c:pt>
                <c:pt idx="176">
                  <c:v>21.874373038812404</c:v>
                </c:pt>
                <c:pt idx="177">
                  <c:v>21.874373038812404</c:v>
                </c:pt>
                <c:pt idx="178">
                  <c:v>21.874373038812404</c:v>
                </c:pt>
                <c:pt idx="179">
                  <c:v>21.874373038812404</c:v>
                </c:pt>
                <c:pt idx="180">
                  <c:v>21.874373038812404</c:v>
                </c:pt>
                <c:pt idx="181">
                  <c:v>21.874373038812404</c:v>
                </c:pt>
                <c:pt idx="182">
                  <c:v>21.874373038812404</c:v>
                </c:pt>
                <c:pt idx="183">
                  <c:v>21.874373038812404</c:v>
                </c:pt>
                <c:pt idx="184">
                  <c:v>21.874373038812404</c:v>
                </c:pt>
                <c:pt idx="185">
                  <c:v>21.874373038812404</c:v>
                </c:pt>
                <c:pt idx="186">
                  <c:v>21.874373038812404</c:v>
                </c:pt>
                <c:pt idx="187">
                  <c:v>21.874373038812404</c:v>
                </c:pt>
                <c:pt idx="188">
                  <c:v>21.874373038812404</c:v>
                </c:pt>
                <c:pt idx="189">
                  <c:v>21.874373038812404</c:v>
                </c:pt>
                <c:pt idx="190">
                  <c:v>21.874373038812404</c:v>
                </c:pt>
                <c:pt idx="191">
                  <c:v>21.874373038812404</c:v>
                </c:pt>
                <c:pt idx="192">
                  <c:v>21.874373038812404</c:v>
                </c:pt>
                <c:pt idx="193">
                  <c:v>21.874373038812404</c:v>
                </c:pt>
                <c:pt idx="194">
                  <c:v>21.874373038812404</c:v>
                </c:pt>
                <c:pt idx="195">
                  <c:v>21.874373038812404</c:v>
                </c:pt>
                <c:pt idx="196">
                  <c:v>21.874373038812404</c:v>
                </c:pt>
                <c:pt idx="197">
                  <c:v>21.874373038812404</c:v>
                </c:pt>
                <c:pt idx="198">
                  <c:v>21.874373038812404</c:v>
                </c:pt>
                <c:pt idx="199">
                  <c:v>21.874373038812404</c:v>
                </c:pt>
                <c:pt idx="200">
                  <c:v>21.874373038812404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A216-4609-8DF6-0C1692C7E527}"/>
            </c:ext>
          </c:extLst>
        </c:ser>
        <c:ser>
          <c:idx val="20"/>
          <c:order val="20"/>
          <c:tx>
            <c:strRef>
              <c:f>试加重示意图!$L$10019</c:f>
              <c:strCache>
                <c:ptCount val="1"/>
                <c:pt idx="0">
                  <c:v>0°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试加重示意图!$G$10411</c:f>
              <c:numCache>
                <c:formatCode>General</c:formatCode>
                <c:ptCount val="1"/>
                <c:pt idx="0">
                  <c:v>26.496052735444863</c:v>
                </c:pt>
              </c:numCache>
            </c:numRef>
          </c:xVal>
          <c:yVal>
            <c:numRef>
              <c:f>试加重示意图!$H$10411</c:f>
              <c:numCache>
                <c:formatCode>General</c:formatCode>
                <c:ptCount val="1"/>
                <c:pt idx="0">
                  <c:v>21.811559558218605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A216-4609-8DF6-0C1692C7E527}"/>
            </c:ext>
          </c:extLst>
        </c:ser>
        <c:ser>
          <c:idx val="21"/>
          <c:order val="21"/>
          <c:tx>
            <c:v>Ay矢量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试加重示意图!$D$10107:$D$10108</c:f>
              <c:numCache>
                <c:formatCode>General</c:formatCode>
                <c:ptCount val="2"/>
                <c:pt idx="0">
                  <c:v>22</c:v>
                </c:pt>
                <c:pt idx="1">
                  <c:v>36.050082838725963</c:v>
                </c:pt>
              </c:numCache>
            </c:numRef>
          </c:xVal>
          <c:yVal>
            <c:numRef>
              <c:f>试加重示意图!$E$10107:$E$10108</c:f>
              <c:numCache>
                <c:formatCode>General</c:formatCode>
                <c:ptCount val="2"/>
                <c:pt idx="0">
                  <c:v>22</c:v>
                </c:pt>
                <c:pt idx="1">
                  <c:v>27.25311071889201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A216-4609-8DF6-0C1692C7E527}"/>
            </c:ext>
          </c:extLst>
        </c:ser>
        <c:ser>
          <c:idx val="22"/>
          <c:order val="22"/>
          <c:tx>
            <c:v>Ay矢量箭头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试加重示意图!$D$10109:$D$10111</c:f>
              <c:numCache>
                <c:formatCode>General</c:formatCode>
                <c:ptCount val="3"/>
                <c:pt idx="0">
                  <c:v>35.14012156784942</c:v>
                </c:pt>
                <c:pt idx="1">
                  <c:v>36.050082838725963</c:v>
                </c:pt>
                <c:pt idx="2">
                  <c:v>35.635389596069722</c:v>
                </c:pt>
              </c:numCache>
            </c:numRef>
          </c:xVal>
          <c:yVal>
            <c:numRef>
              <c:f>试加重示意图!$E$10109:$E$10111</c:f>
              <c:numCache>
                <c:formatCode>General</c:formatCode>
                <c:ptCount val="3"/>
                <c:pt idx="0">
                  <c:v>27.667803961548248</c:v>
                </c:pt>
                <c:pt idx="1">
                  <c:v>27.25311071889201</c:v>
                </c:pt>
                <c:pt idx="2">
                  <c:v>26.343149448015467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A216-4609-8DF6-0C1692C7E527}"/>
            </c:ext>
          </c:extLst>
        </c:ser>
        <c:ser>
          <c:idx val="23"/>
          <c:order val="23"/>
          <c:tx>
            <c:strRef>
              <c:f>试加重示意图!$L$10022</c:f>
              <c:strCache>
                <c:ptCount val="1"/>
                <c:pt idx="0">
                  <c:v>Ay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试加重示意图!$D$10112</c:f>
              <c:numCache>
                <c:formatCode>General</c:formatCode>
                <c:ptCount val="1"/>
                <c:pt idx="0">
                  <c:v>38.157595264534855</c:v>
                </c:pt>
              </c:numCache>
            </c:numRef>
          </c:xVal>
          <c:yVal>
            <c:numRef>
              <c:f>试加重示意图!$E$10112</c:f>
              <c:numCache>
                <c:formatCode>General</c:formatCode>
                <c:ptCount val="1"/>
                <c:pt idx="0">
                  <c:v>28.041077326725812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A216-4609-8DF6-0C1692C7E527}"/>
            </c:ext>
          </c:extLst>
        </c:ser>
        <c:ser>
          <c:idx val="24"/>
          <c:order val="24"/>
          <c:tx>
            <c:v>Py矢量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2">
                    <a:lumMod val="7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21-A216-4609-8DF6-0C1692C7E527}"/>
              </c:ext>
            </c:extLst>
          </c:dPt>
          <c:xVal>
            <c:numRef>
              <c:f>试加重示意图!$D$10113:$D$10114</c:f>
              <c:numCache>
                <c:formatCode>General</c:formatCode>
                <c:ptCount val="2"/>
                <c:pt idx="0">
                  <c:v>22</c:v>
                </c:pt>
                <c:pt idx="1">
                  <c:v>36.050082838725963</c:v>
                </c:pt>
              </c:numCache>
            </c:numRef>
          </c:xVal>
          <c:yVal>
            <c:numRef>
              <c:f>试加重示意图!$E$10113:$E$10114</c:f>
              <c:numCache>
                <c:formatCode>General</c:formatCode>
                <c:ptCount val="2"/>
                <c:pt idx="0">
                  <c:v>22</c:v>
                </c:pt>
                <c:pt idx="1">
                  <c:v>27.25311071889201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A216-4609-8DF6-0C1692C7E527}"/>
            </c:ext>
          </c:extLst>
        </c:ser>
        <c:ser>
          <c:idx val="25"/>
          <c:order val="25"/>
          <c:tx>
            <c:v>Py矢量箭头</c:v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试加重示意图!$D$10115:$D$10117</c:f>
              <c:numCache>
                <c:formatCode>General</c:formatCode>
                <c:ptCount val="3"/>
                <c:pt idx="0">
                  <c:v>35.14012156784942</c:v>
                </c:pt>
                <c:pt idx="1">
                  <c:v>36.050082838725963</c:v>
                </c:pt>
                <c:pt idx="2">
                  <c:v>35.635389596069722</c:v>
                </c:pt>
              </c:numCache>
            </c:numRef>
          </c:xVal>
          <c:yVal>
            <c:numRef>
              <c:f>试加重示意图!$E$10115:$E$10117</c:f>
              <c:numCache>
                <c:formatCode>General</c:formatCode>
                <c:ptCount val="3"/>
                <c:pt idx="0">
                  <c:v>27.667803961548248</c:v>
                </c:pt>
                <c:pt idx="1">
                  <c:v>27.25311071889201</c:v>
                </c:pt>
                <c:pt idx="2">
                  <c:v>26.343149448015467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A216-4609-8DF6-0C1692C7E527}"/>
            </c:ext>
          </c:extLst>
        </c:ser>
        <c:ser>
          <c:idx val="26"/>
          <c:order val="26"/>
          <c:tx>
            <c:strRef>
              <c:f>试加重示意图!$L$10021</c:f>
              <c:strCache>
                <c:ptCount val="1"/>
                <c:pt idx="0">
                  <c:v>Py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试加重示意图!$D$10118</c:f>
              <c:numCache>
                <c:formatCode>General</c:formatCode>
                <c:ptCount val="1"/>
                <c:pt idx="0">
                  <c:v>38.157595264534855</c:v>
                </c:pt>
              </c:numCache>
            </c:numRef>
          </c:xVal>
          <c:yVal>
            <c:numRef>
              <c:f>试加重示意图!$E$10118</c:f>
              <c:numCache>
                <c:formatCode>General</c:formatCode>
                <c:ptCount val="1"/>
                <c:pt idx="0">
                  <c:v>28.041077326725812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A216-4609-8DF6-0C1692C7E527}"/>
            </c:ext>
          </c:extLst>
        </c:ser>
        <c:ser>
          <c:idx val="27"/>
          <c:order val="27"/>
          <c:tx>
            <c:v>Py夹角</c:v>
          </c:tx>
          <c:spPr>
            <a:ln w="19050">
              <a:prstDash val="sysDash"/>
            </a:ln>
          </c:spPr>
          <c:marker>
            <c:symbol val="none"/>
          </c:marker>
          <c:xVal>
            <c:numRef>
              <c:f>试加重示意图!$J$10004:$J$10204</c:f>
              <c:numCache>
                <c:formatCode>General</c:formatCode>
                <c:ptCount val="201"/>
                <c:pt idx="0">
                  <c:v>28</c:v>
                </c:pt>
                <c:pt idx="1">
                  <c:v>27.997366921611778</c:v>
                </c:pt>
                <c:pt idx="2">
                  <c:v>27.989469997481049</c:v>
                </c:pt>
                <c:pt idx="3">
                  <c:v>27.976316158681229</c:v>
                </c:pt>
                <c:pt idx="4">
                  <c:v>27.957916950241877</c:v>
                </c:pt>
                <c:pt idx="5">
                  <c:v>27.934288521015695</c:v>
                </c:pt>
                <c:pt idx="6">
                  <c:v>27.905451609504791</c:v>
                </c:pt>
                <c:pt idx="7">
                  <c:v>27.871431525658664</c:v>
                </c:pt>
                <c:pt idx="8">
                  <c:v>27.832258128659827</c:v>
                </c:pt>
                <c:pt idx="9">
                  <c:v>27.787965800716623</c:v>
                </c:pt>
                <c:pt idx="10">
                  <c:v>27.738593416886211</c:v>
                </c:pt>
                <c:pt idx="11">
                  <c:v>27.684184310954198</c:v>
                </c:pt>
                <c:pt idx="12">
                  <c:v>27.624786237400912</c:v>
                </c:pt>
                <c:pt idx="13">
                  <c:v>27.560451329487599</c:v>
                </c:pt>
                <c:pt idx="14">
                  <c:v>27.491236053499478</c:v>
                </c:pt>
                <c:pt idx="15">
                  <c:v>27.417201159185659</c:v>
                </c:pt>
                <c:pt idx="16">
                  <c:v>27.338411626439544</c:v>
                </c:pt>
                <c:pt idx="17">
                  <c:v>27.254936608266426</c:v>
                </c:pt>
                <c:pt idx="18">
                  <c:v>27.166849370088407</c:v>
                </c:pt>
                <c:pt idx="19">
                  <c:v>27.074227225439866</c:v>
                </c:pt>
                <c:pt idx="20">
                  <c:v>26.977151468109916</c:v>
                </c:pt>
                <c:pt idx="21">
                  <c:v>26.875707300791436</c:v>
                </c:pt>
                <c:pt idx="22">
                  <c:v>26.76998376029929</c:v>
                </c:pt>
                <c:pt idx="23">
                  <c:v>26.660073639423338</c:v>
                </c:pt>
                <c:pt idx="24">
                  <c:v>26.54607340548489</c:v>
                </c:pt>
                <c:pt idx="25">
                  <c:v>26.428083115668034</c:v>
                </c:pt>
                <c:pt idx="26">
                  <c:v>26.306206329200133</c:v>
                </c:pt>
                <c:pt idx="27">
                  <c:v>26.180550016458689</c:v>
                </c:pt>
                <c:pt idx="28">
                  <c:v>26.051224465084175</c:v>
                </c:pt>
                <c:pt idx="29">
                  <c:v>25.918343183181378</c:v>
                </c:pt>
                <c:pt idx="30">
                  <c:v>25.782022799694154</c:v>
                </c:pt>
                <c:pt idx="31">
                  <c:v>25.642382962041054</c:v>
                </c:pt>
                <c:pt idx="32">
                  <c:v>25.499546231101633</c:v>
                </c:pt>
                <c:pt idx="33">
                  <c:v>25.353637973645647</c:v>
                </c:pt>
                <c:pt idx="34">
                  <c:v>25.204786252299549</c:v>
                </c:pt>
                <c:pt idx="35">
                  <c:v>25.053121713146854</c:v>
                </c:pt>
                <c:pt idx="36">
                  <c:v>24.898777471060995</c:v>
                </c:pt>
                <c:pt idx="37">
                  <c:v>24.74188899287136</c:v>
                </c:pt>
                <c:pt idx="38">
                  <c:v>24.582593978465056</c:v>
                </c:pt>
                <c:pt idx="39">
                  <c:v>24.421032239928664</c:v>
                </c:pt>
                <c:pt idx="40">
                  <c:v>24.257345578836226</c:v>
                </c:pt>
                <c:pt idx="41">
                  <c:v>24.091677661790996</c:v>
                </c:pt>
                <c:pt idx="42">
                  <c:v>23.924173894330306</c:v>
                </c:pt>
                <c:pt idx="43">
                  <c:v>23.754981293304166</c:v>
                </c:pt>
                <c:pt idx="44">
                  <c:v>23.584248357839648</c:v>
                </c:pt>
                <c:pt idx="45">
                  <c:v>23.412124939004261</c:v>
                </c:pt>
                <c:pt idx="46">
                  <c:v>23.238762108282756</c:v>
                </c:pt>
                <c:pt idx="47">
                  <c:v>23.064312024982765</c:v>
                </c:pt>
                <c:pt idx="48">
                  <c:v>22.888927802685672</c:v>
                </c:pt>
                <c:pt idx="49">
                  <c:v>22.712763374859932</c:v>
                </c:pt>
                <c:pt idx="50">
                  <c:v>22.535973359754763</c:v>
                </c:pt>
                <c:pt idx="51">
                  <c:v>22.358712924692867</c:v>
                </c:pt>
                <c:pt idx="52">
                  <c:v>22.181137649881094</c:v>
                </c:pt>
                <c:pt idx="53">
                  <c:v>22.003403391858928</c:v>
                </c:pt>
                <c:pt idx="54">
                  <c:v>21.825666146704247</c:v>
                </c:pt>
                <c:pt idx="55">
                  <c:v>21.648081913116716</c:v>
                </c:pt>
                <c:pt idx="56">
                  <c:v>21.47080655549885</c:v>
                </c:pt>
                <c:pt idx="57">
                  <c:v>21.293995667154949</c:v>
                </c:pt>
                <c:pt idx="58">
                  <c:v>21.117804433727983</c:v>
                </c:pt>
                <c:pt idx="59">
                  <c:v>20.942387496994268</c:v>
                </c:pt>
                <c:pt idx="60">
                  <c:v>20.767898819135471</c:v>
                </c:pt>
                <c:pt idx="61">
                  <c:v>20.594491547607156</c:v>
                </c:pt>
                <c:pt idx="62">
                  <c:v>20.422317880722328</c:v>
                </c:pt>
                <c:pt idx="63">
                  <c:v>20.251528934068077</c:v>
                </c:pt>
                <c:pt idx="64">
                  <c:v>20.082274607872552</c:v>
                </c:pt>
                <c:pt idx="65">
                  <c:v>19.914703455438531</c:v>
                </c:pt>
                <c:pt idx="66">
                  <c:v>19.748962552759359</c:v>
                </c:pt>
                <c:pt idx="67">
                  <c:v>19.585197369431313</c:v>
                </c:pt>
                <c:pt idx="68">
                  <c:v>19.423551640976065</c:v>
                </c:pt>
                <c:pt idx="69">
                  <c:v>19.264167242684984</c:v>
                </c:pt>
                <c:pt idx="70">
                  <c:v>19.107184065096263</c:v>
                </c:pt>
                <c:pt idx="71">
                  <c:v>18.952739891213973</c:v>
                </c:pt>
                <c:pt idx="72">
                  <c:v>18.800970275576926</c:v>
                </c:pt>
                <c:pt idx="73">
                  <c:v>18.65200842528343</c:v>
                </c:pt>
                <c:pt idx="74">
                  <c:v>18.505985083076382</c:v>
                </c:pt>
                <c:pt idx="75">
                  <c:v>18.363028412591287</c:v>
                </c:pt>
                <c:pt idx="76">
                  <c:v>18.223263885867986</c:v>
                </c:pt>
                <c:pt idx="77">
                  <c:v>18.086814173224735</c:v>
                </c:pt>
                <c:pt idx="78">
                  <c:v>17.953799035591338</c:v>
                </c:pt>
                <c:pt idx="79">
                  <c:v>17.82433521939587</c:v>
                </c:pt>
                <c:pt idx="80">
                  <c:v>17.698536354097154</c:v>
                </c:pt>
                <c:pt idx="81">
                  <c:v>17.576512852453025</c:v>
                </c:pt>
                <c:pt idx="82">
                  <c:v>17.458371813611819</c:v>
                </c:pt>
                <c:pt idx="83">
                  <c:v>17.34421692911225</c:v>
                </c:pt>
                <c:pt idx="84">
                  <c:v>17.234148391874083</c:v>
                </c:pt>
                <c:pt idx="85">
                  <c:v>17.128262808259525</c:v>
                </c:pt>
                <c:pt idx="86">
                  <c:v>17.026653113282521</c:v>
                </c:pt>
                <c:pt idx="87">
                  <c:v>16.929408489040362</c:v>
                </c:pt>
                <c:pt idx="88">
                  <c:v>16.836614286439207</c:v>
                </c:pt>
                <c:pt idx="89">
                  <c:v>16.748351950282196</c:v>
                </c:pt>
                <c:pt idx="90">
                  <c:v>16.664698947785933</c:v>
                </c:pt>
                <c:pt idx="91">
                  <c:v>16.585728700588081</c:v>
                </c:pt>
                <c:pt idx="92">
                  <c:v>16.511510520305716</c:v>
                </c:pt>
                <c:pt idx="93">
                  <c:v>16.442109547701001</c:v>
                </c:pt>
                <c:pt idx="94">
                  <c:v>16.377586695507638</c:v>
                </c:pt>
                <c:pt idx="95">
                  <c:v>16.317998594968177</c:v>
                </c:pt>
                <c:pt idx="96">
                  <c:v>16.263397546129191</c:v>
                </c:pt>
                <c:pt idx="97">
                  <c:v>16.213831471937908</c:v>
                </c:pt>
                <c:pt idx="98">
                  <c:v>16.169343876180573</c:v>
                </c:pt>
                <c:pt idx="99">
                  <c:v>16.129973805299496</c:v>
                </c:pt>
                <c:pt idx="100">
                  <c:v>16.095755814122271</c:v>
                </c:pt>
                <c:pt idx="101">
                  <c:v>16.06671993553325</c:v>
                </c:pt>
                <c:pt idx="102">
                  <c:v>16.042891654113902</c:v>
                </c:pt>
                <c:pt idx="103">
                  <c:v>16.024291883775167</c:v>
                </c:pt>
                <c:pt idx="104">
                  <c:v>16.010936949401483</c:v>
                </c:pt>
                <c:pt idx="105">
                  <c:v>16.002838572522538</c:v>
                </c:pt>
                <c:pt idx="106">
                  <c:v>16.000003861025384</c:v>
                </c:pt>
                <c:pt idx="107">
                  <c:v>16.002435302915874</c:v>
                </c:pt>
                <c:pt idx="108">
                  <c:v>16.010130764134981</c:v>
                </c:pt>
                <c:pt idx="109">
                  <c:v>16.02308349043183</c:v>
                </c:pt>
                <c:pt idx="110">
                  <c:v>16.041282113291864</c:v>
                </c:pt>
                <c:pt idx="111">
                  <c:v>16.064710659914894</c:v>
                </c:pt>
                <c:pt idx="112">
                  <c:v>16.093348567234329</c:v>
                </c:pt>
                <c:pt idx="113">
                  <c:v>16.127170699965223</c:v>
                </c:pt>
                <c:pt idx="114">
                  <c:v>16.166147372665328</c:v>
                </c:pt>
                <c:pt idx="115">
                  <c:v>16.210244375789799</c:v>
                </c:pt>
                <c:pt idx="116">
                  <c:v>16.259423005716666</c:v>
                </c:pt>
                <c:pt idx="117">
                  <c:v>16.313640098716725</c:v>
                </c:pt>
                <c:pt idx="118">
                  <c:v>16.372848068838017</c:v>
                </c:pt>
                <c:pt idx="119">
                  <c:v>16.436994949671707</c:v>
                </c:pt>
                <c:pt idx="120">
                  <c:v>16.506024439962587</c:v>
                </c:pt>
                <c:pt idx="121">
                  <c:v>16.57987595302432</c:v>
                </c:pt>
                <c:pt idx="122">
                  <c:v>16.658484669915907</c:v>
                </c:pt>
                <c:pt idx="123">
                  <c:v>16.741781596332828</c:v>
                </c:pt>
                <c:pt idx="124">
                  <c:v>16.829693623162829</c:v>
                </c:pt>
                <c:pt idx="125">
                  <c:v>16.92214359065327</c:v>
                </c:pt>
                <c:pt idx="126">
                  <c:v>17.019050356133697</c:v>
                </c:pt>
                <c:pt idx="127">
                  <c:v>17.12032886523415</c:v>
                </c:pt>
                <c:pt idx="128">
                  <c:v>17.225890226536794</c:v>
                </c:pt>
                <c:pt idx="129">
                  <c:v>17.335641789595272</c:v>
                </c:pt>
                <c:pt idx="130">
                  <c:v>17.449487226253328</c:v>
                </c:pt>
                <c:pt idx="131">
                  <c:v>17.567326615191345</c:v>
                </c:pt>
                <c:pt idx="132">
                  <c:v>17.689056529626555</c:v>
                </c:pt>
                <c:pt idx="133">
                  <c:v>17.814570128089994</c:v>
                </c:pt>
                <c:pt idx="134">
                  <c:v>17.943757248200477</c:v>
                </c:pt>
                <c:pt idx="135">
                  <c:v>18.076504503353341</c:v>
                </c:pt>
                <c:pt idx="136">
                  <c:v>18.21269538223904</c:v>
                </c:pt>
                <c:pt idx="137">
                  <c:v>18.35221035110429</c:v>
                </c:pt>
                <c:pt idx="138">
                  <c:v>18.494926958665964</c:v>
                </c:pt>
                <c:pt idx="139">
                  <c:v>18.640719943585726</c:v>
                </c:pt>
                <c:pt idx="140">
                  <c:v>18.789461344410999</c:v>
                </c:pt>
                <c:pt idx="141">
                  <c:v>18.941020611885801</c:v>
                </c:pt>
                <c:pt idx="142">
                  <c:v>19.095264723532885</c:v>
                </c:pt>
                <c:pt idx="143">
                  <c:v>19.252058300406627</c:v>
                </c:pt>
                <c:pt idx="144">
                  <c:v>19.411263725914132</c:v>
                </c:pt>
                <c:pt idx="145">
                  <c:v>19.572741266600339</c:v>
                </c:pt>
                <c:pt idx="146">
                  <c:v>19.736349194791057</c:v>
                </c:pt>
                <c:pt idx="147">
                  <c:v>19.901943912986333</c:v>
                </c:pt>
                <c:pt idx="148">
                  <c:v>20.069380079894938</c:v>
                </c:pt>
                <c:pt idx="149">
                  <c:v>20.238510737999377</c:v>
                </c:pt>
                <c:pt idx="150">
                  <c:v>20.409187442539434</c:v>
                </c:pt>
                <c:pt idx="151">
                  <c:v>20.581260391801081</c:v>
                </c:pt>
                <c:pt idx="152">
                  <c:v>20.754578558596343</c:v>
                </c:pt>
                <c:pt idx="153">
                  <c:v>20.928989822818803</c:v>
                </c:pt>
                <c:pt idx="154">
                  <c:v>21.104341104958298</c:v>
                </c:pt>
                <c:pt idx="155">
                  <c:v>21.280478500457711</c:v>
                </c:pt>
                <c:pt idx="156">
                  <c:v>21.457247414793891</c:v>
                </c:pt>
                <c:pt idx="157">
                  <c:v>21.634492699164156</c:v>
                </c:pt>
                <c:pt idx="158">
                  <c:v>21.812058786659279</c:v>
                </c:pt>
                <c:pt idx="159">
                  <c:v>21.989789828803435</c:v>
                </c:pt>
                <c:pt idx="160">
                  <c:v>22.167529832341298</c:v>
                </c:pt>
                <c:pt idx="161">
                  <c:v>22.345122796152186</c:v>
                </c:pt>
                <c:pt idx="162">
                  <c:v>22.522412848171133</c:v>
                </c:pt>
                <c:pt idx="163">
                  <c:v>22.69924438219666</c:v>
                </c:pt>
                <c:pt idx="164">
                  <c:v>22.875462194465239</c:v>
                </c:pt>
                <c:pt idx="165">
                  <c:v>23.050911619872505</c:v>
                </c:pt>
                <c:pt idx="166">
                  <c:v>23.225438667721694</c:v>
                </c:pt>
                <c:pt idx="167">
                  <c:v>23.398890156880196</c:v>
                </c:pt>
                <c:pt idx="168">
                  <c:v>23.571113850225505</c:v>
                </c:pt>
                <c:pt idx="169">
                  <c:v>23.741958588262658</c:v>
                </c:pt>
                <c:pt idx="170">
                  <c:v>23.911274421795838</c:v>
                </c:pt>
                <c:pt idx="171">
                  <c:v>24.078912743537686</c:v>
                </c:pt>
                <c:pt idx="172">
                  <c:v>24.244726418540864</c:v>
                </c:pt>
                <c:pt idx="173">
                  <c:v>24.408569913337335</c:v>
                </c:pt>
                <c:pt idx="174">
                  <c:v>24.570299423672026</c:v>
                </c:pt>
                <c:pt idx="175">
                  <c:v>24.729773000718811</c:v>
                </c:pt>
                <c:pt idx="176">
                  <c:v>24.886850675667947</c:v>
                </c:pt>
                <c:pt idx="177">
                  <c:v>25.041394582575709</c:v>
                </c:pt>
                <c:pt idx="178">
                  <c:v>25.193269079368328</c:v>
                </c:pt>
                <c:pt idx="179">
                  <c:v>25.342340866894059</c:v>
                </c:pt>
                <c:pt idx="180">
                  <c:v>25.488479105918895</c:v>
                </c:pt>
                <c:pt idx="181">
                  <c:v>25.631555531963212</c:v>
                </c:pt>
                <c:pt idx="182">
                  <c:v>25.771444567878582</c:v>
                </c:pt>
                <c:pt idx="183">
                  <c:v>25.908023434065939</c:v>
                </c:pt>
                <c:pt idx="184">
                  <c:v>26.041172256238323</c:v>
                </c:pt>
                <c:pt idx="185">
                  <c:v>26.170774170633717</c:v>
                </c:pt>
                <c:pt idx="186">
                  <c:v>26.296715426585493</c:v>
                </c:pt>
                <c:pt idx="187">
                  <c:v>26.41888548636058</c:v>
                </c:pt>
                <c:pt idx="188">
                  <c:v>26.53717712217761</c:v>
                </c:pt>
                <c:pt idx="189">
                  <c:v>26.651486510319998</c:v>
                </c:pt>
                <c:pt idx="190">
                  <c:v>26.761713322261244</c:v>
                </c:pt>
                <c:pt idx="191">
                  <c:v>26.867760812722572</c:v>
                </c:pt>
                <c:pt idx="192">
                  <c:v>26.969535904585562</c:v>
                </c:pt>
                <c:pt idx="193">
                  <c:v>27.066949270585269</c:v>
                </c:pt>
                <c:pt idx="194">
                  <c:v>27.159915411712113</c:v>
                </c:pt>
                <c:pt idx="195">
                  <c:v>27.24835273225375</c:v>
                </c:pt>
                <c:pt idx="196">
                  <c:v>27.332183611411029</c:v>
                </c:pt>
                <c:pt idx="197">
                  <c:v>27.411334471425235</c:v>
                </c:pt>
                <c:pt idx="198">
                  <c:v>27.485735842156725</c:v>
                </c:pt>
                <c:pt idx="199">
                  <c:v>27.555322422058389</c:v>
                </c:pt>
                <c:pt idx="200">
                  <c:v>27.620033135490345</c:v>
                </c:pt>
              </c:numCache>
            </c:numRef>
          </c:xVal>
          <c:yVal>
            <c:numRef>
              <c:f>试加重示意图!$K$10004:$K$10204</c:f>
              <c:numCache>
                <c:formatCode>General</c:formatCode>
                <c:ptCount val="201"/>
                <c:pt idx="0">
                  <c:v>22</c:v>
                </c:pt>
                <c:pt idx="1">
                  <c:v>21.822264219818138</c:v>
                </c:pt>
                <c:pt idx="2">
                  <c:v>21.644684437050156</c:v>
                </c:pt>
                <c:pt idx="3">
                  <c:v>21.467416512192095</c:v>
                </c:pt>
                <c:pt idx="4">
                  <c:v>21.290616032024605</c:v>
                </c:pt>
                <c:pt idx="5">
                  <c:v>21.114438173055447</c:v>
                </c:pt>
                <c:pt idx="6">
                  <c:v>20.93903756532228</c:v>
                </c:pt>
                <c:pt idx="7">
                  <c:v>20.764568156674933</c:v>
                </c:pt>
                <c:pt idx="8">
                  <c:v>20.591183077656517</c:v>
                </c:pt>
                <c:pt idx="9">
                  <c:v>20.419034507101824</c:v>
                </c:pt>
                <c:pt idx="10">
                  <c:v>20.248273538571091</c:v>
                </c:pt>
                <c:pt idx="11">
                  <c:v>20.079050047736239</c:v>
                </c:pt>
                <c:pt idx="12">
                  <c:v>19.911512560836119</c:v>
                </c:pt>
                <c:pt idx="13">
                  <c:v>19.745808124316031</c:v>
                </c:pt>
                <c:pt idx="14">
                  <c:v>19.582082175766207</c:v>
                </c:pt>
                <c:pt idx="15">
                  <c:v>19.420478416272207</c:v>
                </c:pt>
                <c:pt idx="16">
                  <c:v>19.261138684289559</c:v>
                </c:pt>
                <c:pt idx="17">
                  <c:v>19.104202831153167</c:v>
                </c:pt>
                <c:pt idx="18">
                  <c:v>18.949808598330748</c:v>
                </c:pt>
                <c:pt idx="19">
                  <c:v>18.798091496528226</c:v>
                </c:pt>
                <c:pt idx="20">
                  <c:v>18.649184686752889</c:v>
                </c:pt>
                <c:pt idx="21">
                  <c:v>18.503218863438963</c:v>
                </c:pt>
                <c:pt idx="22">
                  <c:v>18.360322139738045</c:v>
                </c:pt>
                <c:pt idx="23">
                  <c:v>18.220619935075103</c:v>
                </c:pt>
                <c:pt idx="24">
                  <c:v>18.084234865068769</c:v>
                </c:pt>
                <c:pt idx="25">
                  <c:v>17.951286633912488</c:v>
                </c:pt>
                <c:pt idx="26">
                  <c:v>17.821891929310979</c:v>
                </c:pt>
                <c:pt idx="27">
                  <c:v>17.696164320064337</c:v>
                </c:pt>
                <c:pt idx="28">
                  <c:v>17.574214156389459</c:v>
                </c:pt>
                <c:pt idx="29">
                  <c:v>17.456148473066484</c:v>
                </c:pt>
                <c:pt idx="30">
                  <c:v>17.342070895495127</c:v>
                </c:pt>
                <c:pt idx="31">
                  <c:v>17.232081548743409</c:v>
                </c:pt>
                <c:pt idx="32">
                  <c:v>17.126276969668631</c:v>
                </c:pt>
                <c:pt idx="33">
                  <c:v>17.024750022187636</c:v>
                </c:pt>
                <c:pt idx="34">
                  <c:v>16.92758981577083</c:v>
                </c:pt>
                <c:pt idx="35">
                  <c:v>16.834881627231454</c:v>
                </c:pt>
                <c:pt idx="36">
                  <c:v>16.746706825878722</c:v>
                </c:pt>
                <c:pt idx="37">
                  <c:v>16.663142802100577</c:v>
                </c:pt>
                <c:pt idx="38">
                  <c:v>16.584262899438709</c:v>
                </c:pt>
                <c:pt idx="39">
                  <c:v>16.510136350215426</c:v>
                </c:pt>
                <c:pt idx="40">
                  <c:v>16.440828214768992</c:v>
                </c:pt>
                <c:pt idx="41">
                  <c:v>16.376399324350587</c:v>
                </c:pt>
                <c:pt idx="42">
                  <c:v>16.316906227733195</c:v>
                </c:pt>
                <c:pt idx="43">
                  <c:v>16.262401141579133</c:v>
                </c:pt>
                <c:pt idx="44">
                  <c:v>16.212931904609867</c:v>
                </c:pt>
                <c:pt idx="45">
                  <c:v>16.168541935618315</c:v>
                </c:pt>
                <c:pt idx="46">
                  <c:v>16.129270195360473</c:v>
                </c:pt>
                <c:pt idx="47">
                  <c:v>16.095151152359861</c:v>
                </c:pt>
                <c:pt idx="48">
                  <c:v>16.066214752654723</c:v>
                </c:pt>
                <c:pt idx="49">
                  <c:v>16.042486393514633</c:v>
                </c:pt>
                <c:pt idx="50">
                  <c:v>16.023986901149463</c:v>
                </c:pt>
                <c:pt idx="51">
                  <c:v>16.010732512430398</c:v>
                </c:pt>
                <c:pt idx="52">
                  <c:v>16.002734860638931</c:v>
                </c:pt>
                <c:pt idx="53">
                  <c:v>16.000000965256422</c:v>
                </c:pt>
                <c:pt idx="54">
                  <c:v>16.002533225803159</c:v>
                </c:pt>
                <c:pt idx="55">
                  <c:v>16.010329419732301</c:v>
                </c:pt>
                <c:pt idx="56">
                  <c:v>16.023382704380595</c:v>
                </c:pt>
                <c:pt idx="57">
                  <c:v>16.041681622974146</c:v>
                </c:pt>
                <c:pt idx="58">
                  <c:v>16.065210114683925</c:v>
                </c:pt>
                <c:pt idx="59">
                  <c:v>16.093947528722254</c:v>
                </c:pt>
                <c:pt idx="60">
                  <c:v>16.12786864246786</c:v>
                </c:pt>
                <c:pt idx="61">
                  <c:v>16.16694368360357</c:v>
                </c:pt>
                <c:pt idx="62">
                  <c:v>16.211138356247275</c:v>
                </c:pt>
                <c:pt idx="63">
                  <c:v>16.260413871053167</c:v>
                </c:pt>
                <c:pt idx="64">
                  <c:v>16.314726979256879</c:v>
                </c:pt>
                <c:pt idx="65">
                  <c:v>16.374030010634613</c:v>
                </c:pt>
                <c:pt idx="66">
                  <c:v>16.438270915342933</c:v>
                </c:pt>
                <c:pt idx="67">
                  <c:v>16.507393309602573</c:v>
                </c:pt>
                <c:pt idx="68">
                  <c:v>16.581336525186043</c:v>
                </c:pt>
                <c:pt idx="69">
                  <c:v>16.660035662665702</c:v>
                </c:pt>
                <c:pt idx="70">
                  <c:v>16.743421648375531</c:v>
                </c:pt>
                <c:pt idx="71">
                  <c:v>16.831421295036577</c:v>
                </c:pt>
                <c:pt idx="72">
                  <c:v>16.923957365992909</c:v>
                </c:pt>
                <c:pt idx="73">
                  <c:v>17.020948643001674</c:v>
                </c:pt>
                <c:pt idx="74">
                  <c:v>17.122309997517753</c:v>
                </c:pt>
                <c:pt idx="75">
                  <c:v>17.227952465410496</c:v>
                </c:pt>
                <c:pt idx="76">
                  <c:v>17.337783325046868</c:v>
                </c:pt>
                <c:pt idx="77">
                  <c:v>17.45170617867258</c:v>
                </c:pt>
                <c:pt idx="78">
                  <c:v>17.569621037019697</c:v>
                </c:pt>
                <c:pt idx="79">
                  <c:v>17.691424407066499</c:v>
                </c:pt>
                <c:pt idx="80">
                  <c:v>17.817009382872559</c:v>
                </c:pt>
                <c:pt idx="81">
                  <c:v>17.946265739409313</c:v>
                </c:pt>
                <c:pt idx="82">
                  <c:v>18.079080029303785</c:v>
                </c:pt>
                <c:pt idx="83">
                  <c:v>18.215335682410519</c:v>
                </c:pt>
                <c:pt idx="84">
                  <c:v>18.354913108124361</c:v>
                </c:pt>
                <c:pt idx="85">
                  <c:v>18.497689800344258</c:v>
                </c:pt>
                <c:pt idx="86">
                  <c:v>18.643540444996013</c:v>
                </c:pt>
                <c:pt idx="87">
                  <c:v>18.792337030019507</c:v>
                </c:pt>
                <c:pt idx="88">
                  <c:v>18.943948957723986</c:v>
                </c:pt>
                <c:pt idx="89">
                  <c:v>19.0982431594127</c:v>
                </c:pt>
                <c:pt idx="90">
                  <c:v>19.25508421217636</c:v>
                </c:pt>
                <c:pt idx="91">
                  <c:v>19.414334457752823</c:v>
                </c:pt>
                <c:pt idx="92">
                  <c:v>19.575854123348769</c:v>
                </c:pt>
                <c:pt idx="93">
                  <c:v>19.739501444317284</c:v>
                </c:pt>
                <c:pt idx="94">
                  <c:v>19.905132788583654</c:v>
                </c:pt>
                <c:pt idx="95">
                  <c:v>20.07260278271022</c:v>
                </c:pt>
                <c:pt idx="96">
                  <c:v>20.241764439489568</c:v>
                </c:pt>
                <c:pt idx="97">
                  <c:v>20.412469286954181</c:v>
                </c:pt>
                <c:pt idx="98">
                  <c:v>20.584567498689175</c:v>
                </c:pt>
                <c:pt idx="99">
                  <c:v>20.757908025333904</c:v>
                </c:pt>
                <c:pt idx="100">
                  <c:v>20.932338727156857</c:v>
                </c:pt>
                <c:pt idx="101">
                  <c:v>21.107706507587629</c:v>
                </c:pt>
                <c:pt idx="102">
                  <c:v>21.283857447588673</c:v>
                </c:pt>
                <c:pt idx="103">
                  <c:v>21.460636940748937</c:v>
                </c:pt>
                <c:pt idx="104">
                  <c:v>21.637889828980768</c:v>
                </c:pt>
                <c:pt idx="105">
                  <c:v>21.815460538701092</c:v>
                </c:pt>
                <c:pt idx="106">
                  <c:v>21.99319321737719</c:v>
                </c:pt>
                <c:pt idx="107">
                  <c:v>22.170931870317354</c:v>
                </c:pt>
                <c:pt idx="108">
                  <c:v>22.348520497586325</c:v>
                </c:pt>
                <c:pt idx="109">
                  <c:v>22.52580323092528</c:v>
                </c:pt>
                <c:pt idx="110">
                  <c:v>22.702624470556298</c:v>
                </c:pt>
                <c:pt idx="111">
                  <c:v>22.878829021751166</c:v>
                </c:pt>
                <c:pt idx="112">
                  <c:v>23.05426223104466</c:v>
                </c:pt>
                <c:pt idx="113">
                  <c:v>23.228770121972797</c:v>
                </c:pt>
                <c:pt idx="114">
                  <c:v>23.402199530216848</c:v>
                </c:pt>
                <c:pt idx="115">
                  <c:v>23.574398238034568</c:v>
                </c:pt>
                <c:pt idx="116">
                  <c:v>23.745215107860613</c:v>
                </c:pt>
                <c:pt idx="117">
                  <c:v>23.914500214958892</c:v>
                </c:pt>
                <c:pt idx="118">
                  <c:v>24.08210497901042</c:v>
                </c:pt>
                <c:pt idx="119">
                  <c:v>24.247882294521201</c:v>
                </c:pt>
                <c:pt idx="120">
                  <c:v>24.411686659935658</c:v>
                </c:pt>
                <c:pt idx="121">
                  <c:v>24.573374305342302</c:v>
                </c:pt>
                <c:pt idx="122">
                  <c:v>24.732803318659549</c:v>
                </c:pt>
                <c:pt idx="123">
                  <c:v>24.889833770190918</c:v>
                </c:pt>
                <c:pt idx="124">
                  <c:v>25.044327835440342</c:v>
                </c:pt>
                <c:pt idx="125">
                  <c:v>25.196149916079712</c:v>
                </c:pt>
                <c:pt idx="126">
                  <c:v>25.34516675896257</c:v>
                </c:pt>
                <c:pt idx="127">
                  <c:v>25.491247573079423</c:v>
                </c:pt>
                <c:pt idx="128">
                  <c:v>25.634264144352073</c:v>
                </c:pt>
                <c:pt idx="129">
                  <c:v>25.774090948166197</c:v>
                </c:pt>
                <c:pt idx="130">
                  <c:v>25.910605259543384</c:v>
                </c:pt>
                <c:pt idx="131">
                  <c:v>26.043687260855986</c:v>
                </c:pt>
                <c:pt idx="132">
                  <c:v>26.173220146990161</c:v>
                </c:pt>
                <c:pt idx="133">
                  <c:v>26.299090227864887</c:v>
                </c:pt>
                <c:pt idx="134">
                  <c:v>26.421187028216952</c:v>
                </c:pt>
                <c:pt idx="135">
                  <c:v>26.539403384564253</c:v>
                </c:pt>
                <c:pt idx="136">
                  <c:v>26.653635539262453</c:v>
                </c:pt>
                <c:pt idx="137">
                  <c:v>26.763783231572287</c:v>
                </c:pt>
                <c:pt idx="138">
                  <c:v>26.869749785657717</c:v>
                </c:pt>
                <c:pt idx="139">
                  <c:v>26.971442195437589</c:v>
                </c:pt>
                <c:pt idx="140">
                  <c:v>27.068771206216432</c:v>
                </c:pt>
                <c:pt idx="141">
                  <c:v>27.16165139302263</c:v>
                </c:pt>
                <c:pt idx="142">
                  <c:v>27.250001235585334</c:v>
                </c:pt>
                <c:pt idx="143">
                  <c:v>27.333743189884181</c:v>
                </c:pt>
                <c:pt idx="144">
                  <c:v>27.412803756209165</c:v>
                </c:pt>
                <c:pt idx="145">
                  <c:v>27.487113543670759</c:v>
                </c:pt>
                <c:pt idx="146">
                  <c:v>27.556607331103837</c:v>
                </c:pt>
                <c:pt idx="147">
                  <c:v>27.621224124311794</c:v>
                </c:pt>
                <c:pt idx="148">
                  <c:v>27.680907209600726</c:v>
                </c:pt>
                <c:pt idx="149">
                  <c:v>27.735604203556633</c:v>
                </c:pt>
                <c:pt idx="150">
                  <c:v>27.785267099021944</c:v>
                </c:pt>
                <c:pt idx="151">
                  <c:v>27.829852307231082</c:v>
                </c:pt>
                <c:pt idx="152">
                  <c:v>27.869320696067991</c:v>
                </c:pt>
                <c:pt idx="153">
                  <c:v>27.903637624412113</c:v>
                </c:pt>
                <c:pt idx="154">
                  <c:v>27.932772972542661</c:v>
                </c:pt>
                <c:pt idx="155">
                  <c:v>27.956701168574469</c:v>
                </c:pt>
                <c:pt idx="156">
                  <c:v>27.975401210902252</c:v>
                </c:pt>
                <c:pt idx="157">
                  <c:v>27.988856686633575</c:v>
                </c:pt>
                <c:pt idx="158">
                  <c:v>27.997055785994327</c:v>
                </c:pt>
                <c:pt idx="159">
                  <c:v>27.999991312694057</c:v>
                </c:pt>
                <c:pt idx="160">
                  <c:v>27.997660690242128</c:v>
                </c:pt>
                <c:pt idx="161">
                  <c:v>27.990065964209084</c:v>
                </c:pt>
                <c:pt idx="162">
                  <c:v>27.977213800431244</c:v>
                </c:pt>
                <c:pt idx="163">
                  <c:v>27.959115479160175</c:v>
                </c:pt>
                <c:pt idx="164">
                  <c:v>27.935786885162077</c:v>
                </c:pt>
                <c:pt idx="165">
                  <c:v>27.907248493775842</c:v>
                </c:pt>
                <c:pt idx="166">
                  <c:v>27.873525352942004</c:v>
                </c:pt>
                <c:pt idx="167">
                  <c:v>27.83464706121833</c:v>
                </c:pt>
                <c:pt idx="168">
                  <c:v>27.790647741801394</c:v>
                </c:pt>
                <c:pt idx="169">
                  <c:v>27.741566012576879</c:v>
                </c:pt>
                <c:pt idx="170">
                  <c:v>27.687444952224944</c:v>
                </c:pt>
                <c:pt idx="171">
                  <c:v>27.628332062410372</c:v>
                </c:pt>
                <c:pt idx="172">
                  <c:v>27.564279226090719</c:v>
                </c:pt>
                <c:pt idx="173">
                  <c:v>27.495342661978977</c:v>
                </c:pt>
                <c:pt idx="174">
                  <c:v>27.421582875200862</c:v>
                </c:pt>
                <c:pt idx="175">
                  <c:v>27.343064604189866</c:v>
                </c:pt>
                <c:pt idx="176">
                  <c:v>27.259856763866818</c:v>
                </c:pt>
                <c:pt idx="177">
                  <c:v>27.172032385153745</c:v>
                </c:pt>
                <c:pt idx="178">
                  <c:v>27.079668550875162</c:v>
                </c:pt>
                <c:pt idx="179">
                  <c:v>26.982846328103033</c:v>
                </c:pt>
                <c:pt idx="180">
                  <c:v>26.881650697004787</c:v>
                </c:pt>
                <c:pt idx="181">
                  <c:v>26.77617047625683</c:v>
                </c:pt>
                <c:pt idx="182">
                  <c:v>26.666498245089045</c:v>
                </c:pt>
                <c:pt idx="183">
                  <c:v>26.552730262028653</c:v>
                </c:pt>
                <c:pt idx="184">
                  <c:v>26.434966380414814</c:v>
                </c:pt>
                <c:pt idx="185">
                  <c:v>26.313309960758055</c:v>
                </c:pt>
                <c:pt idx="186">
                  <c:v>26.187867780021502</c:v>
                </c:pt>
                <c:pt idx="187">
                  <c:v>26.058749937903521</c:v>
                </c:pt>
                <c:pt idx="188">
                  <c:v>25.926069760203973</c:v>
                </c:pt>
                <c:pt idx="189">
                  <c:v>25.789943699359014</c:v>
                </c:pt>
                <c:pt idx="190">
                  <c:v>25.650491232231602</c:v>
                </c:pt>
                <c:pt idx="191">
                  <c:v>25.507834755247529</c:v>
                </c:pt>
                <c:pt idx="192">
                  <c:v>25.362099476968961</c:v>
                </c:pt>
                <c:pt idx="193">
                  <c:v>25.213413308199772</c:v>
                </c:pt>
                <c:pt idx="194">
                  <c:v>25.061906749719171</c:v>
                </c:pt>
                <c:pt idx="195">
                  <c:v>24.907712777742091</c:v>
                </c:pt>
                <c:pt idx="196">
                  <c:v>24.750966727206933</c:v>
                </c:pt>
                <c:pt idx="197">
                  <c:v>24.591806172993071</c:v>
                </c:pt>
                <c:pt idx="198">
                  <c:v>24.430370809172352</c:v>
                </c:pt>
                <c:pt idx="199">
                  <c:v>24.266802326400633</c:v>
                </c:pt>
                <c:pt idx="200">
                  <c:v>24.101244287556909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A216-4609-8DF6-0C1692C7E527}"/>
            </c:ext>
          </c:extLst>
        </c:ser>
        <c:ser>
          <c:idx val="28"/>
          <c:order val="28"/>
          <c:tx>
            <c:strRef>
              <c:f>试加重示意图!$L$10023</c:f>
              <c:strCache>
                <c:ptCount val="1"/>
                <c:pt idx="0">
                  <c:v>339.5°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试加重示意图!$J$10206</c:f>
              <c:numCache>
                <c:formatCode>General</c:formatCode>
                <c:ptCount val="1"/>
                <c:pt idx="0">
                  <c:v>14.955968566359395</c:v>
                </c:pt>
              </c:numCache>
            </c:numRef>
          </c:xVal>
          <c:yVal>
            <c:numRef>
              <c:f>试加重示意图!$K$10206</c:f>
              <c:numCache>
                <c:formatCode>General</c:formatCode>
                <c:ptCount val="1"/>
                <c:pt idx="0">
                  <c:v>20.509489630400687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A216-4609-8DF6-0C1692C7E527}"/>
            </c:ext>
          </c:extLst>
        </c:ser>
        <c:ser>
          <c:idx val="29"/>
          <c:order val="29"/>
          <c:tx>
            <c:v>Ay夹角</c:v>
          </c:tx>
          <c:spPr>
            <a:ln w="19050">
              <a:prstDash val="sysDash"/>
            </a:ln>
          </c:spPr>
          <c:marker>
            <c:symbol val="none"/>
          </c:marker>
          <c:xVal>
            <c:numRef>
              <c:f>试加重示意图!$J$10209:$J$10409</c:f>
              <c:numCache>
                <c:formatCode>General</c:formatCode>
                <c:ptCount val="201"/>
                <c:pt idx="0">
                  <c:v>28.322537277426683</c:v>
                </c:pt>
                <c:pt idx="1">
                  <c:v>28.322537277426683</c:v>
                </c:pt>
                <c:pt idx="2">
                  <c:v>28.322537277426683</c:v>
                </c:pt>
                <c:pt idx="3">
                  <c:v>28.322537277426683</c:v>
                </c:pt>
                <c:pt idx="4">
                  <c:v>28.322537277426683</c:v>
                </c:pt>
                <c:pt idx="5">
                  <c:v>28.322537277426683</c:v>
                </c:pt>
                <c:pt idx="6">
                  <c:v>28.322537277426683</c:v>
                </c:pt>
                <c:pt idx="7">
                  <c:v>28.322537277426683</c:v>
                </c:pt>
                <c:pt idx="8">
                  <c:v>28.322537277426683</c:v>
                </c:pt>
                <c:pt idx="9">
                  <c:v>28.322537277426683</c:v>
                </c:pt>
                <c:pt idx="10">
                  <c:v>28.322537277426683</c:v>
                </c:pt>
                <c:pt idx="11">
                  <c:v>28.322537277426683</c:v>
                </c:pt>
                <c:pt idx="12">
                  <c:v>28.322537277426683</c:v>
                </c:pt>
                <c:pt idx="13">
                  <c:v>28.322537277426683</c:v>
                </c:pt>
                <c:pt idx="14">
                  <c:v>28.322537277426683</c:v>
                </c:pt>
                <c:pt idx="15">
                  <c:v>28.322537277426683</c:v>
                </c:pt>
                <c:pt idx="16">
                  <c:v>28.322537277426683</c:v>
                </c:pt>
                <c:pt idx="17">
                  <c:v>28.322537277426683</c:v>
                </c:pt>
                <c:pt idx="18">
                  <c:v>28.322537277426683</c:v>
                </c:pt>
                <c:pt idx="19">
                  <c:v>28.322537277426683</c:v>
                </c:pt>
                <c:pt idx="20">
                  <c:v>28.322537277426683</c:v>
                </c:pt>
                <c:pt idx="21">
                  <c:v>28.322537277426683</c:v>
                </c:pt>
                <c:pt idx="22">
                  <c:v>28.322537277426683</c:v>
                </c:pt>
                <c:pt idx="23">
                  <c:v>28.322537277426683</c:v>
                </c:pt>
                <c:pt idx="24">
                  <c:v>28.322537277426683</c:v>
                </c:pt>
                <c:pt idx="25">
                  <c:v>28.322537277426683</c:v>
                </c:pt>
                <c:pt idx="26">
                  <c:v>28.322537277426683</c:v>
                </c:pt>
                <c:pt idx="27">
                  <c:v>28.322537277426683</c:v>
                </c:pt>
                <c:pt idx="28">
                  <c:v>28.322537277426683</c:v>
                </c:pt>
                <c:pt idx="29">
                  <c:v>28.322537277426683</c:v>
                </c:pt>
                <c:pt idx="30">
                  <c:v>28.322537277426683</c:v>
                </c:pt>
                <c:pt idx="31">
                  <c:v>28.322537277426683</c:v>
                </c:pt>
                <c:pt idx="32">
                  <c:v>28.322537277426683</c:v>
                </c:pt>
                <c:pt idx="33">
                  <c:v>28.322537277426683</c:v>
                </c:pt>
                <c:pt idx="34">
                  <c:v>28.322537277426683</c:v>
                </c:pt>
                <c:pt idx="35">
                  <c:v>28.322537277426683</c:v>
                </c:pt>
                <c:pt idx="36">
                  <c:v>28.322537277426683</c:v>
                </c:pt>
                <c:pt idx="37">
                  <c:v>28.322537277426683</c:v>
                </c:pt>
                <c:pt idx="38">
                  <c:v>28.322537277426683</c:v>
                </c:pt>
                <c:pt idx="39">
                  <c:v>28.322537277426683</c:v>
                </c:pt>
                <c:pt idx="40">
                  <c:v>28.322537277426683</c:v>
                </c:pt>
                <c:pt idx="41">
                  <c:v>28.322537277426683</c:v>
                </c:pt>
                <c:pt idx="42">
                  <c:v>28.322537277426683</c:v>
                </c:pt>
                <c:pt idx="43">
                  <c:v>28.322537277426683</c:v>
                </c:pt>
                <c:pt idx="44">
                  <c:v>28.322537277426683</c:v>
                </c:pt>
                <c:pt idx="45">
                  <c:v>28.322537277426683</c:v>
                </c:pt>
                <c:pt idx="46">
                  <c:v>28.322537277426683</c:v>
                </c:pt>
                <c:pt idx="47">
                  <c:v>28.322537277426683</c:v>
                </c:pt>
                <c:pt idx="48">
                  <c:v>28.322537277426683</c:v>
                </c:pt>
                <c:pt idx="49">
                  <c:v>28.322537277426683</c:v>
                </c:pt>
                <c:pt idx="50">
                  <c:v>28.322537277426683</c:v>
                </c:pt>
                <c:pt idx="51">
                  <c:v>28.322537277426683</c:v>
                </c:pt>
                <c:pt idx="52">
                  <c:v>28.322537277426683</c:v>
                </c:pt>
                <c:pt idx="53">
                  <c:v>28.322537277426683</c:v>
                </c:pt>
                <c:pt idx="54">
                  <c:v>28.322537277426683</c:v>
                </c:pt>
                <c:pt idx="55">
                  <c:v>28.322537277426683</c:v>
                </c:pt>
                <c:pt idx="56">
                  <c:v>28.322537277426683</c:v>
                </c:pt>
                <c:pt idx="57">
                  <c:v>28.322537277426683</c:v>
                </c:pt>
                <c:pt idx="58">
                  <c:v>28.322537277426683</c:v>
                </c:pt>
                <c:pt idx="59">
                  <c:v>28.322537277426683</c:v>
                </c:pt>
                <c:pt idx="60">
                  <c:v>28.322537277426683</c:v>
                </c:pt>
                <c:pt idx="61">
                  <c:v>28.322537277426683</c:v>
                </c:pt>
                <c:pt idx="62">
                  <c:v>28.322537277426683</c:v>
                </c:pt>
                <c:pt idx="63">
                  <c:v>28.322537277426683</c:v>
                </c:pt>
                <c:pt idx="64">
                  <c:v>28.322537277426683</c:v>
                </c:pt>
                <c:pt idx="65">
                  <c:v>28.322537277426683</c:v>
                </c:pt>
                <c:pt idx="66">
                  <c:v>28.322537277426683</c:v>
                </c:pt>
                <c:pt idx="67">
                  <c:v>28.322537277426683</c:v>
                </c:pt>
                <c:pt idx="68">
                  <c:v>28.322537277426683</c:v>
                </c:pt>
                <c:pt idx="69">
                  <c:v>28.322537277426683</c:v>
                </c:pt>
                <c:pt idx="70">
                  <c:v>28.322537277426683</c:v>
                </c:pt>
                <c:pt idx="71">
                  <c:v>28.322537277426683</c:v>
                </c:pt>
                <c:pt idx="72">
                  <c:v>28.322537277426683</c:v>
                </c:pt>
                <c:pt idx="73">
                  <c:v>28.322537277426683</c:v>
                </c:pt>
                <c:pt idx="74">
                  <c:v>28.322537277426683</c:v>
                </c:pt>
                <c:pt idx="75">
                  <c:v>28.322537277426683</c:v>
                </c:pt>
                <c:pt idx="76">
                  <c:v>28.322537277426683</c:v>
                </c:pt>
                <c:pt idx="77">
                  <c:v>28.322537277426683</c:v>
                </c:pt>
                <c:pt idx="78">
                  <c:v>28.322537277426683</c:v>
                </c:pt>
                <c:pt idx="79">
                  <c:v>28.322537277426683</c:v>
                </c:pt>
                <c:pt idx="80">
                  <c:v>28.322537277426683</c:v>
                </c:pt>
                <c:pt idx="81">
                  <c:v>28.322537277426683</c:v>
                </c:pt>
                <c:pt idx="82">
                  <c:v>28.322537277426683</c:v>
                </c:pt>
                <c:pt idx="83">
                  <c:v>28.322537277426683</c:v>
                </c:pt>
                <c:pt idx="84">
                  <c:v>28.322537277426683</c:v>
                </c:pt>
                <c:pt idx="85">
                  <c:v>28.322537277426683</c:v>
                </c:pt>
                <c:pt idx="86">
                  <c:v>28.322537277426683</c:v>
                </c:pt>
                <c:pt idx="87">
                  <c:v>28.322537277426683</c:v>
                </c:pt>
                <c:pt idx="88">
                  <c:v>28.322537277426683</c:v>
                </c:pt>
                <c:pt idx="89">
                  <c:v>28.322537277426683</c:v>
                </c:pt>
                <c:pt idx="90">
                  <c:v>28.322537277426683</c:v>
                </c:pt>
                <c:pt idx="91">
                  <c:v>28.322537277426683</c:v>
                </c:pt>
                <c:pt idx="92">
                  <c:v>28.322537277426683</c:v>
                </c:pt>
                <c:pt idx="93">
                  <c:v>28.322537277426683</c:v>
                </c:pt>
                <c:pt idx="94">
                  <c:v>28.322537277426683</c:v>
                </c:pt>
                <c:pt idx="95">
                  <c:v>28.322537277426683</c:v>
                </c:pt>
                <c:pt idx="96">
                  <c:v>28.322537277426683</c:v>
                </c:pt>
                <c:pt idx="97">
                  <c:v>28.322537277426683</c:v>
                </c:pt>
                <c:pt idx="98">
                  <c:v>28.322537277426683</c:v>
                </c:pt>
                <c:pt idx="99">
                  <c:v>28.322537277426683</c:v>
                </c:pt>
                <c:pt idx="100">
                  <c:v>28.322537277426683</c:v>
                </c:pt>
                <c:pt idx="101">
                  <c:v>28.322537277426683</c:v>
                </c:pt>
                <c:pt idx="102">
                  <c:v>28.322537277426683</c:v>
                </c:pt>
                <c:pt idx="103">
                  <c:v>28.322537277426683</c:v>
                </c:pt>
                <c:pt idx="104">
                  <c:v>28.322537277426683</c:v>
                </c:pt>
                <c:pt idx="105">
                  <c:v>28.322537277426683</c:v>
                </c:pt>
                <c:pt idx="106">
                  <c:v>28.322537277426683</c:v>
                </c:pt>
                <c:pt idx="107">
                  <c:v>28.322537277426683</c:v>
                </c:pt>
                <c:pt idx="108">
                  <c:v>28.322537277426683</c:v>
                </c:pt>
                <c:pt idx="109">
                  <c:v>28.322537277426683</c:v>
                </c:pt>
                <c:pt idx="110">
                  <c:v>28.322537277426683</c:v>
                </c:pt>
                <c:pt idx="111">
                  <c:v>28.322537277426683</c:v>
                </c:pt>
                <c:pt idx="112">
                  <c:v>28.322537277426683</c:v>
                </c:pt>
                <c:pt idx="113">
                  <c:v>28.322537277426683</c:v>
                </c:pt>
                <c:pt idx="114">
                  <c:v>28.322537277426683</c:v>
                </c:pt>
                <c:pt idx="115">
                  <c:v>28.322537277426683</c:v>
                </c:pt>
                <c:pt idx="116">
                  <c:v>28.322537277426683</c:v>
                </c:pt>
                <c:pt idx="117">
                  <c:v>28.322537277426683</c:v>
                </c:pt>
                <c:pt idx="118">
                  <c:v>28.322537277426683</c:v>
                </c:pt>
                <c:pt idx="119">
                  <c:v>28.322537277426683</c:v>
                </c:pt>
                <c:pt idx="120">
                  <c:v>28.322537277426683</c:v>
                </c:pt>
                <c:pt idx="121">
                  <c:v>28.322537277426683</c:v>
                </c:pt>
                <c:pt idx="122">
                  <c:v>28.322537277426683</c:v>
                </c:pt>
                <c:pt idx="123">
                  <c:v>28.322537277426683</c:v>
                </c:pt>
                <c:pt idx="124">
                  <c:v>28.322537277426683</c:v>
                </c:pt>
                <c:pt idx="125">
                  <c:v>28.322537277426683</c:v>
                </c:pt>
                <c:pt idx="126">
                  <c:v>28.322537277426683</c:v>
                </c:pt>
                <c:pt idx="127">
                  <c:v>28.322537277426683</c:v>
                </c:pt>
                <c:pt idx="128">
                  <c:v>28.322537277426683</c:v>
                </c:pt>
                <c:pt idx="129">
                  <c:v>28.322537277426683</c:v>
                </c:pt>
                <c:pt idx="130">
                  <c:v>28.322537277426683</c:v>
                </c:pt>
                <c:pt idx="131">
                  <c:v>28.322537277426683</c:v>
                </c:pt>
                <c:pt idx="132">
                  <c:v>28.322537277426683</c:v>
                </c:pt>
                <c:pt idx="133">
                  <c:v>28.322537277426683</c:v>
                </c:pt>
                <c:pt idx="134">
                  <c:v>28.322537277426683</c:v>
                </c:pt>
                <c:pt idx="135">
                  <c:v>28.322537277426683</c:v>
                </c:pt>
                <c:pt idx="136">
                  <c:v>28.322537277426683</c:v>
                </c:pt>
                <c:pt idx="137">
                  <c:v>28.322537277426683</c:v>
                </c:pt>
                <c:pt idx="138">
                  <c:v>28.322537277426683</c:v>
                </c:pt>
                <c:pt idx="139">
                  <c:v>28.322537277426683</c:v>
                </c:pt>
                <c:pt idx="140">
                  <c:v>28.322537277426683</c:v>
                </c:pt>
                <c:pt idx="141">
                  <c:v>28.322537277426683</c:v>
                </c:pt>
                <c:pt idx="142">
                  <c:v>28.322537277426683</c:v>
                </c:pt>
                <c:pt idx="143">
                  <c:v>28.322537277426683</c:v>
                </c:pt>
                <c:pt idx="144">
                  <c:v>28.322537277426683</c:v>
                </c:pt>
                <c:pt idx="145">
                  <c:v>28.322537277426683</c:v>
                </c:pt>
                <c:pt idx="146">
                  <c:v>28.322537277426683</c:v>
                </c:pt>
                <c:pt idx="147">
                  <c:v>28.322537277426683</c:v>
                </c:pt>
                <c:pt idx="148">
                  <c:v>28.322537277426683</c:v>
                </c:pt>
                <c:pt idx="149">
                  <c:v>28.322537277426683</c:v>
                </c:pt>
                <c:pt idx="150">
                  <c:v>28.322537277426683</c:v>
                </c:pt>
                <c:pt idx="151">
                  <c:v>28.322537277426683</c:v>
                </c:pt>
                <c:pt idx="152">
                  <c:v>28.322537277426683</c:v>
                </c:pt>
                <c:pt idx="153">
                  <c:v>28.322537277426683</c:v>
                </c:pt>
                <c:pt idx="154">
                  <c:v>28.322537277426683</c:v>
                </c:pt>
                <c:pt idx="155">
                  <c:v>28.322537277426683</c:v>
                </c:pt>
                <c:pt idx="156">
                  <c:v>28.322537277426683</c:v>
                </c:pt>
                <c:pt idx="157">
                  <c:v>28.322537277426683</c:v>
                </c:pt>
                <c:pt idx="158">
                  <c:v>28.322537277426683</c:v>
                </c:pt>
                <c:pt idx="159">
                  <c:v>28.322537277426683</c:v>
                </c:pt>
                <c:pt idx="160">
                  <c:v>28.322537277426683</c:v>
                </c:pt>
                <c:pt idx="161">
                  <c:v>28.322537277426683</c:v>
                </c:pt>
                <c:pt idx="162">
                  <c:v>28.322537277426683</c:v>
                </c:pt>
                <c:pt idx="163">
                  <c:v>28.322537277426683</c:v>
                </c:pt>
                <c:pt idx="164">
                  <c:v>28.322537277426683</c:v>
                </c:pt>
                <c:pt idx="165">
                  <c:v>28.322537277426683</c:v>
                </c:pt>
                <c:pt idx="166">
                  <c:v>28.322537277426683</c:v>
                </c:pt>
                <c:pt idx="167">
                  <c:v>28.322537277426683</c:v>
                </c:pt>
                <c:pt idx="168">
                  <c:v>28.322537277426683</c:v>
                </c:pt>
                <c:pt idx="169">
                  <c:v>28.322537277426683</c:v>
                </c:pt>
                <c:pt idx="170">
                  <c:v>28.322537277426683</c:v>
                </c:pt>
                <c:pt idx="171">
                  <c:v>28.322537277426683</c:v>
                </c:pt>
                <c:pt idx="172">
                  <c:v>28.322537277426683</c:v>
                </c:pt>
                <c:pt idx="173">
                  <c:v>28.322537277426683</c:v>
                </c:pt>
                <c:pt idx="174">
                  <c:v>28.322537277426683</c:v>
                </c:pt>
                <c:pt idx="175">
                  <c:v>28.322537277426683</c:v>
                </c:pt>
                <c:pt idx="176">
                  <c:v>28.322537277426683</c:v>
                </c:pt>
                <c:pt idx="177">
                  <c:v>28.322537277426683</c:v>
                </c:pt>
                <c:pt idx="178">
                  <c:v>28.322537277426683</c:v>
                </c:pt>
                <c:pt idx="179">
                  <c:v>28.322537277426683</c:v>
                </c:pt>
                <c:pt idx="180">
                  <c:v>28.322537277426683</c:v>
                </c:pt>
                <c:pt idx="181">
                  <c:v>28.322537277426683</c:v>
                </c:pt>
                <c:pt idx="182">
                  <c:v>28.322537277426683</c:v>
                </c:pt>
                <c:pt idx="183">
                  <c:v>28.322537277426683</c:v>
                </c:pt>
                <c:pt idx="184">
                  <c:v>28.322537277426683</c:v>
                </c:pt>
                <c:pt idx="185">
                  <c:v>28.322537277426683</c:v>
                </c:pt>
                <c:pt idx="186">
                  <c:v>28.322537277426683</c:v>
                </c:pt>
                <c:pt idx="187">
                  <c:v>28.322537277426683</c:v>
                </c:pt>
                <c:pt idx="188">
                  <c:v>28.322537277426683</c:v>
                </c:pt>
                <c:pt idx="189">
                  <c:v>28.322537277426683</c:v>
                </c:pt>
                <c:pt idx="190">
                  <c:v>28.322537277426683</c:v>
                </c:pt>
                <c:pt idx="191">
                  <c:v>28.322537277426683</c:v>
                </c:pt>
                <c:pt idx="192">
                  <c:v>28.322537277426683</c:v>
                </c:pt>
                <c:pt idx="193">
                  <c:v>28.322537277426683</c:v>
                </c:pt>
                <c:pt idx="194">
                  <c:v>28.322537277426683</c:v>
                </c:pt>
                <c:pt idx="195">
                  <c:v>28.322537277426683</c:v>
                </c:pt>
                <c:pt idx="196">
                  <c:v>28.322537277426683</c:v>
                </c:pt>
                <c:pt idx="197">
                  <c:v>28.322537277426683</c:v>
                </c:pt>
                <c:pt idx="198">
                  <c:v>28.322537277426683</c:v>
                </c:pt>
                <c:pt idx="199">
                  <c:v>28.322537277426683</c:v>
                </c:pt>
                <c:pt idx="200">
                  <c:v>28.322537277426683</c:v>
                </c:pt>
              </c:numCache>
            </c:numRef>
          </c:xVal>
          <c:yVal>
            <c:numRef>
              <c:f>试加重示意图!$K$10209:$K$10409</c:f>
              <c:numCache>
                <c:formatCode>General</c:formatCode>
                <c:ptCount val="201"/>
                <c:pt idx="0">
                  <c:v>24.363899823501406</c:v>
                </c:pt>
                <c:pt idx="1">
                  <c:v>24.363899823501406</c:v>
                </c:pt>
                <c:pt idx="2">
                  <c:v>24.363899823501406</c:v>
                </c:pt>
                <c:pt idx="3">
                  <c:v>24.363899823501406</c:v>
                </c:pt>
                <c:pt idx="4">
                  <c:v>24.363899823501406</c:v>
                </c:pt>
                <c:pt idx="5">
                  <c:v>24.363899823501406</c:v>
                </c:pt>
                <c:pt idx="6">
                  <c:v>24.363899823501406</c:v>
                </c:pt>
                <c:pt idx="7">
                  <c:v>24.363899823501406</c:v>
                </c:pt>
                <c:pt idx="8">
                  <c:v>24.363899823501406</c:v>
                </c:pt>
                <c:pt idx="9">
                  <c:v>24.363899823501406</c:v>
                </c:pt>
                <c:pt idx="10">
                  <c:v>24.363899823501406</c:v>
                </c:pt>
                <c:pt idx="11">
                  <c:v>24.363899823501406</c:v>
                </c:pt>
                <c:pt idx="12">
                  <c:v>24.363899823501406</c:v>
                </c:pt>
                <c:pt idx="13">
                  <c:v>24.363899823501406</c:v>
                </c:pt>
                <c:pt idx="14">
                  <c:v>24.363899823501406</c:v>
                </c:pt>
                <c:pt idx="15">
                  <c:v>24.363899823501406</c:v>
                </c:pt>
                <c:pt idx="16">
                  <c:v>24.363899823501406</c:v>
                </c:pt>
                <c:pt idx="17">
                  <c:v>24.363899823501406</c:v>
                </c:pt>
                <c:pt idx="18">
                  <c:v>24.363899823501406</c:v>
                </c:pt>
                <c:pt idx="19">
                  <c:v>24.363899823501406</c:v>
                </c:pt>
                <c:pt idx="20">
                  <c:v>24.363899823501406</c:v>
                </c:pt>
                <c:pt idx="21">
                  <c:v>24.363899823501406</c:v>
                </c:pt>
                <c:pt idx="22">
                  <c:v>24.363899823501406</c:v>
                </c:pt>
                <c:pt idx="23">
                  <c:v>24.363899823501406</c:v>
                </c:pt>
                <c:pt idx="24">
                  <c:v>24.363899823501406</c:v>
                </c:pt>
                <c:pt idx="25">
                  <c:v>24.363899823501406</c:v>
                </c:pt>
                <c:pt idx="26">
                  <c:v>24.363899823501406</c:v>
                </c:pt>
                <c:pt idx="27">
                  <c:v>24.363899823501406</c:v>
                </c:pt>
                <c:pt idx="28">
                  <c:v>24.363899823501406</c:v>
                </c:pt>
                <c:pt idx="29">
                  <c:v>24.363899823501406</c:v>
                </c:pt>
                <c:pt idx="30">
                  <c:v>24.363899823501406</c:v>
                </c:pt>
                <c:pt idx="31">
                  <c:v>24.363899823501406</c:v>
                </c:pt>
                <c:pt idx="32">
                  <c:v>24.363899823501406</c:v>
                </c:pt>
                <c:pt idx="33">
                  <c:v>24.363899823501406</c:v>
                </c:pt>
                <c:pt idx="34">
                  <c:v>24.363899823501406</c:v>
                </c:pt>
                <c:pt idx="35">
                  <c:v>24.363899823501406</c:v>
                </c:pt>
                <c:pt idx="36">
                  <c:v>24.363899823501406</c:v>
                </c:pt>
                <c:pt idx="37">
                  <c:v>24.363899823501406</c:v>
                </c:pt>
                <c:pt idx="38">
                  <c:v>24.363899823501406</c:v>
                </c:pt>
                <c:pt idx="39">
                  <c:v>24.363899823501406</c:v>
                </c:pt>
                <c:pt idx="40">
                  <c:v>24.363899823501406</c:v>
                </c:pt>
                <c:pt idx="41">
                  <c:v>24.363899823501406</c:v>
                </c:pt>
                <c:pt idx="42">
                  <c:v>24.363899823501406</c:v>
                </c:pt>
                <c:pt idx="43">
                  <c:v>24.363899823501406</c:v>
                </c:pt>
                <c:pt idx="44">
                  <c:v>24.363899823501406</c:v>
                </c:pt>
                <c:pt idx="45">
                  <c:v>24.363899823501406</c:v>
                </c:pt>
                <c:pt idx="46">
                  <c:v>24.363899823501406</c:v>
                </c:pt>
                <c:pt idx="47">
                  <c:v>24.363899823501406</c:v>
                </c:pt>
                <c:pt idx="48">
                  <c:v>24.363899823501406</c:v>
                </c:pt>
                <c:pt idx="49">
                  <c:v>24.363899823501406</c:v>
                </c:pt>
                <c:pt idx="50">
                  <c:v>24.363899823501406</c:v>
                </c:pt>
                <c:pt idx="51">
                  <c:v>24.363899823501406</c:v>
                </c:pt>
                <c:pt idx="52">
                  <c:v>24.363899823501406</c:v>
                </c:pt>
                <c:pt idx="53">
                  <c:v>24.363899823501406</c:v>
                </c:pt>
                <c:pt idx="54">
                  <c:v>24.363899823501406</c:v>
                </c:pt>
                <c:pt idx="55">
                  <c:v>24.363899823501406</c:v>
                </c:pt>
                <c:pt idx="56">
                  <c:v>24.363899823501406</c:v>
                </c:pt>
                <c:pt idx="57">
                  <c:v>24.363899823501406</c:v>
                </c:pt>
                <c:pt idx="58">
                  <c:v>24.363899823501406</c:v>
                </c:pt>
                <c:pt idx="59">
                  <c:v>24.363899823501406</c:v>
                </c:pt>
                <c:pt idx="60">
                  <c:v>24.363899823501406</c:v>
                </c:pt>
                <c:pt idx="61">
                  <c:v>24.363899823501406</c:v>
                </c:pt>
                <c:pt idx="62">
                  <c:v>24.363899823501406</c:v>
                </c:pt>
                <c:pt idx="63">
                  <c:v>24.363899823501406</c:v>
                </c:pt>
                <c:pt idx="64">
                  <c:v>24.363899823501406</c:v>
                </c:pt>
                <c:pt idx="65">
                  <c:v>24.363899823501406</c:v>
                </c:pt>
                <c:pt idx="66">
                  <c:v>24.363899823501406</c:v>
                </c:pt>
                <c:pt idx="67">
                  <c:v>24.363899823501406</c:v>
                </c:pt>
                <c:pt idx="68">
                  <c:v>24.363899823501406</c:v>
                </c:pt>
                <c:pt idx="69">
                  <c:v>24.363899823501406</c:v>
                </c:pt>
                <c:pt idx="70">
                  <c:v>24.363899823501406</c:v>
                </c:pt>
                <c:pt idx="71">
                  <c:v>24.363899823501406</c:v>
                </c:pt>
                <c:pt idx="72">
                  <c:v>24.363899823501406</c:v>
                </c:pt>
                <c:pt idx="73">
                  <c:v>24.363899823501406</c:v>
                </c:pt>
                <c:pt idx="74">
                  <c:v>24.363899823501406</c:v>
                </c:pt>
                <c:pt idx="75">
                  <c:v>24.363899823501406</c:v>
                </c:pt>
                <c:pt idx="76">
                  <c:v>24.363899823501406</c:v>
                </c:pt>
                <c:pt idx="77">
                  <c:v>24.363899823501406</c:v>
                </c:pt>
                <c:pt idx="78">
                  <c:v>24.363899823501406</c:v>
                </c:pt>
                <c:pt idx="79">
                  <c:v>24.363899823501406</c:v>
                </c:pt>
                <c:pt idx="80">
                  <c:v>24.363899823501406</c:v>
                </c:pt>
                <c:pt idx="81">
                  <c:v>24.363899823501406</c:v>
                </c:pt>
                <c:pt idx="82">
                  <c:v>24.363899823501406</c:v>
                </c:pt>
                <c:pt idx="83">
                  <c:v>24.363899823501406</c:v>
                </c:pt>
                <c:pt idx="84">
                  <c:v>24.363899823501406</c:v>
                </c:pt>
                <c:pt idx="85">
                  <c:v>24.363899823501406</c:v>
                </c:pt>
                <c:pt idx="86">
                  <c:v>24.363899823501406</c:v>
                </c:pt>
                <c:pt idx="87">
                  <c:v>24.363899823501406</c:v>
                </c:pt>
                <c:pt idx="88">
                  <c:v>24.363899823501406</c:v>
                </c:pt>
                <c:pt idx="89">
                  <c:v>24.363899823501406</c:v>
                </c:pt>
                <c:pt idx="90">
                  <c:v>24.363899823501406</c:v>
                </c:pt>
                <c:pt idx="91">
                  <c:v>24.363899823501406</c:v>
                </c:pt>
                <c:pt idx="92">
                  <c:v>24.363899823501406</c:v>
                </c:pt>
                <c:pt idx="93">
                  <c:v>24.363899823501406</c:v>
                </c:pt>
                <c:pt idx="94">
                  <c:v>24.363899823501406</c:v>
                </c:pt>
                <c:pt idx="95">
                  <c:v>24.363899823501406</c:v>
                </c:pt>
                <c:pt idx="96">
                  <c:v>24.363899823501406</c:v>
                </c:pt>
                <c:pt idx="97">
                  <c:v>24.363899823501406</c:v>
                </c:pt>
                <c:pt idx="98">
                  <c:v>24.363899823501406</c:v>
                </c:pt>
                <c:pt idx="99">
                  <c:v>24.363899823501406</c:v>
                </c:pt>
                <c:pt idx="100">
                  <c:v>24.363899823501406</c:v>
                </c:pt>
                <c:pt idx="101">
                  <c:v>24.363899823501406</c:v>
                </c:pt>
                <c:pt idx="102">
                  <c:v>24.363899823501406</c:v>
                </c:pt>
                <c:pt idx="103">
                  <c:v>24.363899823501406</c:v>
                </c:pt>
                <c:pt idx="104">
                  <c:v>24.363899823501406</c:v>
                </c:pt>
                <c:pt idx="105">
                  <c:v>24.363899823501406</c:v>
                </c:pt>
                <c:pt idx="106">
                  <c:v>24.363899823501406</c:v>
                </c:pt>
                <c:pt idx="107">
                  <c:v>24.363899823501406</c:v>
                </c:pt>
                <c:pt idx="108">
                  <c:v>24.363899823501406</c:v>
                </c:pt>
                <c:pt idx="109">
                  <c:v>24.363899823501406</c:v>
                </c:pt>
                <c:pt idx="110">
                  <c:v>24.363899823501406</c:v>
                </c:pt>
                <c:pt idx="111">
                  <c:v>24.363899823501406</c:v>
                </c:pt>
                <c:pt idx="112">
                  <c:v>24.363899823501406</c:v>
                </c:pt>
                <c:pt idx="113">
                  <c:v>24.363899823501406</c:v>
                </c:pt>
                <c:pt idx="114">
                  <c:v>24.363899823501406</c:v>
                </c:pt>
                <c:pt idx="115">
                  <c:v>24.363899823501406</c:v>
                </c:pt>
                <c:pt idx="116">
                  <c:v>24.363899823501406</c:v>
                </c:pt>
                <c:pt idx="117">
                  <c:v>24.363899823501406</c:v>
                </c:pt>
                <c:pt idx="118">
                  <c:v>24.363899823501406</c:v>
                </c:pt>
                <c:pt idx="119">
                  <c:v>24.363899823501406</c:v>
                </c:pt>
                <c:pt idx="120">
                  <c:v>24.363899823501406</c:v>
                </c:pt>
                <c:pt idx="121">
                  <c:v>24.363899823501406</c:v>
                </c:pt>
                <c:pt idx="122">
                  <c:v>24.363899823501406</c:v>
                </c:pt>
                <c:pt idx="123">
                  <c:v>24.363899823501406</c:v>
                </c:pt>
                <c:pt idx="124">
                  <c:v>24.363899823501406</c:v>
                </c:pt>
                <c:pt idx="125">
                  <c:v>24.363899823501406</c:v>
                </c:pt>
                <c:pt idx="126">
                  <c:v>24.363899823501406</c:v>
                </c:pt>
                <c:pt idx="127">
                  <c:v>24.363899823501406</c:v>
                </c:pt>
                <c:pt idx="128">
                  <c:v>24.363899823501406</c:v>
                </c:pt>
                <c:pt idx="129">
                  <c:v>24.363899823501406</c:v>
                </c:pt>
                <c:pt idx="130">
                  <c:v>24.363899823501406</c:v>
                </c:pt>
                <c:pt idx="131">
                  <c:v>24.363899823501406</c:v>
                </c:pt>
                <c:pt idx="132">
                  <c:v>24.363899823501406</c:v>
                </c:pt>
                <c:pt idx="133">
                  <c:v>24.363899823501406</c:v>
                </c:pt>
                <c:pt idx="134">
                  <c:v>24.363899823501406</c:v>
                </c:pt>
                <c:pt idx="135">
                  <c:v>24.363899823501406</c:v>
                </c:pt>
                <c:pt idx="136">
                  <c:v>24.363899823501406</c:v>
                </c:pt>
                <c:pt idx="137">
                  <c:v>24.363899823501406</c:v>
                </c:pt>
                <c:pt idx="138">
                  <c:v>24.363899823501406</c:v>
                </c:pt>
                <c:pt idx="139">
                  <c:v>24.363899823501406</c:v>
                </c:pt>
                <c:pt idx="140">
                  <c:v>24.363899823501406</c:v>
                </c:pt>
                <c:pt idx="141">
                  <c:v>24.363899823501406</c:v>
                </c:pt>
                <c:pt idx="142">
                  <c:v>24.363899823501406</c:v>
                </c:pt>
                <c:pt idx="143">
                  <c:v>24.363899823501406</c:v>
                </c:pt>
                <c:pt idx="144">
                  <c:v>24.363899823501406</c:v>
                </c:pt>
                <c:pt idx="145">
                  <c:v>24.363899823501406</c:v>
                </c:pt>
                <c:pt idx="146">
                  <c:v>24.363899823501406</c:v>
                </c:pt>
                <c:pt idx="147">
                  <c:v>24.363899823501406</c:v>
                </c:pt>
                <c:pt idx="148">
                  <c:v>24.363899823501406</c:v>
                </c:pt>
                <c:pt idx="149">
                  <c:v>24.363899823501406</c:v>
                </c:pt>
                <c:pt idx="150">
                  <c:v>24.363899823501406</c:v>
                </c:pt>
                <c:pt idx="151">
                  <c:v>24.363899823501406</c:v>
                </c:pt>
                <c:pt idx="152">
                  <c:v>24.363899823501406</c:v>
                </c:pt>
                <c:pt idx="153">
                  <c:v>24.363899823501406</c:v>
                </c:pt>
                <c:pt idx="154">
                  <c:v>24.363899823501406</c:v>
                </c:pt>
                <c:pt idx="155">
                  <c:v>24.363899823501406</c:v>
                </c:pt>
                <c:pt idx="156">
                  <c:v>24.363899823501406</c:v>
                </c:pt>
                <c:pt idx="157">
                  <c:v>24.363899823501406</c:v>
                </c:pt>
                <c:pt idx="158">
                  <c:v>24.363899823501406</c:v>
                </c:pt>
                <c:pt idx="159">
                  <c:v>24.363899823501406</c:v>
                </c:pt>
                <c:pt idx="160">
                  <c:v>24.363899823501406</c:v>
                </c:pt>
                <c:pt idx="161">
                  <c:v>24.363899823501406</c:v>
                </c:pt>
                <c:pt idx="162">
                  <c:v>24.363899823501406</c:v>
                </c:pt>
                <c:pt idx="163">
                  <c:v>24.363899823501406</c:v>
                </c:pt>
                <c:pt idx="164">
                  <c:v>24.363899823501406</c:v>
                </c:pt>
                <c:pt idx="165">
                  <c:v>24.363899823501406</c:v>
                </c:pt>
                <c:pt idx="166">
                  <c:v>24.363899823501406</c:v>
                </c:pt>
                <c:pt idx="167">
                  <c:v>24.363899823501406</c:v>
                </c:pt>
                <c:pt idx="168">
                  <c:v>24.363899823501406</c:v>
                </c:pt>
                <c:pt idx="169">
                  <c:v>24.363899823501406</c:v>
                </c:pt>
                <c:pt idx="170">
                  <c:v>24.363899823501406</c:v>
                </c:pt>
                <c:pt idx="171">
                  <c:v>24.363899823501406</c:v>
                </c:pt>
                <c:pt idx="172">
                  <c:v>24.363899823501406</c:v>
                </c:pt>
                <c:pt idx="173">
                  <c:v>24.363899823501406</c:v>
                </c:pt>
                <c:pt idx="174">
                  <c:v>24.363899823501406</c:v>
                </c:pt>
                <c:pt idx="175">
                  <c:v>24.363899823501406</c:v>
                </c:pt>
                <c:pt idx="176">
                  <c:v>24.363899823501406</c:v>
                </c:pt>
                <c:pt idx="177">
                  <c:v>24.363899823501406</c:v>
                </c:pt>
                <c:pt idx="178">
                  <c:v>24.363899823501406</c:v>
                </c:pt>
                <c:pt idx="179">
                  <c:v>24.363899823501406</c:v>
                </c:pt>
                <c:pt idx="180">
                  <c:v>24.363899823501406</c:v>
                </c:pt>
                <c:pt idx="181">
                  <c:v>24.363899823501406</c:v>
                </c:pt>
                <c:pt idx="182">
                  <c:v>24.363899823501406</c:v>
                </c:pt>
                <c:pt idx="183">
                  <c:v>24.363899823501406</c:v>
                </c:pt>
                <c:pt idx="184">
                  <c:v>24.363899823501406</c:v>
                </c:pt>
                <c:pt idx="185">
                  <c:v>24.363899823501406</c:v>
                </c:pt>
                <c:pt idx="186">
                  <c:v>24.363899823501406</c:v>
                </c:pt>
                <c:pt idx="187">
                  <c:v>24.363899823501406</c:v>
                </c:pt>
                <c:pt idx="188">
                  <c:v>24.363899823501406</c:v>
                </c:pt>
                <c:pt idx="189">
                  <c:v>24.363899823501406</c:v>
                </c:pt>
                <c:pt idx="190">
                  <c:v>24.363899823501406</c:v>
                </c:pt>
                <c:pt idx="191">
                  <c:v>24.363899823501406</c:v>
                </c:pt>
                <c:pt idx="192">
                  <c:v>24.363899823501406</c:v>
                </c:pt>
                <c:pt idx="193">
                  <c:v>24.363899823501406</c:v>
                </c:pt>
                <c:pt idx="194">
                  <c:v>24.363899823501406</c:v>
                </c:pt>
                <c:pt idx="195">
                  <c:v>24.363899823501406</c:v>
                </c:pt>
                <c:pt idx="196">
                  <c:v>24.363899823501406</c:v>
                </c:pt>
                <c:pt idx="197">
                  <c:v>24.363899823501406</c:v>
                </c:pt>
                <c:pt idx="198">
                  <c:v>24.363899823501406</c:v>
                </c:pt>
                <c:pt idx="199">
                  <c:v>24.363899823501406</c:v>
                </c:pt>
                <c:pt idx="200">
                  <c:v>24.363899823501406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A216-4609-8DF6-0C1692C7E527}"/>
            </c:ext>
          </c:extLst>
        </c:ser>
        <c:ser>
          <c:idx val="30"/>
          <c:order val="30"/>
          <c:tx>
            <c:strRef>
              <c:f>试加重示意图!$L$10024</c:f>
              <c:strCache>
                <c:ptCount val="1"/>
                <c:pt idx="0">
                  <c:v>0°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试加重示意图!$J$10411</c:f>
              <c:numCache>
                <c:formatCode>General</c:formatCode>
                <c:ptCount val="1"/>
                <c:pt idx="0">
                  <c:v>29.58704473291202</c:v>
                </c:pt>
              </c:numCache>
            </c:numRef>
          </c:xVal>
          <c:yVal>
            <c:numRef>
              <c:f>试加重示意图!$K$10411</c:f>
              <c:numCache>
                <c:formatCode>General</c:formatCode>
                <c:ptCount val="1"/>
                <c:pt idx="0">
                  <c:v>24.836679788201685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A216-4609-8DF6-0C1692C7E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787008"/>
        <c:axId val="237788544"/>
      </c:scatterChart>
      <c:valAx>
        <c:axId val="237787008"/>
        <c:scaling>
          <c:orientation val="minMax"/>
          <c:max val="45"/>
        </c:scaling>
        <c:delete val="1"/>
        <c:axPos val="b"/>
        <c:numFmt formatCode="General" sourceLinked="1"/>
        <c:majorTickMark val="none"/>
        <c:minorTickMark val="none"/>
        <c:tickLblPos val="none"/>
        <c:crossAx val="237788544"/>
        <c:crosses val="autoZero"/>
        <c:crossBetween val="midCat"/>
      </c:valAx>
      <c:valAx>
        <c:axId val="237788544"/>
        <c:scaling>
          <c:orientation val="minMax"/>
          <c:max val="45"/>
          <c:min val="0"/>
        </c:scaling>
        <c:delete val="1"/>
        <c:axPos val="l"/>
        <c:majorGridlines>
          <c:spPr>
            <a:ln>
              <a:noFill/>
            </a:ln>
          </c:spPr>
        </c:majorGridlines>
        <c:numFmt formatCode="General" sourceLinked="1"/>
        <c:majorTickMark val="none"/>
        <c:minorTickMark val="none"/>
        <c:tickLblPos val="none"/>
        <c:crossAx val="237787008"/>
        <c:crosses val="autoZero"/>
        <c:crossBetween val="midCat"/>
      </c:valAx>
      <c:spPr>
        <a:ln>
          <a:noFill/>
        </a:ln>
      </c:spPr>
    </c:plotArea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104778</xdr:colOff>
      <xdr:row>0</xdr:row>
      <xdr:rowOff>1</xdr:rowOff>
    </xdr:from>
    <xdr:to>
      <xdr:col>10</xdr:col>
      <xdr:colOff>66676</xdr:colOff>
      <xdr:row>24</xdr:row>
      <xdr:rowOff>95251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T10411"/>
  <sheetViews>
    <sheetView zoomScale="85" zoomScaleNormal="85" workbookViewId="0">
      <selection activeCell="B17" sqref="B17"/>
    </sheetView>
  </sheetViews>
  <sheetFormatPr defaultRowHeight="13.5" x14ac:dyDescent="0.15"/>
  <cols>
    <col min="1" max="1" width="24.375" style="3" customWidth="1"/>
    <col min="2" max="2" width="13.5" customWidth="1"/>
    <col min="3" max="3" width="6.375" customWidth="1"/>
    <col min="4" max="4" width="7" style="3" customWidth="1"/>
    <col min="5" max="5" width="4.375" style="3" customWidth="1"/>
    <col min="6" max="6" width="9.375" style="3" customWidth="1"/>
    <col min="7" max="7" width="11.75" style="3" customWidth="1"/>
    <col min="8" max="8" width="7.625" style="3" customWidth="1"/>
    <col min="9" max="9" width="5.5" style="4" customWidth="1"/>
    <col min="10" max="11" width="8.75" style="4" customWidth="1"/>
    <col min="12" max="12" width="6.875" customWidth="1"/>
    <col min="13" max="13" width="6.875" style="4" customWidth="1"/>
    <col min="14" max="14" width="16.125" style="4" customWidth="1"/>
    <col min="15" max="17" width="6.875" style="4" customWidth="1"/>
    <col min="18" max="18" width="9.625" customWidth="1"/>
    <col min="19" max="19" width="28.875" bestFit="1" customWidth="1"/>
    <col min="20" max="20" width="9.125" bestFit="1" customWidth="1"/>
  </cols>
  <sheetData>
    <row r="1" spans="1:20" x14ac:dyDescent="0.15">
      <c r="A1" s="42" t="s">
        <v>54</v>
      </c>
      <c r="B1" s="43"/>
    </row>
    <row r="2" spans="1:20" x14ac:dyDescent="0.15">
      <c r="A2" s="43"/>
      <c r="B2" s="43"/>
    </row>
    <row r="3" spans="1:20" x14ac:dyDescent="0.15">
      <c r="A3" s="4" t="s">
        <v>2</v>
      </c>
      <c r="B3" s="4" t="s">
        <v>181</v>
      </c>
    </row>
    <row r="4" spans="1:20" x14ac:dyDescent="0.15">
      <c r="A4" s="4" t="s">
        <v>45</v>
      </c>
      <c r="B4" s="1">
        <v>0</v>
      </c>
    </row>
    <row r="5" spans="1:20" x14ac:dyDescent="0.15">
      <c r="A5" s="4" t="s">
        <v>46</v>
      </c>
      <c r="B5" s="1">
        <v>0</v>
      </c>
    </row>
    <row r="6" spans="1:20" x14ac:dyDescent="0.15">
      <c r="A6" s="4" t="s">
        <v>47</v>
      </c>
      <c r="B6" s="1">
        <v>90</v>
      </c>
    </row>
    <row r="7" spans="1:20" x14ac:dyDescent="0.15">
      <c r="A7" s="41" t="s">
        <v>25</v>
      </c>
      <c r="B7" s="41"/>
    </row>
    <row r="8" spans="1:20" x14ac:dyDescent="0.15">
      <c r="A8" s="11" t="s">
        <v>43</v>
      </c>
      <c r="B8" s="11" t="s">
        <v>44</v>
      </c>
    </row>
    <row r="9" spans="1:20" x14ac:dyDescent="0.15">
      <c r="A9" s="1">
        <v>45.7</v>
      </c>
      <c r="B9" s="1">
        <v>2.4</v>
      </c>
    </row>
    <row r="10" spans="1:20" x14ac:dyDescent="0.15">
      <c r="A10" s="4" t="s">
        <v>49</v>
      </c>
      <c r="B10" s="1">
        <v>0</v>
      </c>
    </row>
    <row r="11" spans="1:20" x14ac:dyDescent="0.15">
      <c r="A11" s="41" t="s">
        <v>36</v>
      </c>
      <c r="B11" s="41"/>
    </row>
    <row r="12" spans="1:20" x14ac:dyDescent="0.15">
      <c r="A12" s="11" t="s">
        <v>43</v>
      </c>
      <c r="B12" s="11" t="s">
        <v>44</v>
      </c>
    </row>
    <row r="13" spans="1:20" x14ac:dyDescent="0.15">
      <c r="A13" s="1">
        <v>58.4</v>
      </c>
      <c r="B13" s="1">
        <v>69.5</v>
      </c>
      <c r="S13">
        <v>8000</v>
      </c>
      <c r="T13" t="s">
        <v>68</v>
      </c>
    </row>
    <row r="14" spans="1:20" x14ac:dyDescent="0.15">
      <c r="A14" s="4" t="s">
        <v>48</v>
      </c>
      <c r="B14" s="1">
        <v>0</v>
      </c>
      <c r="S14">
        <v>9.8000000000000007</v>
      </c>
    </row>
    <row r="15" spans="1:20" x14ac:dyDescent="0.15">
      <c r="A15" s="4" t="s">
        <v>40</v>
      </c>
      <c r="B15" s="15" t="s">
        <v>4103</v>
      </c>
      <c r="S15">
        <v>3000</v>
      </c>
      <c r="T15" t="s">
        <v>67</v>
      </c>
    </row>
    <row r="16" spans="1:20" ht="27" x14ac:dyDescent="0.15">
      <c r="A16" s="14" t="s">
        <v>60</v>
      </c>
      <c r="B16" s="13">
        <f>IF(B15="只显示Y向","",MOD(H10002*200+540,360))</f>
        <v>182.39999999999998</v>
      </c>
      <c r="S16">
        <f>S15/60*2*PI()</f>
        <v>314.15926535897933</v>
      </c>
    </row>
    <row r="17" spans="1:20" ht="27" x14ac:dyDescent="0.15">
      <c r="A17" s="14" t="s">
        <v>61</v>
      </c>
      <c r="B17" s="13">
        <f>IF(B15="只显示X向","",MOD(K10002*200+540,360))</f>
        <v>159.5</v>
      </c>
      <c r="S17">
        <v>0.49</v>
      </c>
      <c r="T17" t="s">
        <v>64</v>
      </c>
    </row>
    <row r="18" spans="1:20" x14ac:dyDescent="0.15">
      <c r="A18" s="4" t="s">
        <v>50</v>
      </c>
      <c r="B18" s="1">
        <v>3000</v>
      </c>
      <c r="S18">
        <v>500</v>
      </c>
      <c r="T18" t="s">
        <v>65</v>
      </c>
    </row>
    <row r="19" spans="1:20" x14ac:dyDescent="0.15">
      <c r="A19" s="4" t="s">
        <v>41</v>
      </c>
      <c r="B19" s="1">
        <v>1500</v>
      </c>
      <c r="S19">
        <v>190</v>
      </c>
      <c r="T19" t="s">
        <v>66</v>
      </c>
    </row>
    <row r="20" spans="1:20" x14ac:dyDescent="0.15">
      <c r="A20" s="4" t="s">
        <v>42</v>
      </c>
      <c r="B20" s="1">
        <v>700</v>
      </c>
      <c r="S20">
        <f>S19*S13*S14/(S16^2*S17*S18)</f>
        <v>0.61603279654541365</v>
      </c>
      <c r="T20" t="s">
        <v>63</v>
      </c>
    </row>
    <row r="21" spans="1:20" x14ac:dyDescent="0.15">
      <c r="A21" s="4" t="s">
        <v>51</v>
      </c>
      <c r="B21" s="1">
        <v>350</v>
      </c>
    </row>
    <row r="22" spans="1:20" x14ac:dyDescent="0.15">
      <c r="A22" s="4" t="s">
        <v>53</v>
      </c>
      <c r="B22" s="12">
        <f>0.001*(B19/60*2*PI())^2*B20/1000/9.8</f>
        <v>1.7624293573373855</v>
      </c>
    </row>
    <row r="23" spans="1:20" x14ac:dyDescent="0.15">
      <c r="A23" s="4" t="s">
        <v>52</v>
      </c>
      <c r="B23" s="12">
        <f>B22*B21</f>
        <v>616.8502750680849</v>
      </c>
    </row>
    <row r="24" spans="1:20" ht="27" x14ac:dyDescent="0.15">
      <c r="A24" s="14" t="s">
        <v>62</v>
      </c>
      <c r="B24" s="12">
        <f>B23/B18*100</f>
        <v>20.561675835602831</v>
      </c>
    </row>
    <row r="222" spans="19:19" x14ac:dyDescent="0.15">
      <c r="S222" s="9"/>
    </row>
    <row r="10000" spans="1:1" x14ac:dyDescent="0.15">
      <c r="A10000" s="2" t="s">
        <v>55</v>
      </c>
    </row>
    <row r="10001" spans="1:18" x14ac:dyDescent="0.15">
      <c r="A10001" s="3">
        <v>0</v>
      </c>
      <c r="B10001">
        <f t="shared" ref="B10001:B10064" si="0">COS(A10001/180*PI())*$E$10001+$E$10002</f>
        <v>37</v>
      </c>
      <c r="C10001">
        <f t="shared" ref="C10001:C10064" si="1">SIN(A10001/180*PI())*$E$10001+$E$10003</f>
        <v>22</v>
      </c>
      <c r="D10001" t="s">
        <v>35</v>
      </c>
      <c r="E10001" s="1">
        <v>15</v>
      </c>
      <c r="F10001" s="2"/>
      <c r="G10001" s="2" t="s">
        <v>32</v>
      </c>
      <c r="H10001" s="2"/>
      <c r="I10001" s="2"/>
      <c r="J10001" s="2" t="s">
        <v>38</v>
      </c>
      <c r="K10001" s="2"/>
      <c r="L10001" t="s">
        <v>2</v>
      </c>
      <c r="R10001" t="str">
        <f>B3</f>
        <v>逆时针</v>
      </c>
    </row>
    <row r="10002" spans="1:18" x14ac:dyDescent="0.15">
      <c r="A10002" s="3">
        <f>A10001+1</f>
        <v>1</v>
      </c>
      <c r="B10002" s="3">
        <f t="shared" si="0"/>
        <v>36.997715427345867</v>
      </c>
      <c r="C10002" s="3">
        <f t="shared" si="1"/>
        <v>22.261786096559252</v>
      </c>
      <c r="D10002" t="s">
        <v>0</v>
      </c>
      <c r="E10002" s="1">
        <v>22</v>
      </c>
      <c r="F10002" s="1">
        <f>MOD(R10002+720,360)</f>
        <v>0</v>
      </c>
      <c r="G10002" s="1">
        <f>MOD(R10003-E10006*(R10007-R10008)+720,360)</f>
        <v>357.6</v>
      </c>
      <c r="H10002" s="1">
        <f>MOD(IF(E10006=1,F10002-G10002+720,720-F10002+G10002),360)/200</f>
        <v>1.1999999999999886E-2</v>
      </c>
      <c r="I10002" s="1">
        <f>MOD(R10002+720,360)</f>
        <v>0</v>
      </c>
      <c r="J10002" s="1">
        <f>MOD(R10004-E10006*(R10011-R10012)+720,360)</f>
        <v>20.5</v>
      </c>
      <c r="K10002" s="1">
        <f>MOD(IF(E10006=1,I10002-J10002+720,720-I10002+J10002),360)/200</f>
        <v>1.6975</v>
      </c>
      <c r="L10002" t="s">
        <v>4</v>
      </c>
      <c r="R10002">
        <f>B4</f>
        <v>0</v>
      </c>
    </row>
    <row r="10003" spans="1:18" x14ac:dyDescent="0.15">
      <c r="A10003" s="3">
        <f t="shared" ref="A10003:A10022" si="2">A10002+1</f>
        <v>2</v>
      </c>
      <c r="B10003" s="3">
        <f t="shared" si="0"/>
        <v>36.990862405286435</v>
      </c>
      <c r="C10003" s="3">
        <f t="shared" si="1"/>
        <v>22.523492450537514</v>
      </c>
      <c r="D10003" t="s">
        <v>1</v>
      </c>
      <c r="E10003" s="1">
        <v>22</v>
      </c>
      <c r="F10003" s="10" t="s">
        <v>31</v>
      </c>
      <c r="G10003" s="1" t="str">
        <f>MOD(H10002*200,360) &amp;"°"</f>
        <v>2.39999999999998°</v>
      </c>
      <c r="H10003" s="1"/>
      <c r="I10003" s="10" t="s">
        <v>31</v>
      </c>
      <c r="J10003" s="1" t="str">
        <f>MOD(K10002*200,360) &amp;"°"</f>
        <v>339.5°</v>
      </c>
      <c r="K10003" s="1"/>
      <c r="L10003" t="s">
        <v>9</v>
      </c>
      <c r="R10003" s="4">
        <f>IF($B$15="只显示Y向",B6,B5)</f>
        <v>0</v>
      </c>
    </row>
    <row r="10004" spans="1:18" x14ac:dyDescent="0.15">
      <c r="A10004" s="3">
        <f t="shared" si="2"/>
        <v>3</v>
      </c>
      <c r="B10004" s="3">
        <f t="shared" si="0"/>
        <v>36.979443021318609</v>
      </c>
      <c r="C10004" s="3">
        <f t="shared" si="1"/>
        <v>22.785039343644158</v>
      </c>
      <c r="D10004" s="3" t="s">
        <v>3</v>
      </c>
      <c r="E10004" s="1">
        <v>1.4</v>
      </c>
      <c r="F10004" s="9">
        <f>MOD(F10002,360)</f>
        <v>0</v>
      </c>
      <c r="G10004" s="9">
        <f>COS(F10004/180*PI())*$E$10001*$R$10019+$E$10002</f>
        <v>24.25</v>
      </c>
      <c r="H10004" s="9">
        <f>SIN(F10004/180*PI())*$E$10001*$R$10019+$E$10003</f>
        <v>22</v>
      </c>
      <c r="I10004" s="9">
        <f>MOD(I10002,360)</f>
        <v>0</v>
      </c>
      <c r="J10004" s="9">
        <f>COS(I10004/180*PI())*$E$10001*$R$10023+$E$10002</f>
        <v>28</v>
      </c>
      <c r="K10004" s="9">
        <f>SIN(I10004/180*PI())*$E$10001*$R$10023+$E$10003</f>
        <v>22</v>
      </c>
      <c r="L10004" s="3" t="s">
        <v>20</v>
      </c>
      <c r="R10004" s="4">
        <f>IF($B$15="只显示X向",B5,B6)</f>
        <v>90</v>
      </c>
    </row>
    <row r="10005" spans="1:18" x14ac:dyDescent="0.15">
      <c r="A10005" s="3">
        <f t="shared" si="2"/>
        <v>4</v>
      </c>
      <c r="B10005" s="3">
        <f t="shared" si="0"/>
        <v>36.963460753897365</v>
      </c>
      <c r="C10005" s="3">
        <f t="shared" si="1"/>
        <v>23.046347106161878</v>
      </c>
      <c r="D10005" s="3" t="s">
        <v>7</v>
      </c>
      <c r="E10005" s="1">
        <f>IF(R10001="顺时针",115,65)</f>
        <v>65</v>
      </c>
      <c r="F10005" s="9">
        <f t="shared" ref="F10005:F10036" si="3">MOD(F10004-$E$10006*$H$10002,360)</f>
        <v>359.988</v>
      </c>
      <c r="G10005" s="9">
        <f>COS(F10005/180*PI())*$E$10001*$R$10019+$E$10002</f>
        <v>24.249999950651979</v>
      </c>
      <c r="H10005" s="9">
        <f>SIN(F10005/180*PI())*$E$10001*$R$10019+$E$10003</f>
        <v>21.999528761105406</v>
      </c>
      <c r="I10005" s="9">
        <f t="shared" ref="I10005:I10036" si="4">MOD(I10004-$E$10006*$K$10002,360)</f>
        <v>358.30250000000001</v>
      </c>
      <c r="J10005" s="9">
        <f t="shared" ref="J10005:J10012" si="5">COS(I10005/180*PI())*$E$10001*$R$10023+$E$10002</f>
        <v>27.997366921611778</v>
      </c>
      <c r="K10005" s="9">
        <f t="shared" ref="K10005:K10012" si="6">SIN(I10005/180*PI())*$E$10001*$R$10023+$E$10003</f>
        <v>21.822264219818138</v>
      </c>
      <c r="L10005" s="2" t="s">
        <v>25</v>
      </c>
      <c r="M10005" s="2"/>
      <c r="N10005" s="2"/>
      <c r="O10005" s="2"/>
      <c r="P10005" s="2"/>
      <c r="Q10005" s="2"/>
      <c r="R10005" s="2"/>
    </row>
    <row r="10006" spans="1:18" x14ac:dyDescent="0.15">
      <c r="A10006" s="3">
        <f t="shared" si="2"/>
        <v>5</v>
      </c>
      <c r="B10006" s="3">
        <f t="shared" si="0"/>
        <v>36.942920471376183</v>
      </c>
      <c r="C10006" s="3">
        <f t="shared" si="1"/>
        <v>23.307336141214872</v>
      </c>
      <c r="D10006" s="3" t="s">
        <v>27</v>
      </c>
      <c r="E10006" s="1">
        <f>IF(R10001="顺时针",-1,1)</f>
        <v>1</v>
      </c>
      <c r="F10006" s="9">
        <f t="shared" si="3"/>
        <v>359.976</v>
      </c>
      <c r="G10006" s="9">
        <f t="shared" ref="G10006:G10069" si="7">COS(F10006/180*PI())*$E$10001*$R$10019+$E$10002</f>
        <v>24.249999802607913</v>
      </c>
      <c r="H10006" s="9">
        <f t="shared" ref="H10006:H10069" si="8">SIN(F10006/180*PI())*$E$10001*$R$10019+$E$10003</f>
        <v>21.999057522231485</v>
      </c>
      <c r="I10006" s="9">
        <f t="shared" si="4"/>
        <v>356.60500000000002</v>
      </c>
      <c r="J10006" s="9">
        <f t="shared" si="5"/>
        <v>27.989469997481049</v>
      </c>
      <c r="K10006" s="9">
        <f t="shared" si="6"/>
        <v>21.644684437050156</v>
      </c>
      <c r="L10006" s="2" t="s">
        <v>23</v>
      </c>
      <c r="M10006" s="2"/>
      <c r="N10006" s="2"/>
      <c r="O10006" s="2"/>
      <c r="P10006" s="2"/>
      <c r="Q10006" s="2"/>
      <c r="R10006" s="2" t="s">
        <v>24</v>
      </c>
    </row>
    <row r="10007" spans="1:18" x14ac:dyDescent="0.15">
      <c r="A10007" s="3">
        <f t="shared" si="2"/>
        <v>6</v>
      </c>
      <c r="B10007" s="3">
        <f t="shared" si="0"/>
        <v>36.917828430524096</v>
      </c>
      <c r="C10007" s="3">
        <f t="shared" si="1"/>
        <v>23.567926949014801</v>
      </c>
      <c r="D10007" s="3" t="s">
        <v>28</v>
      </c>
      <c r="E10007" s="1">
        <v>1</v>
      </c>
      <c r="F10007" s="9">
        <f t="shared" si="3"/>
        <v>359.964</v>
      </c>
      <c r="G10007" s="9">
        <f t="shared" si="7"/>
        <v>24.249999555867817</v>
      </c>
      <c r="H10007" s="9">
        <f t="shared" si="8"/>
        <v>21.998586283398904</v>
      </c>
      <c r="I10007" s="9">
        <f t="shared" si="4"/>
        <v>354.90750000000003</v>
      </c>
      <c r="J10007" s="9">
        <f t="shared" si="5"/>
        <v>27.976316158681229</v>
      </c>
      <c r="K10007" s="9">
        <f t="shared" si="6"/>
        <v>21.467416512192095</v>
      </c>
      <c r="L10007">
        <f>IF($B$15="只显示Y向",A13,A9)</f>
        <v>45.7</v>
      </c>
      <c r="R10007" s="4">
        <f>IF($B$15="只显示Y向",B13,B9)</f>
        <v>2.4</v>
      </c>
    </row>
    <row r="10008" spans="1:18" x14ac:dyDescent="0.15">
      <c r="A10008" s="3">
        <f t="shared" si="2"/>
        <v>7</v>
      </c>
      <c r="B10008" s="3">
        <f t="shared" si="0"/>
        <v>36.888192274619826</v>
      </c>
      <c r="C10008" s="3">
        <f t="shared" si="1"/>
        <v>23.828040151077211</v>
      </c>
      <c r="D10008" s="3" t="s">
        <v>21</v>
      </c>
      <c r="E10008" s="1">
        <v>2</v>
      </c>
      <c r="F10008" s="9">
        <f t="shared" si="3"/>
        <v>359.952</v>
      </c>
      <c r="G10008" s="9">
        <f t="shared" si="7"/>
        <v>24.249999210431696</v>
      </c>
      <c r="H10008" s="9">
        <f t="shared" si="8"/>
        <v>21.998115044628335</v>
      </c>
      <c r="I10008" s="9">
        <f t="shared" si="4"/>
        <v>353.21000000000004</v>
      </c>
      <c r="J10008" s="9">
        <f t="shared" si="5"/>
        <v>27.957916950241877</v>
      </c>
      <c r="K10008" s="9">
        <f t="shared" si="6"/>
        <v>21.290616032024605</v>
      </c>
      <c r="L10008" t="s">
        <v>26</v>
      </c>
      <c r="R10008" s="4">
        <f>IF($B$15="只显示Y向",B14,B10)</f>
        <v>0</v>
      </c>
    </row>
    <row r="10009" spans="1:18" x14ac:dyDescent="0.15">
      <c r="A10009" s="3">
        <f t="shared" si="2"/>
        <v>8</v>
      </c>
      <c r="B10009" s="3">
        <f t="shared" si="0"/>
        <v>36.854021031123551</v>
      </c>
      <c r="C10009" s="3">
        <f t="shared" si="1"/>
        <v>24.087596514400982</v>
      </c>
      <c r="D10009" s="3" t="s">
        <v>22</v>
      </c>
      <c r="E10009" s="1">
        <v>2</v>
      </c>
      <c r="F10009" s="9">
        <f t="shared" si="3"/>
        <v>359.94</v>
      </c>
      <c r="G10009" s="9">
        <f t="shared" si="7"/>
        <v>24.249998766299562</v>
      </c>
      <c r="H10009" s="9">
        <f t="shared" si="8"/>
        <v>21.997643805940449</v>
      </c>
      <c r="I10009" s="9">
        <f t="shared" si="4"/>
        <v>351.51250000000005</v>
      </c>
      <c r="J10009" s="9">
        <f t="shared" si="5"/>
        <v>27.934288521015695</v>
      </c>
      <c r="K10009" s="9">
        <f t="shared" si="6"/>
        <v>21.114438173055447</v>
      </c>
      <c r="L10009" s="2" t="s">
        <v>36</v>
      </c>
      <c r="M10009" s="2"/>
      <c r="N10009" s="2"/>
      <c r="O10009" s="2"/>
      <c r="P10009" s="2"/>
      <c r="Q10009" s="2"/>
      <c r="R10009" s="2"/>
    </row>
    <row r="10010" spans="1:18" x14ac:dyDescent="0.15">
      <c r="A10010" s="3">
        <f t="shared" si="2"/>
        <v>9</v>
      </c>
      <c r="B10010" s="3">
        <f t="shared" si="0"/>
        <v>36.81532510892707</v>
      </c>
      <c r="C10010" s="3">
        <f t="shared" si="1"/>
        <v>24.346516975603464</v>
      </c>
      <c r="D10010" s="3">
        <f t="shared" ref="D10010:D10055" si="9">COS((A10001*$E$10006+$E$10005)/180*PI())*$E$10001*$E$10004+$E$10002</f>
        <v>30.874983496554687</v>
      </c>
      <c r="E10010" s="3">
        <f t="shared" ref="E10010:E10055" si="10">SIN((A10001*$E$10006+$E$10005)/180*PI())*$E$10001*$E$10004+$E$10003</f>
        <v>41.03246352776965</v>
      </c>
      <c r="F10010" s="9">
        <f t="shared" si="3"/>
        <v>359.928</v>
      </c>
      <c r="G10010" s="9">
        <f t="shared" si="7"/>
        <v>24.24999822347144</v>
      </c>
      <c r="H10010" s="9">
        <f t="shared" si="8"/>
        <v>21.997172567355918</v>
      </c>
      <c r="I10010" s="9">
        <f t="shared" si="4"/>
        <v>349.81500000000005</v>
      </c>
      <c r="J10010" s="9">
        <f t="shared" si="5"/>
        <v>27.905451609504791</v>
      </c>
      <c r="K10010" s="9">
        <f t="shared" si="6"/>
        <v>20.93903756532228</v>
      </c>
      <c r="L10010" s="2" t="s">
        <v>23</v>
      </c>
      <c r="M10010" s="2"/>
      <c r="N10010" s="2"/>
      <c r="O10010" s="2"/>
      <c r="P10010" s="2"/>
      <c r="Q10010" s="2"/>
      <c r="R10010" s="2" t="s">
        <v>24</v>
      </c>
    </row>
    <row r="10011" spans="1:18" x14ac:dyDescent="0.15">
      <c r="A10011" s="3">
        <f t="shared" si="2"/>
        <v>10</v>
      </c>
      <c r="B10011" s="3">
        <f t="shared" si="0"/>
        <v>36.772116295183125</v>
      </c>
      <c r="C10011" s="3">
        <f t="shared" si="1"/>
        <v>24.604722665003955</v>
      </c>
      <c r="D10011" s="3">
        <f t="shared" si="9"/>
        <v>30.541469504591809</v>
      </c>
      <c r="E10011" s="3">
        <f t="shared" si="10"/>
        <v>41.184454610494619</v>
      </c>
      <c r="F10011" s="9">
        <f t="shared" si="3"/>
        <v>359.916</v>
      </c>
      <c r="G10011" s="9">
        <f t="shared" si="7"/>
        <v>24.249997581947355</v>
      </c>
      <c r="H10011" s="9">
        <f t="shared" si="8"/>
        <v>21.996701328895416</v>
      </c>
      <c r="I10011" s="9">
        <f t="shared" si="4"/>
        <v>348.11750000000006</v>
      </c>
      <c r="J10011" s="9">
        <f t="shared" si="5"/>
        <v>27.871431525658664</v>
      </c>
      <c r="K10011" s="9">
        <f t="shared" si="6"/>
        <v>20.764568156674933</v>
      </c>
      <c r="L10011" s="4">
        <f>IF($B$15="只显示X向",A9,A13)</f>
        <v>58.4</v>
      </c>
      <c r="R10011" s="4">
        <f>IF($B$15="只显示X向",B9,B13)</f>
        <v>69.5</v>
      </c>
    </row>
    <row r="10012" spans="1:18" x14ac:dyDescent="0.15">
      <c r="A10012" s="3">
        <f t="shared" si="2"/>
        <v>11</v>
      </c>
      <c r="B10012" s="3">
        <f t="shared" si="0"/>
        <v>36.724407751714963</v>
      </c>
      <c r="C10012" s="3">
        <f t="shared" si="1"/>
        <v>24.862134930648171</v>
      </c>
      <c r="D10012" s="3">
        <f t="shared" si="9"/>
        <v>30.205353698274749</v>
      </c>
      <c r="E10012" s="3">
        <f t="shared" si="10"/>
        <v>41.330601922501245</v>
      </c>
      <c r="F10012" s="9">
        <f t="shared" si="3"/>
        <v>359.904</v>
      </c>
      <c r="G10012" s="9">
        <f t="shared" si="7"/>
        <v>24.249996841727331</v>
      </c>
      <c r="H10012" s="9">
        <f t="shared" si="8"/>
        <v>21.996230090579605</v>
      </c>
      <c r="I10012" s="9">
        <f t="shared" si="4"/>
        <v>346.42000000000007</v>
      </c>
      <c r="J10012" s="9">
        <f t="shared" si="5"/>
        <v>27.832258128659827</v>
      </c>
      <c r="K10012" s="9">
        <f t="shared" si="6"/>
        <v>20.591183077656517</v>
      </c>
      <c r="L10012" s="4" t="s">
        <v>37</v>
      </c>
      <c r="R10012" s="4">
        <f>IF($B$15="只显示X向",B10,B14)</f>
        <v>0</v>
      </c>
    </row>
    <row r="10013" spans="1:18" x14ac:dyDescent="0.15">
      <c r="A10013" s="3">
        <f t="shared" si="2"/>
        <v>12</v>
      </c>
      <c r="B10013" s="3">
        <f t="shared" si="0"/>
        <v>36.672214011007085</v>
      </c>
      <c r="C10013" s="3">
        <f t="shared" si="1"/>
        <v>25.118675362266391</v>
      </c>
      <c r="D10013" s="3">
        <f t="shared" si="9"/>
        <v>29.866738461734155</v>
      </c>
      <c r="E10013" s="3">
        <f t="shared" si="10"/>
        <v>41.47086094590253</v>
      </c>
      <c r="F10013" s="9">
        <f t="shared" si="3"/>
        <v>359.892</v>
      </c>
      <c r="G10013" s="9">
        <f t="shared" si="7"/>
        <v>24.2499960028114</v>
      </c>
      <c r="H10013" s="9">
        <f t="shared" si="8"/>
        <v>21.995758852429162</v>
      </c>
      <c r="I10013" s="9">
        <f t="shared" si="4"/>
        <v>344.72250000000008</v>
      </c>
      <c r="J10013" s="9">
        <f>COS(I10013/180*PI())*$E$10001*$R$10023+$E$10002</f>
        <v>27.787965800716623</v>
      </c>
      <c r="K10013" s="9">
        <f>SIN(I10013/180*PI())*$E$10001*$R$10023+$E$10003</f>
        <v>20.419034507101824</v>
      </c>
    </row>
    <row r="10014" spans="1:18" x14ac:dyDescent="0.15">
      <c r="A10014" s="3">
        <f t="shared" si="2"/>
        <v>13</v>
      </c>
      <c r="B10014" s="3">
        <f t="shared" si="0"/>
        <v>36.615550971778532</v>
      </c>
      <c r="C10014" s="3">
        <f t="shared" si="1"/>
        <v>25.374265815157976</v>
      </c>
      <c r="D10014" s="3">
        <f t="shared" si="9"/>
        <v>29.525726940451303</v>
      </c>
      <c r="E10014" s="3">
        <f t="shared" si="10"/>
        <v>41.605188956441239</v>
      </c>
      <c r="F10014" s="9">
        <f t="shared" si="3"/>
        <v>359.88</v>
      </c>
      <c r="G10014" s="9">
        <f t="shared" si="7"/>
        <v>24.249995065199602</v>
      </c>
      <c r="H10014" s="9">
        <f t="shared" si="8"/>
        <v>21.995287614464758</v>
      </c>
      <c r="I10014" s="9">
        <f t="shared" si="4"/>
        <v>343.02500000000009</v>
      </c>
      <c r="J10014" s="9">
        <f t="shared" ref="J10014:J10077" si="11">COS(I10014/180*PI())*$E$10001*$R$10023+$E$10002</f>
        <v>27.738593416886211</v>
      </c>
      <c r="K10014" s="9">
        <f t="shared" ref="K10014:K10077" si="12">SIN(I10014/180*PI())*$E$10001*$R$10023+$E$10003</f>
        <v>20.248273538571091</v>
      </c>
      <c r="R10014" t="str">
        <f>B19 &amp; "rpm"</f>
        <v>1500rpm</v>
      </c>
    </row>
    <row r="10015" spans="1:18" x14ac:dyDescent="0.15">
      <c r="A10015" s="3">
        <f t="shared" si="2"/>
        <v>14</v>
      </c>
      <c r="B10015" s="3">
        <f t="shared" si="0"/>
        <v>36.554435894139949</v>
      </c>
      <c r="C10015" s="3">
        <f t="shared" si="1"/>
        <v>25.628828433995015</v>
      </c>
      <c r="D10015" s="3">
        <f t="shared" si="9"/>
        <v>29.182423009839045</v>
      </c>
      <c r="E10015" s="3">
        <f t="shared" si="10"/>
        <v>41.733545036504069</v>
      </c>
      <c r="F10015" s="9">
        <f t="shared" si="3"/>
        <v>359.86799999999999</v>
      </c>
      <c r="G10015" s="9">
        <f t="shared" si="7"/>
        <v>24.24999402889198</v>
      </c>
      <c r="H10015" s="9">
        <f t="shared" si="8"/>
        <v>21.99481637670706</v>
      </c>
      <c r="I10015" s="9">
        <f t="shared" si="4"/>
        <v>341.3275000000001</v>
      </c>
      <c r="J10015" s="9">
        <f t="shared" si="11"/>
        <v>27.684184310954198</v>
      </c>
      <c r="K10015" s="9">
        <f t="shared" si="12"/>
        <v>20.079050047736239</v>
      </c>
      <c r="L10015" t="str">
        <f>IF($B$15="只显示Y向","","X向")</f>
        <v>X向</v>
      </c>
    </row>
    <row r="10016" spans="1:18" x14ac:dyDescent="0.15">
      <c r="A10016" s="3">
        <f t="shared" si="2"/>
        <v>15</v>
      </c>
      <c r="B10016" s="3">
        <f t="shared" si="0"/>
        <v>36.488887394336025</v>
      </c>
      <c r="C10016" s="3">
        <f t="shared" si="1"/>
        <v>25.882285676537812</v>
      </c>
      <c r="D10016" s="3">
        <f t="shared" si="9"/>
        <v>28.83693124360029</v>
      </c>
      <c r="E10016" s="3">
        <f t="shared" si="10"/>
        <v>41.855890087585649</v>
      </c>
      <c r="F10016" s="9">
        <f t="shared" si="3"/>
        <v>359.85599999999999</v>
      </c>
      <c r="G10016" s="9">
        <f t="shared" si="7"/>
        <v>24.249992893888571</v>
      </c>
      <c r="H10016" s="9">
        <f t="shared" si="8"/>
        <v>21.99434513917674</v>
      </c>
      <c r="I10016" s="9">
        <f t="shared" si="4"/>
        <v>339.63000000000011</v>
      </c>
      <c r="J10016" s="9">
        <f t="shared" si="11"/>
        <v>27.624786237400912</v>
      </c>
      <c r="K10016" s="9">
        <f t="shared" si="12"/>
        <v>19.911512560836119</v>
      </c>
      <c r="L10016" s="4" t="str">
        <f>IF($B$15="只显示Y向","","Px")</f>
        <v>Px</v>
      </c>
      <c r="R10016" s="4" t="s">
        <v>56</v>
      </c>
    </row>
    <row r="10017" spans="1:18" x14ac:dyDescent="0.15">
      <c r="A10017" s="3">
        <f t="shared" si="2"/>
        <v>16</v>
      </c>
      <c r="B10017" s="3">
        <f t="shared" si="0"/>
        <v>36.418925439074783</v>
      </c>
      <c r="C10017" s="3">
        <f t="shared" si="1"/>
        <v>26.134560337254989</v>
      </c>
      <c r="D10017" s="3">
        <f t="shared" si="9"/>
        <v>28.489356881873896</v>
      </c>
      <c r="E10017" s="3">
        <f t="shared" si="10"/>
        <v>41.972186842198226</v>
      </c>
      <c r="F10017" s="9">
        <f t="shared" si="3"/>
        <v>359.84399999999999</v>
      </c>
      <c r="G10017" s="9">
        <f t="shared" si="7"/>
        <v>24.249991660189433</v>
      </c>
      <c r="H10017" s="9">
        <f t="shared" si="8"/>
        <v>21.993873901894474</v>
      </c>
      <c r="I10017" s="9">
        <f t="shared" si="4"/>
        <v>337.93250000000012</v>
      </c>
      <c r="J10017" s="9">
        <f t="shared" si="11"/>
        <v>27.560451329487599</v>
      </c>
      <c r="K10017" s="9">
        <f t="shared" si="12"/>
        <v>19.745808124316031</v>
      </c>
      <c r="L10017" s="4" t="str">
        <f>IF($B$15="只显示Y向","","Ax")</f>
        <v>Ax</v>
      </c>
      <c r="R10017" s="4">
        <f>IF($B$15="只显示Y向",0.45,0.2)</f>
        <v>0.2</v>
      </c>
    </row>
    <row r="10018" spans="1:18" x14ac:dyDescent="0.15">
      <c r="A10018" s="3">
        <f t="shared" si="2"/>
        <v>17</v>
      </c>
      <c r="B10018" s="3">
        <f t="shared" si="0"/>
        <v>36.344571339445537</v>
      </c>
      <c r="C10018" s="3">
        <f t="shared" si="1"/>
        <v>26.385575570841052</v>
      </c>
      <c r="D10018" s="3">
        <f t="shared" si="9"/>
        <v>28.139805799177473</v>
      </c>
      <c r="E10018" s="3">
        <f t="shared" si="10"/>
        <v>42.082399875223743</v>
      </c>
      <c r="F10018" s="9">
        <f t="shared" si="3"/>
        <v>359.83199999999999</v>
      </c>
      <c r="G10018" s="9">
        <f t="shared" si="7"/>
        <v>24.249990327794617</v>
      </c>
      <c r="H10018" s="9">
        <f t="shared" si="8"/>
        <v>21.993402664880925</v>
      </c>
      <c r="I10018" s="9">
        <f t="shared" si="4"/>
        <v>336.23500000000013</v>
      </c>
      <c r="J10018" s="9">
        <f t="shared" si="11"/>
        <v>27.491236053499478</v>
      </c>
      <c r="K10018" s="9">
        <f t="shared" si="12"/>
        <v>19.582082175766207</v>
      </c>
      <c r="L10018" s="4" t="str">
        <f>IF($B$15="只显示Y向","",G10003)</f>
        <v>2.39999999999998°</v>
      </c>
      <c r="R10018" s="4" t="s">
        <v>57</v>
      </c>
    </row>
    <row r="10019" spans="1:18" x14ac:dyDescent="0.15">
      <c r="A10019" s="3">
        <f t="shared" si="2"/>
        <v>18</v>
      </c>
      <c r="B10019" s="3">
        <f t="shared" si="0"/>
        <v>36.265847744427305</v>
      </c>
      <c r="C10019" s="3">
        <f t="shared" si="1"/>
        <v>26.635254915624209</v>
      </c>
      <c r="D10019" s="3">
        <f t="shared" si="9"/>
        <v>27.788384472156981</v>
      </c>
      <c r="E10019" s="3">
        <f t="shared" si="10"/>
        <v>42.186495614704697</v>
      </c>
      <c r="F10019" s="9">
        <f t="shared" si="3"/>
        <v>359.82</v>
      </c>
      <c r="G10019" s="9">
        <f t="shared" si="7"/>
        <v>24.249988896704181</v>
      </c>
      <c r="H10019" s="9">
        <f t="shared" si="8"/>
        <v>21.992931428156769</v>
      </c>
      <c r="I10019" s="9">
        <f t="shared" si="4"/>
        <v>334.53750000000014</v>
      </c>
      <c r="J10019" s="9">
        <f t="shared" si="11"/>
        <v>27.417201159185659</v>
      </c>
      <c r="K10019" s="9">
        <f t="shared" si="12"/>
        <v>19.420478416272207</v>
      </c>
      <c r="L10019" s="4" t="str">
        <f>IF($B$15="只显示Y向","",G10208)</f>
        <v>0°</v>
      </c>
      <c r="R10019" s="4">
        <f>IF($B$15="只显示Y向",0.4,0.15)</f>
        <v>0.15</v>
      </c>
    </row>
    <row r="10020" spans="1:18" x14ac:dyDescent="0.15">
      <c r="A10020" s="3">
        <f t="shared" si="2"/>
        <v>19</v>
      </c>
      <c r="B10020" s="3">
        <f t="shared" si="0"/>
        <v>36.182778633989756</v>
      </c>
      <c r="C10020" s="3">
        <f t="shared" si="1"/>
        <v>26.883522316857352</v>
      </c>
      <c r="D10020" s="3">
        <f t="shared" si="9"/>
        <v>27.435199947152935</v>
      </c>
      <c r="E10020" s="3">
        <f t="shared" si="10"/>
        <v>42.284442352070435</v>
      </c>
      <c r="F10020" s="9">
        <f t="shared" si="3"/>
        <v>359.80799999999999</v>
      </c>
      <c r="G10020" s="9">
        <f t="shared" si="7"/>
        <v>24.249987366918187</v>
      </c>
      <c r="H10020" s="9">
        <f t="shared" si="8"/>
        <v>21.992460191742676</v>
      </c>
      <c r="I10020" s="9">
        <f t="shared" si="4"/>
        <v>332.84000000000015</v>
      </c>
      <c r="J10020" s="9">
        <f t="shared" si="11"/>
        <v>27.338411626439544</v>
      </c>
      <c r="K10020" s="9">
        <f t="shared" si="12"/>
        <v>19.261138684289559</v>
      </c>
      <c r="L10020" s="4" t="str">
        <f>IF($B$15="只显示X向","","Y向")</f>
        <v>Y向</v>
      </c>
      <c r="R10020" s="4" t="s">
        <v>58</v>
      </c>
    </row>
    <row r="10021" spans="1:18" x14ac:dyDescent="0.15">
      <c r="A10021" s="3">
        <f t="shared" si="2"/>
        <v>20</v>
      </c>
      <c r="B10021" s="3">
        <f t="shared" si="0"/>
        <v>36.095389311788622</v>
      </c>
      <c r="C10021" s="3">
        <f t="shared" si="1"/>
        <v>27.130302149885033</v>
      </c>
      <c r="D10021" s="3">
        <f t="shared" si="9"/>
        <v>27.08035980759302</v>
      </c>
      <c r="E10021" s="3">
        <f t="shared" si="10"/>
        <v>42.376210251795925</v>
      </c>
      <c r="F10021" s="9">
        <f t="shared" si="3"/>
        <v>359.79599999999999</v>
      </c>
      <c r="G10021" s="9">
        <f t="shared" si="7"/>
        <v>24.249985738436706</v>
      </c>
      <c r="H10021" s="9">
        <f t="shared" si="8"/>
        <v>21.991988955659316</v>
      </c>
      <c r="I10021" s="9">
        <f t="shared" si="4"/>
        <v>331.14250000000015</v>
      </c>
      <c r="J10021" s="9">
        <f t="shared" si="11"/>
        <v>27.254936608266426</v>
      </c>
      <c r="K10021" s="9">
        <f t="shared" si="12"/>
        <v>19.104202831153167</v>
      </c>
      <c r="L10021" s="4" t="str">
        <f>IF($B$15="只显示X向","","Py")</f>
        <v>Py</v>
      </c>
      <c r="R10021" s="4">
        <f>IF($B$15="只显示X向",0.2,0.45)</f>
        <v>0.45</v>
      </c>
    </row>
    <row r="10022" spans="1:18" x14ac:dyDescent="0.15">
      <c r="A10022" s="3">
        <f t="shared" si="2"/>
        <v>21</v>
      </c>
      <c r="B10022" s="3">
        <f t="shared" si="0"/>
        <v>36.003706397458025</v>
      </c>
      <c r="C10022" s="3">
        <f t="shared" si="1"/>
        <v>27.375519243179504</v>
      </c>
      <c r="D10022" s="3">
        <f t="shared" si="9"/>
        <v>26.723972141221168</v>
      </c>
      <c r="E10022" s="3">
        <f t="shared" si="10"/>
        <v>42.461771360489934</v>
      </c>
      <c r="F10022" s="9">
        <f t="shared" si="3"/>
        <v>359.78399999999999</v>
      </c>
      <c r="G10022" s="9">
        <f t="shared" si="7"/>
        <v>24.249984011259805</v>
      </c>
      <c r="H10022" s="9">
        <f t="shared" si="8"/>
        <v>21.991517719927359</v>
      </c>
      <c r="I10022" s="9">
        <f t="shared" si="4"/>
        <v>329.44500000000016</v>
      </c>
      <c r="J10022" s="9">
        <f t="shared" si="11"/>
        <v>27.166849370088407</v>
      </c>
      <c r="K10022" s="9">
        <f t="shared" si="12"/>
        <v>18.949808598330748</v>
      </c>
      <c r="L10022" s="4" t="str">
        <f>IF($B$15="只显示X向","","Ay")</f>
        <v>Ay</v>
      </c>
      <c r="R10022" s="4" t="s">
        <v>59</v>
      </c>
    </row>
    <row r="10023" spans="1:18" x14ac:dyDescent="0.15">
      <c r="A10023" s="3">
        <f t="shared" ref="A10023:A10086" si="13">A10022+1</f>
        <v>22</v>
      </c>
      <c r="B10023" s="3">
        <f t="shared" si="0"/>
        <v>35.907757818501807</v>
      </c>
      <c r="C10023" s="3">
        <f t="shared" si="1"/>
        <v>27.619098901238679</v>
      </c>
      <c r="D10023" s="3">
        <f t="shared" si="9"/>
        <v>26.366145507172945</v>
      </c>
      <c r="E10023" s="3">
        <f t="shared" si="10"/>
        <v>42.541099615409919</v>
      </c>
      <c r="F10023" s="9">
        <f t="shared" si="3"/>
        <v>359.77199999999999</v>
      </c>
      <c r="G10023" s="9">
        <f t="shared" si="7"/>
        <v>24.249982185387566</v>
      </c>
      <c r="H10023" s="9">
        <f t="shared" si="8"/>
        <v>21.991046484567477</v>
      </c>
      <c r="I10023" s="9">
        <f t="shared" si="4"/>
        <v>327.74750000000017</v>
      </c>
      <c r="J10023" s="9">
        <f t="shared" si="11"/>
        <v>27.074227225439866</v>
      </c>
      <c r="K10023" s="9">
        <f t="shared" si="12"/>
        <v>18.798091496528226</v>
      </c>
      <c r="L10023" s="4" t="str">
        <f>IF($B$15="只显示X向","",J10003)</f>
        <v>339.5°</v>
      </c>
      <c r="R10023" s="4">
        <f>IF($B$15="只显示X向",0.15,0.4)</f>
        <v>0.4</v>
      </c>
    </row>
    <row r="10024" spans="1:18" x14ac:dyDescent="0.15">
      <c r="A10024" s="3">
        <f t="shared" si="13"/>
        <v>23</v>
      </c>
      <c r="B10024" s="3">
        <f t="shared" si="0"/>
        <v>35.807572801786606</v>
      </c>
      <c r="C10024" s="3">
        <f t="shared" si="1"/>
        <v>27.860966927339106</v>
      </c>
      <c r="D10024" s="3">
        <f t="shared" si="9"/>
        <v>26.006988902907445</v>
      </c>
      <c r="E10024" s="3">
        <f t="shared" si="10"/>
        <v>42.614170852400946</v>
      </c>
      <c r="F10024" s="9">
        <f t="shared" si="3"/>
        <v>359.76</v>
      </c>
      <c r="G10024" s="9">
        <f t="shared" si="7"/>
        <v>24.24998026082006</v>
      </c>
      <c r="H10024" s="9">
        <f t="shared" si="8"/>
        <v>21.99057524960034</v>
      </c>
      <c r="I10024" s="9">
        <f t="shared" si="4"/>
        <v>326.05000000000018</v>
      </c>
      <c r="J10024" s="9">
        <f t="shared" si="11"/>
        <v>26.977151468109916</v>
      </c>
      <c r="K10024" s="9">
        <f t="shared" si="12"/>
        <v>18.649184686752889</v>
      </c>
      <c r="L10024" s="4" t="str">
        <f>IF($B$15="只显示X向","",J10208)</f>
        <v>0°</v>
      </c>
    </row>
    <row r="10025" spans="1:18" x14ac:dyDescent="0.15">
      <c r="A10025" s="3">
        <f t="shared" si="13"/>
        <v>24</v>
      </c>
      <c r="B10025" s="3">
        <f t="shared" si="0"/>
        <v>35.703181864639014</v>
      </c>
      <c r="C10025" s="3">
        <f t="shared" si="1"/>
        <v>28.101049646137003</v>
      </c>
      <c r="D10025" s="3">
        <f t="shared" si="9"/>
        <v>25.646611731005539</v>
      </c>
      <c r="E10025" s="3">
        <f t="shared" si="10"/>
        <v>42.680962813256372</v>
      </c>
      <c r="F10025" s="9">
        <f t="shared" si="3"/>
        <v>359.74799999999999</v>
      </c>
      <c r="G10025" s="9">
        <f t="shared" si="7"/>
        <v>24.249978237557379</v>
      </c>
      <c r="H10025" s="9">
        <f t="shared" si="8"/>
        <v>21.990104015046619</v>
      </c>
      <c r="I10025" s="9">
        <f t="shared" si="4"/>
        <v>324.35250000000019</v>
      </c>
      <c r="J10025" s="9">
        <f t="shared" si="11"/>
        <v>26.875707300791436</v>
      </c>
      <c r="K10025" s="9">
        <f t="shared" si="12"/>
        <v>18.503218863438963</v>
      </c>
    </row>
    <row r="10026" spans="1:18" x14ac:dyDescent="0.15">
      <c r="A10026" s="3">
        <f t="shared" si="13"/>
        <v>25</v>
      </c>
      <c r="B10026" s="3">
        <f t="shared" si="0"/>
        <v>35.594616805549748</v>
      </c>
      <c r="C10026" s="3">
        <f t="shared" si="1"/>
        <v>28.339273926110494</v>
      </c>
      <c r="D10026" s="3">
        <f t="shared" si="9"/>
        <v>25.285123765844851</v>
      </c>
      <c r="E10026" s="3">
        <f t="shared" si="10"/>
        <v>42.741455152497892</v>
      </c>
      <c r="F10026" s="9">
        <f t="shared" si="3"/>
        <v>359.73599999999999</v>
      </c>
      <c r="G10026" s="9">
        <f t="shared" si="7"/>
        <v>24.249976115599605</v>
      </c>
      <c r="H10026" s="9">
        <f t="shared" si="8"/>
        <v>21.989632780926982</v>
      </c>
      <c r="I10026" s="9">
        <f t="shared" si="4"/>
        <v>322.6550000000002</v>
      </c>
      <c r="J10026" s="9">
        <f t="shared" si="11"/>
        <v>26.76998376029929</v>
      </c>
      <c r="K10026" s="9">
        <f t="shared" si="12"/>
        <v>18.360322139738045</v>
      </c>
    </row>
    <row r="10027" spans="1:18" x14ac:dyDescent="0.15">
      <c r="A10027" s="3">
        <f t="shared" si="13"/>
        <v>26</v>
      </c>
      <c r="B10027" s="3">
        <f t="shared" si="0"/>
        <v>35.481910694487503</v>
      </c>
      <c r="C10027" s="3">
        <f t="shared" si="1"/>
        <v>28.575567201836162</v>
      </c>
      <c r="D10027" s="3">
        <f t="shared" si="9"/>
        <v>24.922635120161374</v>
      </c>
      <c r="E10027" s="3">
        <f t="shared" si="10"/>
        <v>42.795629443572977</v>
      </c>
      <c r="F10027" s="9">
        <f t="shared" si="3"/>
        <v>359.72399999999999</v>
      </c>
      <c r="G10027" s="9">
        <f t="shared" si="7"/>
        <v>24.249973894946837</v>
      </c>
      <c r="H10027" s="9">
        <f t="shared" si="8"/>
        <v>21.989161547262107</v>
      </c>
      <c r="I10027" s="9">
        <f t="shared" si="4"/>
        <v>320.95750000000021</v>
      </c>
      <c r="J10027" s="9">
        <f t="shared" si="11"/>
        <v>26.660073639423338</v>
      </c>
      <c r="K10027" s="9">
        <f t="shared" si="12"/>
        <v>18.220619935075103</v>
      </c>
    </row>
    <row r="10028" spans="1:18" x14ac:dyDescent="0.15">
      <c r="A10028" s="3">
        <f t="shared" si="13"/>
        <v>27</v>
      </c>
      <c r="B10028" s="3">
        <f t="shared" si="0"/>
        <v>35.365097862825522</v>
      </c>
      <c r="C10028" s="3">
        <f t="shared" si="1"/>
        <v>28.809857496093201</v>
      </c>
      <c r="D10028" s="3">
        <f t="shared" si="9"/>
        <v>24.559256211508096</v>
      </c>
      <c r="E10028" s="3">
        <f t="shared" si="10"/>
        <v>42.843469184467764</v>
      </c>
      <c r="F10028" s="9">
        <f t="shared" si="3"/>
        <v>359.71199999999999</v>
      </c>
      <c r="G10028" s="9">
        <f t="shared" si="7"/>
        <v>24.249971575599172</v>
      </c>
      <c r="H10028" s="9">
        <f t="shared" si="8"/>
        <v>21.988690314072656</v>
      </c>
      <c r="I10028" s="9">
        <f t="shared" si="4"/>
        <v>319.26000000000022</v>
      </c>
      <c r="J10028" s="9">
        <f t="shared" si="11"/>
        <v>26.54607340548489</v>
      </c>
      <c r="K10028" s="9">
        <f t="shared" si="12"/>
        <v>18.084234865068769</v>
      </c>
    </row>
    <row r="10029" spans="1:18" x14ac:dyDescent="0.15">
      <c r="A10029" s="3">
        <f t="shared" si="13"/>
        <v>28</v>
      </c>
      <c r="B10029" s="3">
        <f t="shared" si="0"/>
        <v>35.244213892883906</v>
      </c>
      <c r="C10029" s="3">
        <f t="shared" si="1"/>
        <v>29.042073441788361</v>
      </c>
      <c r="D10029" s="3">
        <f t="shared" si="9"/>
        <v>24.195097728620723</v>
      </c>
      <c r="E10029" s="3">
        <f t="shared" si="10"/>
        <v>42.884959802733739</v>
      </c>
      <c r="F10029" s="9">
        <f t="shared" si="3"/>
        <v>359.7</v>
      </c>
      <c r="G10029" s="9">
        <f t="shared" si="7"/>
        <v>24.249969157556709</v>
      </c>
      <c r="H10029" s="9">
        <f t="shared" si="8"/>
        <v>21.988219081379302</v>
      </c>
      <c r="I10029" s="9">
        <f t="shared" si="4"/>
        <v>317.56250000000023</v>
      </c>
      <c r="J10029" s="9">
        <f t="shared" si="11"/>
        <v>26.428083115668034</v>
      </c>
      <c r="K10029" s="9">
        <f t="shared" si="12"/>
        <v>17.951286633912488</v>
      </c>
    </row>
    <row r="10030" spans="1:18" x14ac:dyDescent="0.15">
      <c r="A10030" s="3">
        <f t="shared" si="13"/>
        <v>29</v>
      </c>
      <c r="B10030" s="3">
        <f t="shared" si="0"/>
        <v>35.119295607090933</v>
      </c>
      <c r="C10030" s="3">
        <f t="shared" si="1"/>
        <v>29.272144303695057</v>
      </c>
      <c r="D10030" s="3">
        <f t="shared" si="9"/>
        <v>23.830270597700824</v>
      </c>
      <c r="E10030" s="3">
        <f t="shared" si="10"/>
        <v>42.920088659926655</v>
      </c>
      <c r="F10030" s="9">
        <f t="shared" si="3"/>
        <v>359.68799999999999</v>
      </c>
      <c r="G10030" s="9">
        <f t="shared" si="7"/>
        <v>24.249966640819558</v>
      </c>
      <c r="H10030" s="9">
        <f t="shared" si="8"/>
        <v>21.987747849202723</v>
      </c>
      <c r="I10030" s="9">
        <f t="shared" si="4"/>
        <v>315.86500000000024</v>
      </c>
      <c r="J10030" s="9">
        <f t="shared" si="11"/>
        <v>26.306206329200133</v>
      </c>
      <c r="K10030" s="9">
        <f t="shared" si="12"/>
        <v>17.821891929310979</v>
      </c>
    </row>
    <row r="10031" spans="1:18" x14ac:dyDescent="0.15">
      <c r="A10031" s="3">
        <f t="shared" si="13"/>
        <v>30</v>
      </c>
      <c r="B10031" s="3">
        <f t="shared" si="0"/>
        <v>34.99038105676658</v>
      </c>
      <c r="C10031" s="3">
        <f t="shared" si="1"/>
        <v>29.5</v>
      </c>
      <c r="D10031" s="3">
        <f t="shared" si="9"/>
        <v>23.46488594862663</v>
      </c>
      <c r="E10031" s="3">
        <f t="shared" si="10"/>
        <v>42.948845055456303</v>
      </c>
      <c r="F10031" s="9">
        <f t="shared" si="3"/>
        <v>359.67599999999999</v>
      </c>
      <c r="G10031" s="9">
        <f t="shared" si="7"/>
        <v>24.249964025387822</v>
      </c>
      <c r="H10031" s="9">
        <f t="shared" si="8"/>
        <v>21.98727661756358</v>
      </c>
      <c r="I10031" s="9">
        <f t="shared" si="4"/>
        <v>314.16750000000025</v>
      </c>
      <c r="J10031" s="9">
        <f t="shared" si="11"/>
        <v>26.180550016458689</v>
      </c>
      <c r="K10031" s="9">
        <f t="shared" si="12"/>
        <v>17.696164320064337</v>
      </c>
    </row>
    <row r="10032" spans="1:18" x14ac:dyDescent="0.15">
      <c r="A10032" s="3">
        <f t="shared" si="13"/>
        <v>31</v>
      </c>
      <c r="B10032" s="3">
        <f t="shared" si="0"/>
        <v>34.857509510531685</v>
      </c>
      <c r="C10032" s="3">
        <f t="shared" si="1"/>
        <v>29.725571123650813</v>
      </c>
      <c r="D10032" s="3">
        <f t="shared" si="9"/>
        <v>23.099055081101824</v>
      </c>
      <c r="E10032" s="3">
        <f t="shared" si="10"/>
        <v>42.971220229846054</v>
      </c>
      <c r="F10032" s="9">
        <f t="shared" si="3"/>
        <v>359.66399999999999</v>
      </c>
      <c r="G10032" s="9">
        <f t="shared" si="7"/>
        <v>24.249961311261625</v>
      </c>
      <c r="H10032" s="9">
        <f t="shared" si="8"/>
        <v>21.986805386482548</v>
      </c>
      <c r="I10032" s="9">
        <f t="shared" si="4"/>
        <v>312.47000000000025</v>
      </c>
      <c r="J10032" s="9">
        <f t="shared" si="11"/>
        <v>26.051224465084175</v>
      </c>
      <c r="K10032" s="9">
        <f t="shared" si="12"/>
        <v>17.574214156389459</v>
      </c>
    </row>
    <row r="10033" spans="1:11" x14ac:dyDescent="0.15">
      <c r="A10033" s="3">
        <f t="shared" si="13"/>
        <v>32</v>
      </c>
      <c r="B10033" s="3">
        <f t="shared" si="0"/>
        <v>34.720721442346388</v>
      </c>
      <c r="C10033" s="3">
        <f t="shared" si="1"/>
        <v>29.948788963498075</v>
      </c>
      <c r="D10033" s="3">
        <f t="shared" si="9"/>
        <v>22.732889430752522</v>
      </c>
      <c r="E10033" s="3">
        <f t="shared" si="10"/>
        <v>42.987207367401012</v>
      </c>
      <c r="F10033" s="9">
        <f t="shared" si="3"/>
        <v>359.65199999999999</v>
      </c>
      <c r="G10033" s="9">
        <f t="shared" si="7"/>
        <v>24.249958498441078</v>
      </c>
      <c r="H10033" s="9">
        <f t="shared" si="8"/>
        <v>21.986334155980295</v>
      </c>
      <c r="I10033" s="9">
        <f t="shared" si="4"/>
        <v>310.77250000000026</v>
      </c>
      <c r="J10033" s="9">
        <f t="shared" si="11"/>
        <v>25.918343183181378</v>
      </c>
      <c r="K10033" s="9">
        <f t="shared" si="12"/>
        <v>17.456148473066484</v>
      </c>
    </row>
    <row r="10034" spans="1:11" x14ac:dyDescent="0.15">
      <c r="A10034" s="3">
        <f t="shared" si="13"/>
        <v>33</v>
      </c>
      <c r="B10034" s="3">
        <f t="shared" si="0"/>
        <v>34.580058519181364</v>
      </c>
      <c r="C10034" s="3">
        <f t="shared" si="1"/>
        <v>30.169585525225404</v>
      </c>
      <c r="D10034" s="3">
        <f t="shared" si="9"/>
        <v>22.366500535182954</v>
      </c>
      <c r="E10034" s="3">
        <f t="shared" si="10"/>
        <v>42.996801598284215</v>
      </c>
      <c r="F10034" s="9">
        <f t="shared" si="3"/>
        <v>359.64</v>
      </c>
      <c r="G10034" s="9">
        <f t="shared" si="7"/>
        <v>24.249955586926308</v>
      </c>
      <c r="H10034" s="9">
        <f t="shared" si="8"/>
        <v>21.985862926077491</v>
      </c>
      <c r="I10034" s="9">
        <f t="shared" si="4"/>
        <v>309.07500000000027</v>
      </c>
      <c r="J10034" s="9">
        <f t="shared" si="11"/>
        <v>25.782022799694154</v>
      </c>
      <c r="K10034" s="9">
        <f t="shared" si="12"/>
        <v>17.342070895495127</v>
      </c>
    </row>
    <row r="10035" spans="1:11" x14ac:dyDescent="0.15">
      <c r="A10035" s="3">
        <f t="shared" si="13"/>
        <v>34</v>
      </c>
      <c r="B10035" s="3">
        <f t="shared" si="0"/>
        <v>34.435563588325628</v>
      </c>
      <c r="C10035" s="3">
        <f t="shared" si="1"/>
        <v>30.3878935520612</v>
      </c>
      <c r="D10035" s="3">
        <f t="shared" si="9"/>
        <v>22</v>
      </c>
      <c r="E10035" s="3">
        <f t="shared" si="10"/>
        <v>43</v>
      </c>
      <c r="F10035" s="9">
        <f t="shared" si="3"/>
        <v>359.62799999999999</v>
      </c>
      <c r="G10035" s="9">
        <f t="shared" si="7"/>
        <v>24.249952576717444</v>
      </c>
      <c r="H10035" s="9">
        <f t="shared" si="8"/>
        <v>21.98539169679481</v>
      </c>
      <c r="I10035" s="9">
        <f t="shared" si="4"/>
        <v>307.37750000000028</v>
      </c>
      <c r="J10035" s="9">
        <f t="shared" si="11"/>
        <v>25.642382962041054</v>
      </c>
      <c r="K10035" s="9">
        <f t="shared" si="12"/>
        <v>17.232081548743409</v>
      </c>
    </row>
    <row r="10036" spans="1:11" x14ac:dyDescent="0.15">
      <c r="A10036" s="3">
        <f t="shared" si="13"/>
        <v>35</v>
      </c>
      <c r="B10036" s="3">
        <f t="shared" si="0"/>
        <v>34.28728066433488</v>
      </c>
      <c r="C10036" s="3">
        <f t="shared" si="1"/>
        <v>30.60364654526569</v>
      </c>
      <c r="D10036" s="3">
        <f t="shared" si="9"/>
        <v>21.633499464817046</v>
      </c>
      <c r="E10036" s="3">
        <f t="shared" si="10"/>
        <v>42.996801598284215</v>
      </c>
      <c r="F10036" s="9">
        <f t="shared" si="3"/>
        <v>359.61599999999999</v>
      </c>
      <c r="G10036" s="9">
        <f t="shared" si="7"/>
        <v>24.249949467814616</v>
      </c>
      <c r="H10036" s="9">
        <f t="shared" si="8"/>
        <v>21.984920468152922</v>
      </c>
      <c r="I10036" s="9">
        <f t="shared" si="4"/>
        <v>305.68000000000029</v>
      </c>
      <c r="J10036" s="9">
        <f t="shared" si="11"/>
        <v>25.499546231101633</v>
      </c>
      <c r="K10036" s="9">
        <f t="shared" si="12"/>
        <v>17.126276969668631</v>
      </c>
    </row>
    <row r="10037" spans="1:11" x14ac:dyDescent="0.15">
      <c r="A10037" s="3">
        <f t="shared" si="13"/>
        <v>36</v>
      </c>
      <c r="B10037" s="3">
        <f t="shared" si="0"/>
        <v>34.135254915624216</v>
      </c>
      <c r="C10037" s="3">
        <f t="shared" si="1"/>
        <v>30.816778784387097</v>
      </c>
      <c r="D10037" s="3">
        <f t="shared" si="9"/>
        <v>21.267110569247485</v>
      </c>
      <c r="E10037" s="3">
        <f t="shared" si="10"/>
        <v>42.987207367401012</v>
      </c>
      <c r="F10037" s="9">
        <f t="shared" ref="F10037:F10068" si="14">MOD(F10036-$E$10006*$H$10002,360)</f>
        <v>359.60399999999998</v>
      </c>
      <c r="G10037" s="9">
        <f t="shared" si="7"/>
        <v>24.249946260217961</v>
      </c>
      <c r="H10037" s="9">
        <f t="shared" si="8"/>
        <v>21.984449240172498</v>
      </c>
      <c r="I10037" s="9">
        <f t="shared" ref="I10037:I10068" si="15">MOD(I10036-$E$10006*$K$10002,360)</f>
        <v>303.9825000000003</v>
      </c>
      <c r="J10037" s="9">
        <f t="shared" si="11"/>
        <v>25.353637973645647</v>
      </c>
      <c r="K10037" s="9">
        <f t="shared" si="12"/>
        <v>17.024750022187636</v>
      </c>
    </row>
    <row r="10038" spans="1:11" x14ac:dyDescent="0.15">
      <c r="A10038" s="3">
        <f t="shared" si="13"/>
        <v>37</v>
      </c>
      <c r="B10038" s="3">
        <f t="shared" si="0"/>
        <v>33.979532650709395</v>
      </c>
      <c r="C10038" s="3">
        <f t="shared" si="1"/>
        <v>31.027225347280726</v>
      </c>
      <c r="D10038" s="3">
        <f t="shared" si="9"/>
        <v>20.90094491889818</v>
      </c>
      <c r="E10038" s="3">
        <f t="shared" si="10"/>
        <v>42.971220229846054</v>
      </c>
      <c r="F10038" s="9">
        <f t="shared" si="14"/>
        <v>359.59199999999998</v>
      </c>
      <c r="G10038" s="9">
        <f t="shared" si="7"/>
        <v>24.249942953927619</v>
      </c>
      <c r="H10038" s="9">
        <f t="shared" si="8"/>
        <v>21.9839780128742</v>
      </c>
      <c r="I10038" s="9">
        <f t="shared" si="15"/>
        <v>302.28500000000031</v>
      </c>
      <c r="J10038" s="9">
        <f t="shared" si="11"/>
        <v>25.204786252299549</v>
      </c>
      <c r="K10038" s="9">
        <f t="shared" si="12"/>
        <v>16.92758981577083</v>
      </c>
    </row>
    <row r="10039" spans="1:11" x14ac:dyDescent="0.15">
      <c r="A10039" s="3">
        <f t="shared" si="13"/>
        <v>38</v>
      </c>
      <c r="B10039" s="3">
        <f t="shared" si="0"/>
        <v>33.820161304100829</v>
      </c>
      <c r="C10039" s="3">
        <f t="shared" si="1"/>
        <v>31.234922129884872</v>
      </c>
      <c r="D10039" s="3">
        <f t="shared" si="9"/>
        <v>20.53511405137337</v>
      </c>
      <c r="E10039" s="3">
        <f t="shared" si="10"/>
        <v>42.948845055456303</v>
      </c>
      <c r="F10039" s="9">
        <f t="shared" si="14"/>
        <v>359.58</v>
      </c>
      <c r="G10039" s="9">
        <f t="shared" si="7"/>
        <v>24.249939548943736</v>
      </c>
      <c r="H10039" s="9">
        <f t="shared" si="8"/>
        <v>21.983506786278713</v>
      </c>
      <c r="I10039" s="9">
        <f t="shared" si="15"/>
        <v>300.58750000000032</v>
      </c>
      <c r="J10039" s="9">
        <f t="shared" si="11"/>
        <v>25.053121713146854</v>
      </c>
      <c r="K10039" s="9">
        <f t="shared" si="12"/>
        <v>16.834881627231454</v>
      </c>
    </row>
    <row r="10040" spans="1:11" x14ac:dyDescent="0.15">
      <c r="A10040" s="3">
        <f t="shared" si="13"/>
        <v>39</v>
      </c>
      <c r="B10040" s="3">
        <f t="shared" si="0"/>
        <v>33.657189421854568</v>
      </c>
      <c r="C10040" s="3">
        <f t="shared" si="1"/>
        <v>31.439805865747562</v>
      </c>
      <c r="D10040" s="3">
        <f t="shared" si="9"/>
        <v>20.169729402299176</v>
      </c>
      <c r="E10040" s="3">
        <f t="shared" si="10"/>
        <v>42.920088659926655</v>
      </c>
      <c r="F10040" s="9">
        <f t="shared" si="14"/>
        <v>359.56799999999998</v>
      </c>
      <c r="G10040" s="9">
        <f t="shared" si="7"/>
        <v>24.249936045266463</v>
      </c>
      <c r="H10040" s="9">
        <f t="shared" si="8"/>
        <v>21.983035560406694</v>
      </c>
      <c r="I10040" s="9">
        <f t="shared" si="15"/>
        <v>298.89000000000033</v>
      </c>
      <c r="J10040" s="9">
        <f t="shared" si="11"/>
        <v>24.898777471060995</v>
      </c>
      <c r="K10040" s="9">
        <f t="shared" si="12"/>
        <v>16.746706825878722</v>
      </c>
    </row>
    <row r="10041" spans="1:11" x14ac:dyDescent="0.15">
      <c r="A10041" s="3">
        <f t="shared" si="13"/>
        <v>40</v>
      </c>
      <c r="B10041" s="3">
        <f t="shared" si="0"/>
        <v>33.490666646784668</v>
      </c>
      <c r="C10041" s="3">
        <f t="shared" si="1"/>
        <v>31.641814145298088</v>
      </c>
      <c r="D10041" s="3">
        <f t="shared" si="9"/>
        <v>19.80490227137928</v>
      </c>
      <c r="E10041" s="3">
        <f t="shared" si="10"/>
        <v>42.884959802733746</v>
      </c>
      <c r="F10041" s="9">
        <f t="shared" si="14"/>
        <v>359.55599999999998</v>
      </c>
      <c r="G10041" s="9">
        <f t="shared" si="7"/>
        <v>24.249932442895947</v>
      </c>
      <c r="H10041" s="9">
        <f t="shared" si="8"/>
        <v>21.982564335278823</v>
      </c>
      <c r="I10041" s="9">
        <f t="shared" si="15"/>
        <v>297.19250000000034</v>
      </c>
      <c r="J10041" s="9">
        <f t="shared" si="11"/>
        <v>24.74188899287136</v>
      </c>
      <c r="K10041" s="9">
        <f t="shared" si="12"/>
        <v>16.663142802100577</v>
      </c>
    </row>
    <row r="10042" spans="1:11" x14ac:dyDescent="0.15">
      <c r="A10042" s="3">
        <f t="shared" si="13"/>
        <v>41</v>
      </c>
      <c r="B10042" s="3">
        <f t="shared" si="0"/>
        <v>33.320643703341581</v>
      </c>
      <c r="C10042" s="3">
        <f t="shared" si="1"/>
        <v>31.840885434857611</v>
      </c>
      <c r="D10042" s="3">
        <f t="shared" si="9"/>
        <v>19.440743788491904</v>
      </c>
      <c r="E10042" s="3">
        <f t="shared" si="10"/>
        <v>42.843469184467764</v>
      </c>
      <c r="F10042" s="9">
        <f t="shared" si="14"/>
        <v>359.54399999999998</v>
      </c>
      <c r="G10042" s="9">
        <f t="shared" si="7"/>
        <v>24.249928741832356</v>
      </c>
      <c r="H10042" s="9">
        <f t="shared" si="8"/>
        <v>21.982093110915763</v>
      </c>
      <c r="I10042" s="9">
        <f t="shared" si="15"/>
        <v>295.49500000000035</v>
      </c>
      <c r="J10042" s="9">
        <f t="shared" si="11"/>
        <v>24.582593978465056</v>
      </c>
      <c r="K10042" s="9">
        <f t="shared" si="12"/>
        <v>16.584262899438709</v>
      </c>
    </row>
    <row r="10043" spans="1:11" x14ac:dyDescent="0.15">
      <c r="A10043" s="3">
        <f t="shared" si="13"/>
        <v>42</v>
      </c>
      <c r="B10043" s="3">
        <f t="shared" si="0"/>
        <v>33.147172382160917</v>
      </c>
      <c r="C10043" s="3">
        <f t="shared" si="1"/>
        <v>32.036959095382869</v>
      </c>
      <c r="D10043" s="3">
        <f t="shared" si="9"/>
        <v>19.077364879838633</v>
      </c>
      <c r="E10043" s="3">
        <f t="shared" si="10"/>
        <v>42.795629443572977</v>
      </c>
      <c r="F10043" s="9">
        <f t="shared" si="14"/>
        <v>359.53199999999998</v>
      </c>
      <c r="G10043" s="9">
        <f t="shared" si="7"/>
        <v>24.249924942075843</v>
      </c>
      <c r="H10043" s="9">
        <f t="shared" si="8"/>
        <v>21.981621887338186</v>
      </c>
      <c r="I10043" s="9">
        <f t="shared" si="15"/>
        <v>293.79750000000035</v>
      </c>
      <c r="J10043" s="9">
        <f t="shared" si="11"/>
        <v>24.421032239928664</v>
      </c>
      <c r="K10043" s="9">
        <f t="shared" si="12"/>
        <v>16.510136350215426</v>
      </c>
    </row>
    <row r="10044" spans="1:11" x14ac:dyDescent="0.15">
      <c r="A10044" s="3">
        <f t="shared" si="13"/>
        <v>43</v>
      </c>
      <c r="B10044" s="3">
        <f t="shared" si="0"/>
        <v>32.970305524287554</v>
      </c>
      <c r="C10044" s="3">
        <f t="shared" si="1"/>
        <v>32.229975400937477</v>
      </c>
      <c r="D10044" s="3">
        <f t="shared" si="9"/>
        <v>18.714876234155149</v>
      </c>
      <c r="E10044" s="3">
        <f t="shared" si="10"/>
        <v>42.741455152497892</v>
      </c>
      <c r="F10044" s="9">
        <f t="shared" si="14"/>
        <v>359.52</v>
      </c>
      <c r="G10044" s="9">
        <f t="shared" si="7"/>
        <v>24.249921043626582</v>
      </c>
      <c r="H10044" s="9">
        <f t="shared" si="8"/>
        <v>21.981150664566766</v>
      </c>
      <c r="I10044" s="9">
        <f t="shared" si="15"/>
        <v>292.10000000000036</v>
      </c>
      <c r="J10044" s="9">
        <f t="shared" si="11"/>
        <v>24.257345578836226</v>
      </c>
      <c r="K10044" s="9">
        <f t="shared" si="12"/>
        <v>16.440828214768992</v>
      </c>
    </row>
    <row r="10045" spans="1:11" x14ac:dyDescent="0.15">
      <c r="A10045" s="3">
        <f t="shared" si="13"/>
        <v>44</v>
      </c>
      <c r="B10045" s="3">
        <f t="shared" si="0"/>
        <v>32.790097005079765</v>
      </c>
      <c r="C10045" s="3">
        <f t="shared" si="1"/>
        <v>32.419875556884961</v>
      </c>
      <c r="D10045" s="3">
        <f t="shared" si="9"/>
        <v>18.353388268994465</v>
      </c>
      <c r="E10045" s="3">
        <f t="shared" si="10"/>
        <v>42.680962813256372</v>
      </c>
      <c r="F10045" s="9">
        <f t="shared" si="14"/>
        <v>359.50799999999998</v>
      </c>
      <c r="G10045" s="9">
        <f t="shared" si="7"/>
        <v>24.24991704648474</v>
      </c>
      <c r="H10045" s="9">
        <f t="shared" si="8"/>
        <v>21.980679442622169</v>
      </c>
      <c r="I10045" s="9">
        <f t="shared" si="15"/>
        <v>290.40250000000037</v>
      </c>
      <c r="J10045" s="9">
        <f t="shared" si="11"/>
        <v>24.091677661790996</v>
      </c>
      <c r="K10045" s="9">
        <f t="shared" si="12"/>
        <v>16.376399324350587</v>
      </c>
    </row>
    <row r="10046" spans="1:11" x14ac:dyDescent="0.15">
      <c r="A10046" s="3">
        <f t="shared" si="13"/>
        <v>45</v>
      </c>
      <c r="B10046" s="3">
        <f t="shared" si="0"/>
        <v>32.606601717798213</v>
      </c>
      <c r="C10046" s="3">
        <f t="shared" si="1"/>
        <v>32.606601717798213</v>
      </c>
      <c r="D10046" s="3">
        <f t="shared" si="9"/>
        <v>17.993011097092559</v>
      </c>
      <c r="E10046" s="3">
        <f t="shared" si="10"/>
        <v>42.614170852400946</v>
      </c>
      <c r="F10046" s="9">
        <f t="shared" si="14"/>
        <v>359.49599999999998</v>
      </c>
      <c r="G10046" s="9">
        <f t="shared" si="7"/>
        <v>24.24991295065049</v>
      </c>
      <c r="H10046" s="9">
        <f t="shared" si="8"/>
        <v>21.980208221525064</v>
      </c>
      <c r="I10046" s="9">
        <f t="shared" si="15"/>
        <v>288.70500000000038</v>
      </c>
      <c r="J10046" s="9">
        <f t="shared" si="11"/>
        <v>23.924173894330306</v>
      </c>
      <c r="K10046" s="9">
        <f t="shared" si="12"/>
        <v>16.316906227733195</v>
      </c>
    </row>
    <row r="10047" spans="1:11" x14ac:dyDescent="0.15">
      <c r="A10047" s="3">
        <f t="shared" si="13"/>
        <v>46</v>
      </c>
      <c r="B10047" s="3">
        <f t="shared" si="0"/>
        <v>32.419875556884961</v>
      </c>
      <c r="C10047" s="3">
        <f t="shared" si="1"/>
        <v>32.790097005079765</v>
      </c>
      <c r="D10047" s="3">
        <f t="shared" si="9"/>
        <v>17.633854492827059</v>
      </c>
      <c r="E10047" s="3">
        <f t="shared" si="10"/>
        <v>42.541099615409919</v>
      </c>
      <c r="F10047" s="9">
        <f t="shared" si="14"/>
        <v>359.48399999999998</v>
      </c>
      <c r="G10047" s="9">
        <f t="shared" si="7"/>
        <v>24.249908756124018</v>
      </c>
      <c r="H10047" s="9">
        <f t="shared" si="8"/>
        <v>21.979737001296126</v>
      </c>
      <c r="I10047" s="9">
        <f t="shared" si="15"/>
        <v>287.00750000000039</v>
      </c>
      <c r="J10047" s="9">
        <f t="shared" si="11"/>
        <v>23.754981293304166</v>
      </c>
      <c r="K10047" s="9">
        <f t="shared" si="12"/>
        <v>16.262401141579133</v>
      </c>
    </row>
    <row r="10048" spans="1:11" x14ac:dyDescent="0.15">
      <c r="A10048" s="3">
        <f t="shared" si="13"/>
        <v>47</v>
      </c>
      <c r="B10048" s="3">
        <f t="shared" si="0"/>
        <v>32.229975400937477</v>
      </c>
      <c r="C10048" s="3">
        <f t="shared" si="1"/>
        <v>32.970305524287554</v>
      </c>
      <c r="D10048" s="3">
        <f t="shared" si="9"/>
        <v>17.276027858778839</v>
      </c>
      <c r="E10048" s="3">
        <f t="shared" si="10"/>
        <v>42.461771360489934</v>
      </c>
      <c r="F10048" s="9">
        <f t="shared" si="14"/>
        <v>359.47199999999998</v>
      </c>
      <c r="G10048" s="9">
        <f t="shared" si="7"/>
        <v>24.249904462905505</v>
      </c>
      <c r="H10048" s="9">
        <f t="shared" si="8"/>
        <v>21.979265781956023</v>
      </c>
      <c r="I10048" s="9">
        <f t="shared" si="15"/>
        <v>285.3100000000004</v>
      </c>
      <c r="J10048" s="9">
        <f t="shared" si="11"/>
        <v>23.584248357839648</v>
      </c>
      <c r="K10048" s="9">
        <f t="shared" si="12"/>
        <v>16.212931904609867</v>
      </c>
    </row>
    <row r="10049" spans="1:11" x14ac:dyDescent="0.15">
      <c r="A10049" s="3">
        <f t="shared" si="13"/>
        <v>48</v>
      </c>
      <c r="B10049" s="3">
        <f t="shared" si="0"/>
        <v>32.036959095382869</v>
      </c>
      <c r="C10049" s="3">
        <f t="shared" si="1"/>
        <v>33.14717238216091</v>
      </c>
      <c r="D10049" s="3">
        <f t="shared" si="9"/>
        <v>16.91964019240698</v>
      </c>
      <c r="E10049" s="3">
        <f t="shared" si="10"/>
        <v>42.376210251795925</v>
      </c>
      <c r="F10049" s="9">
        <f t="shared" si="14"/>
        <v>359.46</v>
      </c>
      <c r="G10049" s="9">
        <f t="shared" si="7"/>
        <v>24.249900070995139</v>
      </c>
      <c r="H10049" s="9">
        <f t="shared" si="8"/>
        <v>21.978794563525426</v>
      </c>
      <c r="I10049" s="9">
        <f t="shared" si="15"/>
        <v>283.61250000000041</v>
      </c>
      <c r="J10049" s="9">
        <f t="shared" si="11"/>
        <v>23.412124939004261</v>
      </c>
      <c r="K10049" s="9">
        <f t="shared" si="12"/>
        <v>16.168541935618315</v>
      </c>
    </row>
    <row r="10050" spans="1:11" x14ac:dyDescent="0.15">
      <c r="A10050" s="3">
        <f t="shared" si="13"/>
        <v>49</v>
      </c>
      <c r="B10050" s="3">
        <f t="shared" si="0"/>
        <v>31.840885434857611</v>
      </c>
      <c r="C10050" s="3">
        <f t="shared" si="1"/>
        <v>33.320643703341581</v>
      </c>
      <c r="D10050" s="3">
        <f t="shared" si="9"/>
        <v>16.564800052847062</v>
      </c>
      <c r="E10050" s="3">
        <f t="shared" si="10"/>
        <v>42.284442352070435</v>
      </c>
      <c r="F10050" s="9">
        <f t="shared" si="14"/>
        <v>359.44799999999998</v>
      </c>
      <c r="G10050" s="9">
        <f t="shared" si="7"/>
        <v>24.249895580393108</v>
      </c>
      <c r="H10050" s="9">
        <f t="shared" si="8"/>
        <v>21.978323346025</v>
      </c>
      <c r="I10050" s="9">
        <f t="shared" si="15"/>
        <v>281.91500000000042</v>
      </c>
      <c r="J10050" s="9">
        <f t="shared" si="11"/>
        <v>23.238762108282756</v>
      </c>
      <c r="K10050" s="9">
        <f t="shared" si="12"/>
        <v>16.129270195360473</v>
      </c>
    </row>
    <row r="10051" spans="1:11" x14ac:dyDescent="0.15">
      <c r="A10051" s="3">
        <f t="shared" si="13"/>
        <v>50</v>
      </c>
      <c r="B10051" s="3">
        <f t="shared" si="0"/>
        <v>31.641814145298092</v>
      </c>
      <c r="C10051" s="3">
        <f t="shared" si="1"/>
        <v>33.490666646784668</v>
      </c>
      <c r="D10051" s="3">
        <f t="shared" si="9"/>
        <v>16.211615527843019</v>
      </c>
      <c r="E10051" s="3">
        <f t="shared" si="10"/>
        <v>42.186495614704697</v>
      </c>
      <c r="F10051" s="9">
        <f t="shared" si="14"/>
        <v>359.43599999999998</v>
      </c>
      <c r="G10051" s="9">
        <f t="shared" si="7"/>
        <v>24.249890991099619</v>
      </c>
      <c r="H10051" s="9">
        <f t="shared" si="8"/>
        <v>21.977852129475419</v>
      </c>
      <c r="I10051" s="9">
        <f t="shared" si="15"/>
        <v>280.21750000000043</v>
      </c>
      <c r="J10051" s="9">
        <f t="shared" si="11"/>
        <v>23.064312024982765</v>
      </c>
      <c r="K10051" s="9">
        <f t="shared" si="12"/>
        <v>16.095151152359861</v>
      </c>
    </row>
    <row r="10052" spans="1:11" x14ac:dyDescent="0.15">
      <c r="A10052" s="3">
        <f t="shared" si="13"/>
        <v>51</v>
      </c>
      <c r="B10052" s="3">
        <f t="shared" si="0"/>
        <v>31.439805865747562</v>
      </c>
      <c r="C10052" s="3">
        <f t="shared" si="1"/>
        <v>33.657189421854561</v>
      </c>
      <c r="D10052" s="3">
        <f t="shared" si="9"/>
        <v>15.86019420082253</v>
      </c>
      <c r="E10052" s="3">
        <f t="shared" si="10"/>
        <v>42.082399875223743</v>
      </c>
      <c r="F10052" s="9">
        <f t="shared" si="14"/>
        <v>359.42399999999998</v>
      </c>
      <c r="G10052" s="9">
        <f t="shared" si="7"/>
        <v>24.249886303114867</v>
      </c>
      <c r="H10052" s="9">
        <f t="shared" si="8"/>
        <v>21.977380913897356</v>
      </c>
      <c r="I10052" s="9">
        <f t="shared" si="15"/>
        <v>278.52000000000044</v>
      </c>
      <c r="J10052" s="9">
        <f t="shared" si="11"/>
        <v>22.888927802685672</v>
      </c>
      <c r="K10052" s="9">
        <f t="shared" si="12"/>
        <v>16.066214752654723</v>
      </c>
    </row>
    <row r="10053" spans="1:11" x14ac:dyDescent="0.15">
      <c r="A10053" s="3">
        <f t="shared" si="13"/>
        <v>52</v>
      </c>
      <c r="B10053" s="3">
        <f t="shared" si="0"/>
        <v>31.234922129884872</v>
      </c>
      <c r="C10053" s="3">
        <f t="shared" si="1"/>
        <v>33.820161304100829</v>
      </c>
      <c r="D10053" s="3">
        <f t="shared" si="9"/>
        <v>15.510643118126106</v>
      </c>
      <c r="E10053" s="3">
        <f t="shared" si="10"/>
        <v>41.972186842198226</v>
      </c>
      <c r="F10053" s="9">
        <f t="shared" si="14"/>
        <v>359.41199999999998</v>
      </c>
      <c r="G10053" s="9">
        <f t="shared" si="7"/>
        <v>24.249881516439057</v>
      </c>
      <c r="H10053" s="9">
        <f t="shared" si="8"/>
        <v>21.976909699311474</v>
      </c>
      <c r="I10053" s="9">
        <f t="shared" si="15"/>
        <v>276.82250000000045</v>
      </c>
      <c r="J10053" s="9">
        <f t="shared" si="11"/>
        <v>22.712763374859932</v>
      </c>
      <c r="K10053" s="9">
        <f t="shared" si="12"/>
        <v>16.042486393514633</v>
      </c>
    </row>
    <row r="10054" spans="1:11" x14ac:dyDescent="0.15">
      <c r="A10054" s="3">
        <f t="shared" si="13"/>
        <v>53</v>
      </c>
      <c r="B10054" s="3">
        <f t="shared" si="0"/>
        <v>31.027225347280726</v>
      </c>
      <c r="C10054" s="3">
        <f t="shared" si="1"/>
        <v>33.979532650709395</v>
      </c>
      <c r="D10054" s="3">
        <f t="shared" si="9"/>
        <v>15.163068756399715</v>
      </c>
      <c r="E10054" s="3">
        <f t="shared" si="10"/>
        <v>41.855890087585649</v>
      </c>
      <c r="F10054" s="9">
        <f t="shared" si="14"/>
        <v>359.4</v>
      </c>
      <c r="G10054" s="9">
        <f t="shared" si="7"/>
        <v>24.249876631072404</v>
      </c>
      <c r="H10054" s="9">
        <f t="shared" si="8"/>
        <v>21.976438485738445</v>
      </c>
      <c r="I10054" s="9">
        <f t="shared" si="15"/>
        <v>275.12500000000045</v>
      </c>
      <c r="J10054" s="9">
        <f t="shared" si="11"/>
        <v>22.535973359754763</v>
      </c>
      <c r="K10054" s="9">
        <f t="shared" si="12"/>
        <v>16.023986901149463</v>
      </c>
    </row>
    <row r="10055" spans="1:11" x14ac:dyDescent="0.15">
      <c r="A10055" s="3">
        <f t="shared" si="13"/>
        <v>54</v>
      </c>
      <c r="B10055" s="3">
        <f t="shared" si="0"/>
        <v>30.816778784387097</v>
      </c>
      <c r="C10055" s="3">
        <f t="shared" si="1"/>
        <v>34.135254915624216</v>
      </c>
      <c r="D10055" s="3">
        <f t="shared" si="9"/>
        <v>14.817576990160958</v>
      </c>
      <c r="E10055" s="3">
        <f t="shared" si="10"/>
        <v>41.733545036504076</v>
      </c>
      <c r="F10055" s="9">
        <f t="shared" si="14"/>
        <v>359.38799999999998</v>
      </c>
      <c r="G10055" s="9">
        <f t="shared" si="7"/>
        <v>24.249871647015116</v>
      </c>
      <c r="H10055" s="9">
        <f t="shared" si="8"/>
        <v>21.97596727319894</v>
      </c>
      <c r="I10055" s="9">
        <f t="shared" si="15"/>
        <v>273.42750000000046</v>
      </c>
      <c r="J10055" s="9">
        <f t="shared" si="11"/>
        <v>22.358712924692867</v>
      </c>
      <c r="K10055" s="9">
        <f t="shared" si="12"/>
        <v>16.010732512430398</v>
      </c>
    </row>
    <row r="10056" spans="1:11" x14ac:dyDescent="0.15">
      <c r="A10056" s="3">
        <f t="shared" si="13"/>
        <v>55</v>
      </c>
      <c r="B10056" s="3">
        <f t="shared" si="0"/>
        <v>30.60364654526569</v>
      </c>
      <c r="C10056" s="3">
        <f t="shared" si="1"/>
        <v>34.28728066433488</v>
      </c>
      <c r="D10056" s="2">
        <f>D10055</f>
        <v>14.817576990160958</v>
      </c>
      <c r="E10056" s="2">
        <f>E10055</f>
        <v>41.733545036504076</v>
      </c>
      <c r="F10056" s="9">
        <f t="shared" si="14"/>
        <v>359.37599999999998</v>
      </c>
      <c r="G10056" s="9">
        <f t="shared" si="7"/>
        <v>24.249866564267414</v>
      </c>
      <c r="H10056" s="9">
        <f t="shared" si="8"/>
        <v>21.975496061713631</v>
      </c>
      <c r="I10056" s="9">
        <f t="shared" si="15"/>
        <v>271.73000000000047</v>
      </c>
      <c r="J10056" s="9">
        <f t="shared" si="11"/>
        <v>22.181137649881094</v>
      </c>
      <c r="K10056" s="9">
        <f t="shared" si="12"/>
        <v>16.002734860638931</v>
      </c>
    </row>
    <row r="10057" spans="1:11" x14ac:dyDescent="0.15">
      <c r="A10057" s="3">
        <f t="shared" si="13"/>
        <v>56</v>
      </c>
      <c r="B10057" s="3">
        <f t="shared" si="0"/>
        <v>30.3878935520612</v>
      </c>
      <c r="C10057" s="3">
        <f t="shared" si="1"/>
        <v>34.435563588325628</v>
      </c>
      <c r="D10057" s="2">
        <f>COS((90-35*$E$10006)/180*PI())*$E$10007+$D$10056</f>
        <v>15.391153426512005</v>
      </c>
      <c r="E10057" s="2">
        <f>SIN((90-35*$E$10006)/180*PI())*$E$10007+$E$10056</f>
        <v>42.552697080793067</v>
      </c>
      <c r="F10057" s="9">
        <f t="shared" si="14"/>
        <v>359.36399999999998</v>
      </c>
      <c r="G10057" s="9">
        <f t="shared" si="7"/>
        <v>24.249861382829522</v>
      </c>
      <c r="H10057" s="9">
        <f t="shared" si="8"/>
        <v>21.975024851303182</v>
      </c>
      <c r="I10057" s="9">
        <f t="shared" si="15"/>
        <v>270.03250000000048</v>
      </c>
      <c r="J10057" s="9">
        <f t="shared" si="11"/>
        <v>22.003403391858928</v>
      </c>
      <c r="K10057" s="9">
        <f t="shared" si="12"/>
        <v>16.000000965256422</v>
      </c>
    </row>
    <row r="10058" spans="1:11" x14ac:dyDescent="0.15">
      <c r="A10058" s="3">
        <f t="shared" si="13"/>
        <v>57</v>
      </c>
      <c r="B10058" s="3">
        <f t="shared" si="0"/>
        <v>30.169585525225408</v>
      </c>
      <c r="C10058" s="3">
        <f t="shared" si="1"/>
        <v>34.580058519181357</v>
      </c>
      <c r="D10058" s="2">
        <f>D10056</f>
        <v>14.817576990160958</v>
      </c>
      <c r="E10058" s="2">
        <f>E10056</f>
        <v>41.733545036504076</v>
      </c>
      <c r="F10058" s="9">
        <f t="shared" si="14"/>
        <v>359.35199999999998</v>
      </c>
      <c r="G10058" s="9">
        <f t="shared" si="7"/>
        <v>24.249856102701667</v>
      </c>
      <c r="H10058" s="9">
        <f t="shared" si="8"/>
        <v>21.974553641988269</v>
      </c>
      <c r="I10058" s="9">
        <f t="shared" si="15"/>
        <v>268.33500000000049</v>
      </c>
      <c r="J10058" s="9">
        <f t="shared" si="11"/>
        <v>21.825666146704247</v>
      </c>
      <c r="K10058" s="9">
        <f t="shared" si="12"/>
        <v>16.002533225803159</v>
      </c>
    </row>
    <row r="10059" spans="1:11" x14ac:dyDescent="0.15">
      <c r="A10059" s="3">
        <f t="shared" si="13"/>
        <v>58</v>
      </c>
      <c r="B10059" s="3">
        <f t="shared" si="0"/>
        <v>29.948788963498075</v>
      </c>
      <c r="C10059" s="3">
        <f t="shared" si="1"/>
        <v>34.720721442346388</v>
      </c>
      <c r="D10059" s="2">
        <f>COS((90-115*$E$10006)/180*PI())*$E$10007+$D$10056</f>
        <v>15.723884777197608</v>
      </c>
      <c r="E10059" s="2">
        <f>SIN((90-115*$E$10006)/180*PI())*$E$10007+$E$10056</f>
        <v>41.310926774763374</v>
      </c>
      <c r="F10059" s="9">
        <f t="shared" si="14"/>
        <v>359.34</v>
      </c>
      <c r="G10059" s="9">
        <f t="shared" si="7"/>
        <v>24.24985072388408</v>
      </c>
      <c r="H10059" s="9">
        <f t="shared" si="8"/>
        <v>21.974082433789555</v>
      </c>
      <c r="I10059" s="9">
        <f t="shared" si="15"/>
        <v>266.6375000000005</v>
      </c>
      <c r="J10059" s="9">
        <f t="shared" si="11"/>
        <v>21.648081913116716</v>
      </c>
      <c r="K10059" s="9">
        <f t="shared" si="12"/>
        <v>16.010329419732301</v>
      </c>
    </row>
    <row r="10060" spans="1:11" x14ac:dyDescent="0.15">
      <c r="A10060" s="3">
        <f t="shared" si="13"/>
        <v>59</v>
      </c>
      <c r="B10060" s="3">
        <f t="shared" si="0"/>
        <v>29.725571123650816</v>
      </c>
      <c r="C10060" s="3">
        <f t="shared" si="1"/>
        <v>34.857509510531685</v>
      </c>
      <c r="D10060" s="3" t="s">
        <v>5</v>
      </c>
      <c r="F10060" s="9">
        <f t="shared" si="14"/>
        <v>359.32799999999997</v>
      </c>
      <c r="G10060" s="9">
        <f t="shared" si="7"/>
        <v>24.249845246376999</v>
      </c>
      <c r="H10060" s="9">
        <f t="shared" si="8"/>
        <v>21.973611226727716</v>
      </c>
      <c r="I10060" s="9">
        <f t="shared" si="15"/>
        <v>264.94000000000051</v>
      </c>
      <c r="J10060" s="9">
        <f t="shared" si="11"/>
        <v>21.47080655549885</v>
      </c>
      <c r="K10060" s="9">
        <f t="shared" si="12"/>
        <v>16.023382704380595</v>
      </c>
    </row>
    <row r="10061" spans="1:11" x14ac:dyDescent="0.15">
      <c r="A10061" s="3">
        <f t="shared" si="13"/>
        <v>60</v>
      </c>
      <c r="B10061" s="3">
        <f t="shared" si="0"/>
        <v>29.5</v>
      </c>
      <c r="C10061" s="3">
        <f t="shared" si="1"/>
        <v>34.99038105676658</v>
      </c>
      <c r="D10061" s="3">
        <f>E10002</f>
        <v>22</v>
      </c>
      <c r="E10061" s="3">
        <f>E10003</f>
        <v>22</v>
      </c>
      <c r="F10061" s="9">
        <f t="shared" si="14"/>
        <v>359.31599999999997</v>
      </c>
      <c r="G10061" s="9">
        <f t="shared" si="7"/>
        <v>24.249839670180663</v>
      </c>
      <c r="H10061" s="9">
        <f t="shared" si="8"/>
        <v>21.973140020823415</v>
      </c>
      <c r="I10061" s="9">
        <f t="shared" si="15"/>
        <v>263.24250000000052</v>
      </c>
      <c r="J10061" s="9">
        <f t="shared" si="11"/>
        <v>21.293995667154949</v>
      </c>
      <c r="K10061" s="9">
        <f t="shared" si="12"/>
        <v>16.041681622974146</v>
      </c>
    </row>
    <row r="10062" spans="1:11" x14ac:dyDescent="0.15">
      <c r="A10062" s="3">
        <f t="shared" si="13"/>
        <v>61</v>
      </c>
      <c r="B10062" s="3">
        <f t="shared" si="0"/>
        <v>29.272144303695057</v>
      </c>
      <c r="C10062" s="3">
        <f t="shared" si="1"/>
        <v>35.119295607090933</v>
      </c>
      <c r="D10062" s="3" t="s">
        <v>8</v>
      </c>
      <c r="F10062" s="9">
        <f t="shared" si="14"/>
        <v>359.30399999999997</v>
      </c>
      <c r="G10062" s="9">
        <f t="shared" si="7"/>
        <v>24.249833995295315</v>
      </c>
      <c r="H10062" s="9">
        <f t="shared" si="8"/>
        <v>21.972668816097322</v>
      </c>
      <c r="I10062" s="9">
        <f t="shared" si="15"/>
        <v>261.54500000000053</v>
      </c>
      <c r="J10062" s="9">
        <f t="shared" si="11"/>
        <v>21.117804433727983</v>
      </c>
      <c r="K10062" s="9">
        <f t="shared" si="12"/>
        <v>16.065210114683925</v>
      </c>
    </row>
    <row r="10063" spans="1:11" x14ac:dyDescent="0.15">
      <c r="A10063" s="3">
        <f t="shared" si="13"/>
        <v>62</v>
      </c>
      <c r="B10063" s="3">
        <f t="shared" si="0"/>
        <v>29.042073441788361</v>
      </c>
      <c r="C10063" s="3">
        <f t="shared" si="1"/>
        <v>35.244213892883906</v>
      </c>
      <c r="D10063" t="s">
        <v>6</v>
      </c>
      <c r="E10063">
        <f>E10008</f>
        <v>2</v>
      </c>
      <c r="F10063" s="9">
        <f t="shared" si="14"/>
        <v>359.29199999999997</v>
      </c>
      <c r="G10063" s="9">
        <f t="shared" si="7"/>
        <v>24.249828221721206</v>
      </c>
      <c r="H10063" s="9">
        <f t="shared" si="8"/>
        <v>21.972197612570113</v>
      </c>
      <c r="I10063" s="9">
        <f t="shared" si="15"/>
        <v>259.84750000000054</v>
      </c>
      <c r="J10063" s="9">
        <f t="shared" si="11"/>
        <v>20.942387496994268</v>
      </c>
      <c r="K10063" s="9">
        <f t="shared" si="12"/>
        <v>16.093947528722254</v>
      </c>
    </row>
    <row r="10064" spans="1:11" x14ac:dyDescent="0.15">
      <c r="A10064" s="3">
        <f t="shared" si="13"/>
        <v>63</v>
      </c>
      <c r="B10064" s="3">
        <f t="shared" si="0"/>
        <v>28.809857496093201</v>
      </c>
      <c r="C10064" s="3">
        <f t="shared" si="1"/>
        <v>35.365097862825515</v>
      </c>
      <c r="D10064" t="s">
        <v>14</v>
      </c>
      <c r="E10064">
        <v>1.3</v>
      </c>
      <c r="F10064" s="9">
        <f t="shared" si="14"/>
        <v>359.28</v>
      </c>
      <c r="G10064" s="9">
        <f t="shared" si="7"/>
        <v>24.249822349458587</v>
      </c>
      <c r="H10064" s="9">
        <f t="shared" si="8"/>
        <v>21.971726410262455</v>
      </c>
      <c r="I10064" s="9">
        <f t="shared" si="15"/>
        <v>258.15000000000055</v>
      </c>
      <c r="J10064" s="9">
        <f t="shared" si="11"/>
        <v>20.767898819135471</v>
      </c>
      <c r="K10064" s="9">
        <f t="shared" si="12"/>
        <v>16.12786864246786</v>
      </c>
    </row>
    <row r="10065" spans="1:11" x14ac:dyDescent="0.15">
      <c r="A10065" s="3">
        <f t="shared" si="13"/>
        <v>64</v>
      </c>
      <c r="B10065" s="3">
        <f t="shared" ref="B10065:B10128" si="16">COS(A10065/180*PI())*$E$10001+$E$10002</f>
        <v>28.575567201836162</v>
      </c>
      <c r="C10065" s="3">
        <f t="shared" ref="C10065:C10128" si="17">SIN(A10065/180*PI())*$E$10001+$E$10003</f>
        <v>35.481910694487503</v>
      </c>
      <c r="D10065" t="s">
        <v>15</v>
      </c>
      <c r="E10065" s="3">
        <f>E10009</f>
        <v>2</v>
      </c>
      <c r="F10065" s="9">
        <f t="shared" si="14"/>
        <v>359.26799999999997</v>
      </c>
      <c r="G10065" s="9">
        <f t="shared" si="7"/>
        <v>24.249816378507717</v>
      </c>
      <c r="H10065" s="9">
        <f t="shared" si="8"/>
        <v>21.971255209195014</v>
      </c>
      <c r="I10065" s="9">
        <f t="shared" si="15"/>
        <v>256.45250000000055</v>
      </c>
      <c r="J10065" s="9">
        <f t="shared" si="11"/>
        <v>20.594491547607156</v>
      </c>
      <c r="K10065" s="9">
        <f t="shared" si="12"/>
        <v>16.16694368360357</v>
      </c>
    </row>
    <row r="10066" spans="1:11" x14ac:dyDescent="0.15">
      <c r="A10066" s="3">
        <f t="shared" si="13"/>
        <v>65</v>
      </c>
      <c r="B10066" s="3">
        <f t="shared" si="16"/>
        <v>28.339273926110494</v>
      </c>
      <c r="C10066" s="3">
        <f t="shared" si="17"/>
        <v>35.594616805549748</v>
      </c>
      <c r="D10066" s="3">
        <f>COS($R$10002/180*PI())*$E$10001*$E$10064+$E$10002</f>
        <v>41.5</v>
      </c>
      <c r="E10066" s="3">
        <f>SIN($R$10002/180*PI())*$E$10001*$E$10064+$E$10003</f>
        <v>22</v>
      </c>
      <c r="F10066" s="9">
        <f t="shared" si="14"/>
        <v>359.25599999999997</v>
      </c>
      <c r="G10066" s="9">
        <f t="shared" si="7"/>
        <v>24.249810308868859</v>
      </c>
      <c r="H10066" s="9">
        <f t="shared" si="8"/>
        <v>21.970784009388456</v>
      </c>
      <c r="I10066" s="9">
        <f t="shared" si="15"/>
        <v>254.75500000000056</v>
      </c>
      <c r="J10066" s="9">
        <f t="shared" si="11"/>
        <v>20.422317880722328</v>
      </c>
      <c r="K10066" s="9">
        <f t="shared" si="12"/>
        <v>16.211138356247275</v>
      </c>
    </row>
    <row r="10067" spans="1:11" x14ac:dyDescent="0.15">
      <c r="A10067" s="3">
        <f t="shared" si="13"/>
        <v>66</v>
      </c>
      <c r="B10067" s="3">
        <f t="shared" si="16"/>
        <v>28.101049646137007</v>
      </c>
      <c r="C10067" s="3">
        <f t="shared" si="17"/>
        <v>35.703181864639014</v>
      </c>
      <c r="D10067">
        <f>COS($R$10002/180*PI())*($E$10001*$E$10064+$E$10063)+$E$10002</f>
        <v>43.5</v>
      </c>
      <c r="E10067">
        <f>SIN($R$10002/180*PI())*($E$10001*$E$10064+$E$10063)+$E$10003</f>
        <v>22</v>
      </c>
      <c r="F10067" s="9">
        <f t="shared" si="14"/>
        <v>359.24399999999997</v>
      </c>
      <c r="G10067" s="9">
        <f t="shared" si="7"/>
        <v>24.249804140542278</v>
      </c>
      <c r="H10067" s="9">
        <f t="shared" si="8"/>
        <v>21.970312810863462</v>
      </c>
      <c r="I10067" s="9">
        <f t="shared" si="15"/>
        <v>253.05750000000057</v>
      </c>
      <c r="J10067" s="9">
        <f t="shared" si="11"/>
        <v>20.251528934068077</v>
      </c>
      <c r="K10067" s="9">
        <f t="shared" si="12"/>
        <v>16.260413871053167</v>
      </c>
    </row>
    <row r="10068" spans="1:11" x14ac:dyDescent="0.15">
      <c r="A10068" s="3">
        <f t="shared" si="13"/>
        <v>67</v>
      </c>
      <c r="B10068" s="3">
        <f t="shared" si="16"/>
        <v>27.860966927339106</v>
      </c>
      <c r="C10068" s="3">
        <f t="shared" si="17"/>
        <v>35.807572801786606</v>
      </c>
      <c r="D10068" s="2">
        <f>COS(($R$10002-90)/180*PI())*$E$10065/2+$D$10069</f>
        <v>41.5</v>
      </c>
      <c r="E10068" s="2">
        <f>SIN(($R$10002-90)/180*PI())*$E$10065/2+$E$10069</f>
        <v>21</v>
      </c>
      <c r="F10068" s="9">
        <f t="shared" si="14"/>
        <v>359.23199999999997</v>
      </c>
      <c r="G10068" s="9">
        <f t="shared" si="7"/>
        <v>24.249797873528244</v>
      </c>
      <c r="H10068" s="9">
        <f t="shared" si="8"/>
        <v>21.969841613640689</v>
      </c>
      <c r="I10068" s="9">
        <f t="shared" si="15"/>
        <v>251.36000000000058</v>
      </c>
      <c r="J10068" s="9">
        <f t="shared" si="11"/>
        <v>20.082274607872552</v>
      </c>
      <c r="K10068" s="9">
        <f t="shared" si="12"/>
        <v>16.314726979256879</v>
      </c>
    </row>
    <row r="10069" spans="1:11" x14ac:dyDescent="0.15">
      <c r="A10069" s="3">
        <f t="shared" si="13"/>
        <v>68</v>
      </c>
      <c r="B10069" s="3">
        <f t="shared" si="16"/>
        <v>27.619098901238683</v>
      </c>
      <c r="C10069" s="3">
        <f t="shared" si="17"/>
        <v>35.907757818501807</v>
      </c>
      <c r="D10069" s="2">
        <f>$D$10066</f>
        <v>41.5</v>
      </c>
      <c r="E10069" s="2">
        <f>$E$10066</f>
        <v>22</v>
      </c>
      <c r="F10069" s="9">
        <f t="shared" ref="F10069:F10100" si="18">MOD(F10068-$E$10006*$H$10002,360)</f>
        <v>359.21999999999997</v>
      </c>
      <c r="G10069" s="9">
        <f t="shared" si="7"/>
        <v>24.24979150782703</v>
      </c>
      <c r="H10069" s="9">
        <f t="shared" si="8"/>
        <v>21.969370417740812</v>
      </c>
      <c r="I10069" s="9">
        <f t="shared" ref="I10069:I10100" si="19">MOD(I10068-$E$10006*$K$10002,360)</f>
        <v>249.66250000000059</v>
      </c>
      <c r="J10069" s="9">
        <f t="shared" si="11"/>
        <v>19.914703455438531</v>
      </c>
      <c r="K10069" s="9">
        <f t="shared" si="12"/>
        <v>16.374030010634613</v>
      </c>
    </row>
    <row r="10070" spans="1:11" x14ac:dyDescent="0.15">
      <c r="A10070" s="3">
        <f t="shared" si="13"/>
        <v>69</v>
      </c>
      <c r="B10070" s="3">
        <f t="shared" si="16"/>
        <v>27.375519243179504</v>
      </c>
      <c r="C10070" s="3">
        <f t="shared" si="17"/>
        <v>36.003706397458025</v>
      </c>
      <c r="D10070" s="2">
        <f>COS(($R$10002+90)/180*PI())*$E$10065/2+$D$10069</f>
        <v>41.5</v>
      </c>
      <c r="E10070" s="2">
        <f>SIN(($R$10002+90)/180*PI())*$E$10065/2+$E$10069</f>
        <v>23</v>
      </c>
      <c r="F10070" s="9">
        <f t="shared" si="18"/>
        <v>359.20799999999997</v>
      </c>
      <c r="G10070" s="9">
        <f t="shared" ref="G10070:G10133" si="20">COS(F10070/180*PI())*$E$10001*$R$10019+$E$10002</f>
        <v>24.249785043438923</v>
      </c>
      <c r="H10070" s="9">
        <f t="shared" ref="H10070:H10133" si="21">SIN(F10070/180*PI())*$E$10001*$R$10019+$E$10003</f>
        <v>21.968899223184501</v>
      </c>
      <c r="I10070" s="9">
        <f t="shared" si="19"/>
        <v>247.9650000000006</v>
      </c>
      <c r="J10070" s="9">
        <f t="shared" si="11"/>
        <v>19.748962552759359</v>
      </c>
      <c r="K10070" s="9">
        <f t="shared" si="12"/>
        <v>16.438270915342933</v>
      </c>
    </row>
    <row r="10071" spans="1:11" x14ac:dyDescent="0.15">
      <c r="A10071" s="3">
        <f t="shared" si="13"/>
        <v>70</v>
      </c>
      <c r="B10071" s="3">
        <f t="shared" si="16"/>
        <v>27.130302149885033</v>
      </c>
      <c r="C10071" s="3">
        <f t="shared" si="17"/>
        <v>36.095389311788622</v>
      </c>
      <c r="D10071" s="3" t="s">
        <v>10</v>
      </c>
      <c r="F10071" s="9">
        <f t="shared" si="18"/>
        <v>359.19599999999997</v>
      </c>
      <c r="G10071" s="9">
        <f t="shared" si="20"/>
        <v>24.249778480364199</v>
      </c>
      <c r="H10071" s="9">
        <f t="shared" si="21"/>
        <v>21.968428029992417</v>
      </c>
      <c r="I10071" s="9">
        <f t="shared" si="19"/>
        <v>246.26750000000061</v>
      </c>
      <c r="J10071" s="9">
        <f t="shared" si="11"/>
        <v>19.585197369431313</v>
      </c>
      <c r="K10071" s="9">
        <f t="shared" si="12"/>
        <v>16.507393309602573</v>
      </c>
    </row>
    <row r="10072" spans="1:11" x14ac:dyDescent="0.15">
      <c r="A10072" s="3">
        <f t="shared" si="13"/>
        <v>71</v>
      </c>
      <c r="B10072" s="3">
        <f t="shared" si="16"/>
        <v>26.883522316857352</v>
      </c>
      <c r="C10072" s="3">
        <f t="shared" si="17"/>
        <v>36.182778633989749</v>
      </c>
      <c r="D10072" s="3" t="s">
        <v>11</v>
      </c>
      <c r="E10072" s="3">
        <f>E10063</f>
        <v>2</v>
      </c>
      <c r="F10072" s="9">
        <f t="shared" si="18"/>
        <v>359.18399999999997</v>
      </c>
      <c r="G10072" s="9">
        <f t="shared" si="20"/>
        <v>24.249771818603147</v>
      </c>
      <c r="H10072" s="9">
        <f t="shared" si="21"/>
        <v>21.967956838185241</v>
      </c>
      <c r="I10072" s="9">
        <f t="shared" si="19"/>
        <v>244.57000000000062</v>
      </c>
      <c r="J10072" s="9">
        <f t="shared" si="11"/>
        <v>19.423551640976065</v>
      </c>
      <c r="K10072" s="9">
        <f t="shared" si="12"/>
        <v>16.581336525186043</v>
      </c>
    </row>
    <row r="10073" spans="1:11" x14ac:dyDescent="0.15">
      <c r="A10073" s="3">
        <f t="shared" si="13"/>
        <v>72</v>
      </c>
      <c r="B10073" s="3">
        <f t="shared" si="16"/>
        <v>26.635254915624213</v>
      </c>
      <c r="C10073" s="3">
        <f t="shared" si="17"/>
        <v>36.265847744427305</v>
      </c>
      <c r="D10073" s="3" t="s">
        <v>13</v>
      </c>
      <c r="E10073" s="3">
        <f t="shared" ref="E10073:E10074" si="22">E10064</f>
        <v>1.3</v>
      </c>
      <c r="F10073" s="9">
        <f t="shared" si="18"/>
        <v>359.17199999999997</v>
      </c>
      <c r="G10073" s="9">
        <f t="shared" si="20"/>
        <v>24.249765058156061</v>
      </c>
      <c r="H10073" s="9">
        <f t="shared" si="21"/>
        <v>21.967485647783633</v>
      </c>
      <c r="I10073" s="9">
        <f t="shared" si="19"/>
        <v>242.87250000000063</v>
      </c>
      <c r="J10073" s="9">
        <f t="shared" si="11"/>
        <v>19.264167242684984</v>
      </c>
      <c r="K10073" s="9">
        <f t="shared" si="12"/>
        <v>16.660035662665702</v>
      </c>
    </row>
    <row r="10074" spans="1:11" x14ac:dyDescent="0.15">
      <c r="A10074" s="3">
        <f t="shared" si="13"/>
        <v>73</v>
      </c>
      <c r="B10074" s="3">
        <f t="shared" si="16"/>
        <v>26.385575570841052</v>
      </c>
      <c r="C10074" s="3">
        <f t="shared" si="17"/>
        <v>36.34457133944553</v>
      </c>
      <c r="D10074" s="3" t="s">
        <v>12</v>
      </c>
      <c r="E10074" s="3">
        <f t="shared" si="22"/>
        <v>2</v>
      </c>
      <c r="F10074" s="9">
        <f t="shared" si="18"/>
        <v>359.15999999999997</v>
      </c>
      <c r="G10074" s="9">
        <f t="shared" si="20"/>
        <v>24.24975819902324</v>
      </c>
      <c r="H10074" s="9">
        <f t="shared" si="21"/>
        <v>21.967014458808261</v>
      </c>
      <c r="I10074" s="9">
        <f t="shared" si="19"/>
        <v>241.17500000000064</v>
      </c>
      <c r="J10074" s="9">
        <f t="shared" si="11"/>
        <v>19.107184065096263</v>
      </c>
      <c r="K10074" s="9">
        <f t="shared" si="12"/>
        <v>16.743421648375531</v>
      </c>
    </row>
    <row r="10075" spans="1:11" x14ac:dyDescent="0.15">
      <c r="A10075" s="3">
        <f t="shared" si="13"/>
        <v>74</v>
      </c>
      <c r="B10075" s="3">
        <f t="shared" si="16"/>
        <v>26.134560337254989</v>
      </c>
      <c r="C10075" s="3">
        <f t="shared" si="17"/>
        <v>36.418925439074783</v>
      </c>
      <c r="D10075" s="3">
        <f>COS($R$10003/180*PI())*$E$10001*$E$10073+$E$10002</f>
        <v>41.5</v>
      </c>
      <c r="E10075" s="3">
        <f>SIN($R$10003/180*PI())*$E$10001*$E$10073+$E$10003</f>
        <v>22</v>
      </c>
      <c r="F10075" s="9">
        <f t="shared" si="18"/>
        <v>359.14799999999997</v>
      </c>
      <c r="G10075" s="9">
        <f t="shared" si="20"/>
        <v>24.249751241204979</v>
      </c>
      <c r="H10075" s="9">
        <f t="shared" si="21"/>
        <v>21.9665432712798</v>
      </c>
      <c r="I10075" s="9">
        <f t="shared" si="19"/>
        <v>239.47750000000065</v>
      </c>
      <c r="J10075" s="9">
        <f t="shared" si="11"/>
        <v>18.952739891213973</v>
      </c>
      <c r="K10075" s="9">
        <f t="shared" si="12"/>
        <v>16.831421295036577</v>
      </c>
    </row>
    <row r="10076" spans="1:11" x14ac:dyDescent="0.15">
      <c r="A10076" s="3">
        <f t="shared" si="13"/>
        <v>75</v>
      </c>
      <c r="B10076" s="3">
        <f t="shared" si="16"/>
        <v>25.882285676537812</v>
      </c>
      <c r="C10076" s="3">
        <f t="shared" si="17"/>
        <v>36.488887394336025</v>
      </c>
      <c r="D10076" s="3">
        <f>COS($R$10003/180*PI())*($E$10001*$E$10073+$E$10072)+$E$10002</f>
        <v>43.5</v>
      </c>
      <c r="E10076" s="3">
        <f>SIN($R$10003/180*PI())*($E$10001*$E$10073+$E$10072)+$E$10003</f>
        <v>22</v>
      </c>
      <c r="F10076" s="9">
        <f t="shared" si="18"/>
        <v>359.13599999999997</v>
      </c>
      <c r="G10076" s="9">
        <f t="shared" si="20"/>
        <v>24.249744184701587</v>
      </c>
      <c r="H10076" s="9">
        <f t="shared" si="21"/>
        <v>21.966072085218915</v>
      </c>
      <c r="I10076" s="9">
        <f t="shared" si="19"/>
        <v>237.78000000000065</v>
      </c>
      <c r="J10076" s="9">
        <f t="shared" si="11"/>
        <v>18.800970275576926</v>
      </c>
      <c r="K10076" s="9">
        <f t="shared" si="12"/>
        <v>16.923957365992909</v>
      </c>
    </row>
    <row r="10077" spans="1:11" x14ac:dyDescent="0.15">
      <c r="A10077" s="3">
        <f t="shared" si="13"/>
        <v>76</v>
      </c>
      <c r="B10077" s="3">
        <f t="shared" si="16"/>
        <v>25.628828433995015</v>
      </c>
      <c r="C10077" s="3">
        <f t="shared" si="17"/>
        <v>36.554435894139949</v>
      </c>
      <c r="D10077" s="2">
        <f>COS(($R$10003-90)/180*PI())*$E$10074/2+$D$10078</f>
        <v>41.5</v>
      </c>
      <c r="E10077" s="2">
        <f>SIN(($R$10003-90)/180*PI())*$E$10074/2+$E$10078</f>
        <v>21</v>
      </c>
      <c r="F10077" s="9">
        <f t="shared" si="18"/>
        <v>359.12399999999997</v>
      </c>
      <c r="G10077" s="9">
        <f t="shared" si="20"/>
        <v>24.249737029513373</v>
      </c>
      <c r="H10077" s="9">
        <f t="shared" si="21"/>
        <v>21.965600900646276</v>
      </c>
      <c r="I10077" s="9">
        <f t="shared" si="19"/>
        <v>236.08250000000066</v>
      </c>
      <c r="J10077" s="9">
        <f t="shared" si="11"/>
        <v>18.65200842528343</v>
      </c>
      <c r="K10077" s="9">
        <f t="shared" si="12"/>
        <v>17.020948643001674</v>
      </c>
    </row>
    <row r="10078" spans="1:11" x14ac:dyDescent="0.15">
      <c r="A10078" s="3">
        <f t="shared" si="13"/>
        <v>77</v>
      </c>
      <c r="B10078" s="3">
        <f t="shared" si="16"/>
        <v>25.374265815157976</v>
      </c>
      <c r="C10078" s="3">
        <f t="shared" si="17"/>
        <v>36.615550971778532</v>
      </c>
      <c r="D10078" s="2">
        <f>$D$10075</f>
        <v>41.5</v>
      </c>
      <c r="E10078" s="2">
        <f>$E$10075</f>
        <v>22</v>
      </c>
      <c r="F10078" s="9">
        <f t="shared" si="18"/>
        <v>359.11199999999997</v>
      </c>
      <c r="G10078" s="9">
        <f t="shared" si="20"/>
        <v>24.249729775640649</v>
      </c>
      <c r="H10078" s="9">
        <f t="shared" si="21"/>
        <v>21.965129717582549</v>
      </c>
      <c r="I10078" s="9">
        <f t="shared" si="19"/>
        <v>234.38500000000067</v>
      </c>
      <c r="J10078" s="9">
        <f t="shared" ref="J10078:J10141" si="23">COS(I10078/180*PI())*$E$10001*$R$10023+$E$10002</f>
        <v>18.505985083076382</v>
      </c>
      <c r="K10078" s="9">
        <f t="shared" ref="K10078:K10141" si="24">SIN(I10078/180*PI())*$E$10001*$R$10023+$E$10003</f>
        <v>17.122309997517753</v>
      </c>
    </row>
    <row r="10079" spans="1:11" x14ac:dyDescent="0.15">
      <c r="A10079" s="3">
        <f t="shared" si="13"/>
        <v>78</v>
      </c>
      <c r="B10079" s="3">
        <f t="shared" si="16"/>
        <v>25.118675362266387</v>
      </c>
      <c r="C10079" s="3">
        <f t="shared" si="17"/>
        <v>36.672214011007085</v>
      </c>
      <c r="D10079" s="2">
        <f>COS(($R$10003+90)/180*PI())*$E$10074/2+$D$10078</f>
        <v>41.5</v>
      </c>
      <c r="E10079" s="2">
        <f>SIN(($R$10003+90)/180*PI())*$E$10074/2+$E$10078</f>
        <v>23</v>
      </c>
      <c r="F10079" s="9">
        <f t="shared" si="18"/>
        <v>359.09999999999997</v>
      </c>
      <c r="G10079" s="9">
        <f t="shared" si="20"/>
        <v>24.249722423083735</v>
      </c>
      <c r="H10079" s="9">
        <f t="shared" si="21"/>
        <v>21.9646585360484</v>
      </c>
      <c r="I10079" s="9">
        <f t="shared" si="19"/>
        <v>232.68750000000068</v>
      </c>
      <c r="J10079" s="9">
        <f t="shared" si="23"/>
        <v>18.363028412591287</v>
      </c>
      <c r="K10079" s="9">
        <f t="shared" si="24"/>
        <v>17.227952465410496</v>
      </c>
    </row>
    <row r="10080" spans="1:11" x14ac:dyDescent="0.15">
      <c r="A10080" s="3">
        <f t="shared" si="13"/>
        <v>79</v>
      </c>
      <c r="B10080" s="3">
        <f t="shared" si="16"/>
        <v>24.862134930648175</v>
      </c>
      <c r="C10080" s="3">
        <f t="shared" si="17"/>
        <v>36.724407751714963</v>
      </c>
      <c r="D10080" s="3" t="s">
        <v>16</v>
      </c>
      <c r="F10080" s="9">
        <f t="shared" si="18"/>
        <v>359.08799999999997</v>
      </c>
      <c r="G10080" s="9">
        <f t="shared" si="20"/>
        <v>24.249714971842955</v>
      </c>
      <c r="H10080" s="9">
        <f t="shared" si="21"/>
        <v>21.964187356064507</v>
      </c>
      <c r="I10080" s="9">
        <f t="shared" si="19"/>
        <v>230.99000000000069</v>
      </c>
      <c r="J10080" s="9">
        <f t="shared" si="23"/>
        <v>18.223263885867986</v>
      </c>
      <c r="K10080" s="9">
        <f t="shared" si="24"/>
        <v>17.337783325046868</v>
      </c>
    </row>
    <row r="10081" spans="1:11" x14ac:dyDescent="0.15">
      <c r="A10081" s="3">
        <f t="shared" si="13"/>
        <v>80</v>
      </c>
      <c r="B10081" s="3">
        <f t="shared" si="16"/>
        <v>24.604722665003955</v>
      </c>
      <c r="C10081" s="3">
        <f t="shared" si="17"/>
        <v>36.772116295183125</v>
      </c>
      <c r="D10081" s="3" t="s">
        <v>17</v>
      </c>
      <c r="E10081" s="3">
        <f>E10072</f>
        <v>2</v>
      </c>
      <c r="F10081" s="9">
        <f t="shared" si="18"/>
        <v>359.07599999999996</v>
      </c>
      <c r="G10081" s="9">
        <f t="shared" si="20"/>
        <v>24.249707421918632</v>
      </c>
      <c r="H10081" s="9">
        <f t="shared" si="21"/>
        <v>21.963716177651531</v>
      </c>
      <c r="I10081" s="9">
        <f t="shared" si="19"/>
        <v>229.2925000000007</v>
      </c>
      <c r="J10081" s="9">
        <f t="shared" si="23"/>
        <v>18.086814173224735</v>
      </c>
      <c r="K10081" s="9">
        <f t="shared" si="24"/>
        <v>17.45170617867258</v>
      </c>
    </row>
    <row r="10082" spans="1:11" x14ac:dyDescent="0.15">
      <c r="A10082" s="3">
        <f t="shared" si="13"/>
        <v>81</v>
      </c>
      <c r="B10082" s="3">
        <f t="shared" si="16"/>
        <v>24.346516975603464</v>
      </c>
      <c r="C10082" s="3">
        <f t="shared" si="17"/>
        <v>36.81532510892707</v>
      </c>
      <c r="D10082" s="3" t="s">
        <v>18</v>
      </c>
      <c r="E10082" s="3">
        <f t="shared" ref="E10082:E10083" si="25">E10073</f>
        <v>1.3</v>
      </c>
      <c r="F10082" s="9">
        <f t="shared" si="18"/>
        <v>359.06399999999996</v>
      </c>
      <c r="G10082" s="9">
        <f t="shared" si="20"/>
        <v>24.2496997733111</v>
      </c>
      <c r="H10082" s="9">
        <f t="shared" si="21"/>
        <v>21.963245000830142</v>
      </c>
      <c r="I10082" s="9">
        <f t="shared" si="19"/>
        <v>227.59500000000071</v>
      </c>
      <c r="J10082" s="9">
        <f t="shared" si="23"/>
        <v>17.953799035591338</v>
      </c>
      <c r="K10082" s="9">
        <f t="shared" si="24"/>
        <v>17.569621037019697</v>
      </c>
    </row>
    <row r="10083" spans="1:11" x14ac:dyDescent="0.15">
      <c r="A10083" s="3">
        <f t="shared" si="13"/>
        <v>82</v>
      </c>
      <c r="B10083" s="3">
        <f t="shared" si="16"/>
        <v>24.087596514400982</v>
      </c>
      <c r="C10083" s="3">
        <f t="shared" si="17"/>
        <v>36.854021031123551</v>
      </c>
      <c r="D10083" s="3" t="s">
        <v>19</v>
      </c>
      <c r="E10083" s="3">
        <f t="shared" si="25"/>
        <v>2</v>
      </c>
      <c r="F10083" s="9">
        <f t="shared" si="18"/>
        <v>359.05199999999996</v>
      </c>
      <c r="G10083" s="9">
        <f t="shared" si="20"/>
        <v>24.249692026020696</v>
      </c>
      <c r="H10083" s="9">
        <f t="shared" si="21"/>
        <v>21.962773825621003</v>
      </c>
      <c r="I10083" s="9">
        <f t="shared" si="19"/>
        <v>225.89750000000072</v>
      </c>
      <c r="J10083" s="9">
        <f t="shared" si="23"/>
        <v>17.82433521939587</v>
      </c>
      <c r="K10083" s="9">
        <f t="shared" si="24"/>
        <v>17.691424407066499</v>
      </c>
    </row>
    <row r="10084" spans="1:11" x14ac:dyDescent="0.15">
      <c r="A10084" s="3">
        <f t="shared" si="13"/>
        <v>83</v>
      </c>
      <c r="B10084" s="3">
        <f t="shared" si="16"/>
        <v>23.828040151077211</v>
      </c>
      <c r="C10084" s="3">
        <f t="shared" si="17"/>
        <v>36.888192274619826</v>
      </c>
      <c r="D10084" s="3">
        <f>COS($R$10004/180*PI())*$E$10001*$E$10082+$E$10002</f>
        <v>22</v>
      </c>
      <c r="E10084" s="3">
        <f>SIN($R$10004/180*PI())*$E$10001*$E$10082+$E$10003</f>
        <v>41.5</v>
      </c>
      <c r="F10084" s="9">
        <f t="shared" si="18"/>
        <v>359.03999999999996</v>
      </c>
      <c r="G10084" s="9">
        <f t="shared" si="20"/>
        <v>24.249684180047755</v>
      </c>
      <c r="H10084" s="9">
        <f t="shared" si="21"/>
        <v>21.962302652044791</v>
      </c>
      <c r="I10084" s="9">
        <f t="shared" si="19"/>
        <v>224.20000000000073</v>
      </c>
      <c r="J10084" s="9">
        <f t="shared" si="23"/>
        <v>17.698536354097154</v>
      </c>
      <c r="K10084" s="9">
        <f t="shared" si="24"/>
        <v>17.817009382872559</v>
      </c>
    </row>
    <row r="10085" spans="1:11" x14ac:dyDescent="0.15">
      <c r="A10085" s="3">
        <f t="shared" si="13"/>
        <v>84</v>
      </c>
      <c r="B10085" s="3">
        <f t="shared" si="16"/>
        <v>23.567926949014801</v>
      </c>
      <c r="C10085" s="3">
        <f t="shared" si="17"/>
        <v>36.917828430524096</v>
      </c>
      <c r="D10085" s="3">
        <f>COS($R$10004/180*PI())*($E$10001*$E$10082+$E$10081)+$E$10002</f>
        <v>22</v>
      </c>
      <c r="E10085" s="3">
        <f>SIN($R$10004/180*PI())*($E$10001*$E$10082+$E$10081)+$E$10003</f>
        <v>43.5</v>
      </c>
      <c r="F10085" s="9">
        <f t="shared" si="18"/>
        <v>359.02799999999996</v>
      </c>
      <c r="G10085" s="9">
        <f t="shared" si="20"/>
        <v>24.249676235392627</v>
      </c>
      <c r="H10085" s="9">
        <f t="shared" si="21"/>
        <v>21.961831480122168</v>
      </c>
      <c r="I10085" s="9">
        <f t="shared" si="19"/>
        <v>222.50250000000074</v>
      </c>
      <c r="J10085" s="9">
        <f t="shared" si="23"/>
        <v>17.576512852453025</v>
      </c>
      <c r="K10085" s="9">
        <f t="shared" si="24"/>
        <v>17.946265739409313</v>
      </c>
    </row>
    <row r="10086" spans="1:11" x14ac:dyDescent="0.15">
      <c r="A10086" s="3">
        <f t="shared" si="13"/>
        <v>85</v>
      </c>
      <c r="B10086" s="3">
        <f t="shared" si="16"/>
        <v>23.307336141214876</v>
      </c>
      <c r="C10086" s="3">
        <f t="shared" si="17"/>
        <v>36.942920471376183</v>
      </c>
      <c r="D10086" s="2">
        <f>COS(($R$10004-90)/180*PI())*$E$10083/2+$D$10087</f>
        <v>23</v>
      </c>
      <c r="E10086" s="2">
        <f>SIN(($R$10004-90)/180*PI())*$E$10083/2+$E$10087</f>
        <v>41.5</v>
      </c>
      <c r="F10086" s="9">
        <f t="shared" si="18"/>
        <v>359.01599999999996</v>
      </c>
      <c r="G10086" s="9">
        <f t="shared" si="20"/>
        <v>24.249668192055655</v>
      </c>
      <c r="H10086" s="9">
        <f t="shared" si="21"/>
        <v>21.961360309873804</v>
      </c>
      <c r="I10086" s="9">
        <f t="shared" si="19"/>
        <v>220.80500000000075</v>
      </c>
      <c r="J10086" s="9">
        <f t="shared" si="23"/>
        <v>17.458371813611819</v>
      </c>
      <c r="K10086" s="9">
        <f t="shared" si="24"/>
        <v>18.079080029303785</v>
      </c>
    </row>
    <row r="10087" spans="1:11" x14ac:dyDescent="0.15">
      <c r="A10087" s="3">
        <f t="shared" ref="A10087:A10150" si="26">A10086+1</f>
        <v>86</v>
      </c>
      <c r="B10087" s="3">
        <f t="shared" si="16"/>
        <v>23.046347106161878</v>
      </c>
      <c r="C10087" s="3">
        <f t="shared" si="17"/>
        <v>36.963460753897365</v>
      </c>
      <c r="D10087" s="2">
        <f>$D$10084</f>
        <v>22</v>
      </c>
      <c r="E10087" s="2">
        <f>$E$10084</f>
        <v>41.5</v>
      </c>
      <c r="F10087" s="9">
        <f t="shared" si="18"/>
        <v>359.00399999999996</v>
      </c>
      <c r="G10087" s="9">
        <f t="shared" si="20"/>
        <v>24.249660050037193</v>
      </c>
      <c r="H10087" s="9">
        <f t="shared" si="21"/>
        <v>21.960889141320365</v>
      </c>
      <c r="I10087" s="9">
        <f t="shared" si="19"/>
        <v>219.10750000000075</v>
      </c>
      <c r="J10087" s="9">
        <f t="shared" si="23"/>
        <v>17.34421692911225</v>
      </c>
      <c r="K10087" s="9">
        <f t="shared" si="24"/>
        <v>18.215335682410519</v>
      </c>
    </row>
    <row r="10088" spans="1:11" x14ac:dyDescent="0.15">
      <c r="A10088" s="3">
        <f t="shared" si="26"/>
        <v>87</v>
      </c>
      <c r="B10088" s="3">
        <f t="shared" si="16"/>
        <v>22.785039343644158</v>
      </c>
      <c r="C10088" s="3">
        <f t="shared" si="17"/>
        <v>36.979443021318609</v>
      </c>
      <c r="D10088" s="2">
        <f>COS(($R$10004+90)/180*PI())*$E$10083/2+$D$10087</f>
        <v>21</v>
      </c>
      <c r="E10088" s="2">
        <f>SIN(($R$10004+90)/180*PI())*$E$10083/2+$E$10087</f>
        <v>41.5</v>
      </c>
      <c r="F10088" s="9">
        <f t="shared" si="18"/>
        <v>358.99199999999996</v>
      </c>
      <c r="G10088" s="9">
        <f t="shared" si="20"/>
        <v>24.2496518093376</v>
      </c>
      <c r="H10088" s="9">
        <f t="shared" si="21"/>
        <v>21.960417974482521</v>
      </c>
      <c r="I10088" s="9">
        <f t="shared" si="19"/>
        <v>217.41000000000076</v>
      </c>
      <c r="J10088" s="9">
        <f t="shared" si="23"/>
        <v>17.234148391874083</v>
      </c>
      <c r="K10088" s="9">
        <f t="shared" si="24"/>
        <v>18.354913108124361</v>
      </c>
    </row>
    <row r="10089" spans="1:11" x14ac:dyDescent="0.15">
      <c r="A10089" s="3">
        <f t="shared" si="26"/>
        <v>88</v>
      </c>
      <c r="B10089" s="3">
        <f t="shared" si="16"/>
        <v>22.523492450537518</v>
      </c>
      <c r="C10089" s="3">
        <f t="shared" si="17"/>
        <v>36.990862405286435</v>
      </c>
      <c r="D10089" s="3" t="s">
        <v>29</v>
      </c>
      <c r="F10089" s="9">
        <f t="shared" si="18"/>
        <v>358.97999999999996</v>
      </c>
      <c r="G10089" s="9">
        <f t="shared" si="20"/>
        <v>24.249643469957235</v>
      </c>
      <c r="H10089" s="9">
        <f t="shared" si="21"/>
        <v>21.959946809380941</v>
      </c>
      <c r="I10089" s="9">
        <f t="shared" si="19"/>
        <v>215.71250000000077</v>
      </c>
      <c r="J10089" s="9">
        <f t="shared" si="23"/>
        <v>17.128262808259525</v>
      </c>
      <c r="K10089" s="9">
        <f t="shared" si="24"/>
        <v>18.497689800344258</v>
      </c>
    </row>
    <row r="10090" spans="1:11" x14ac:dyDescent="0.15">
      <c r="A10090" s="3">
        <f t="shared" si="26"/>
        <v>89</v>
      </c>
      <c r="B10090" s="3">
        <f t="shared" si="16"/>
        <v>22.261786096559256</v>
      </c>
      <c r="C10090" s="3">
        <f t="shared" si="17"/>
        <v>36.997715427345867</v>
      </c>
      <c r="D10090">
        <f>E10002</f>
        <v>22</v>
      </c>
      <c r="E10090">
        <f>E10003</f>
        <v>22</v>
      </c>
      <c r="F10090" s="9">
        <f t="shared" si="18"/>
        <v>358.96799999999996</v>
      </c>
      <c r="G10090" s="9">
        <f t="shared" si="20"/>
        <v>24.249635031896467</v>
      </c>
      <c r="H10090" s="9">
        <f t="shared" si="21"/>
        <v>21.959475646036289</v>
      </c>
      <c r="I10090" s="9">
        <f t="shared" si="19"/>
        <v>214.01500000000078</v>
      </c>
      <c r="J10090" s="9">
        <f t="shared" si="23"/>
        <v>17.026653113282521</v>
      </c>
      <c r="K10090" s="9">
        <f t="shared" si="24"/>
        <v>18.643540444996013</v>
      </c>
    </row>
    <row r="10091" spans="1:11" x14ac:dyDescent="0.15">
      <c r="A10091" s="3">
        <f t="shared" si="26"/>
        <v>90</v>
      </c>
      <c r="B10091" s="3">
        <f t="shared" si="16"/>
        <v>22</v>
      </c>
      <c r="C10091" s="3">
        <f t="shared" si="17"/>
        <v>37</v>
      </c>
      <c r="D10091">
        <f>COS($R10002/180*PI())*$E10001+D10090</f>
        <v>37</v>
      </c>
      <c r="E10091" s="3">
        <f>SIN($R10002/180*PI())*$E10001+E10090</f>
        <v>22</v>
      </c>
      <c r="F10091" s="9">
        <f t="shared" si="18"/>
        <v>358.95599999999996</v>
      </c>
      <c r="G10091" s="9">
        <f t="shared" si="20"/>
        <v>24.249626495155667</v>
      </c>
      <c r="H10091" s="9">
        <f t="shared" si="21"/>
        <v>21.959004484469236</v>
      </c>
      <c r="I10091" s="9">
        <f t="shared" si="19"/>
        <v>212.31750000000079</v>
      </c>
      <c r="J10091" s="9">
        <f t="shared" si="23"/>
        <v>16.929408489040362</v>
      </c>
      <c r="K10091" s="9">
        <f t="shared" si="24"/>
        <v>18.792337030019507</v>
      </c>
    </row>
    <row r="10092" spans="1:11" x14ac:dyDescent="0.15">
      <c r="A10092" s="3">
        <f t="shared" si="26"/>
        <v>91</v>
      </c>
      <c r="B10092" s="3">
        <f t="shared" si="16"/>
        <v>21.738213903440748</v>
      </c>
      <c r="C10092" s="3">
        <f t="shared" si="17"/>
        <v>36.997715427345867</v>
      </c>
      <c r="D10092" s="3" t="s">
        <v>30</v>
      </c>
      <c r="F10092" s="9">
        <f t="shared" si="18"/>
        <v>358.94399999999996</v>
      </c>
      <c r="G10092" s="9">
        <f t="shared" si="20"/>
        <v>24.249617859735203</v>
      </c>
      <c r="H10092" s="9">
        <f t="shared" si="21"/>
        <v>21.958533324700447</v>
      </c>
      <c r="I10092" s="9">
        <f t="shared" si="19"/>
        <v>210.6200000000008</v>
      </c>
      <c r="J10092" s="9">
        <f t="shared" si="23"/>
        <v>16.836614286439207</v>
      </c>
      <c r="K10092" s="9">
        <f t="shared" si="24"/>
        <v>18.943948957723986</v>
      </c>
    </row>
    <row r="10093" spans="1:11" x14ac:dyDescent="0.15">
      <c r="A10093" s="3">
        <f t="shared" si="26"/>
        <v>92</v>
      </c>
      <c r="B10093" s="3">
        <f t="shared" si="16"/>
        <v>21.47650754946249</v>
      </c>
      <c r="C10093" s="3">
        <f t="shared" si="17"/>
        <v>36.990862405286435</v>
      </c>
      <c r="D10093" s="6">
        <f>E10002</f>
        <v>22</v>
      </c>
      <c r="E10093" s="6">
        <f>E10003</f>
        <v>22</v>
      </c>
      <c r="F10093" s="9">
        <f t="shared" si="18"/>
        <v>358.93199999999996</v>
      </c>
      <c r="G10093" s="9">
        <f t="shared" si="20"/>
        <v>24.249609125635462</v>
      </c>
      <c r="H10093" s="9">
        <f t="shared" si="21"/>
        <v>21.958062166750587</v>
      </c>
      <c r="I10093" s="9">
        <f t="shared" si="19"/>
        <v>208.92250000000081</v>
      </c>
      <c r="J10093" s="9">
        <f t="shared" si="23"/>
        <v>16.748351950282196</v>
      </c>
      <c r="K10093" s="9">
        <f t="shared" si="24"/>
        <v>19.0982431594127</v>
      </c>
    </row>
    <row r="10094" spans="1:11" x14ac:dyDescent="0.15">
      <c r="A10094" s="3">
        <f t="shared" si="26"/>
        <v>93</v>
      </c>
      <c r="B10094" s="3">
        <f t="shared" si="16"/>
        <v>21.214960656355842</v>
      </c>
      <c r="C10094" s="3">
        <f t="shared" si="17"/>
        <v>36.979443021318609</v>
      </c>
      <c r="D10094" s="6">
        <f>COS(($R$10003-$E$10006*$R$10007)/180*PI())*$E$10001+$D$10093</f>
        <v>36.986842451482872</v>
      </c>
      <c r="E10094" s="6">
        <f>SIN(($R$10003-$E$10006*$R$10007)/180*PI())*$E$10001+$E$10093</f>
        <v>21.371865194062007</v>
      </c>
      <c r="F10094" s="9">
        <f t="shared" si="18"/>
        <v>358.91999999999996</v>
      </c>
      <c r="G10094" s="9">
        <f t="shared" si="20"/>
        <v>24.249600292856819</v>
      </c>
      <c r="H10094" s="9">
        <f t="shared" si="21"/>
        <v>21.957591010640328</v>
      </c>
      <c r="I10094" s="9">
        <f t="shared" si="19"/>
        <v>207.22500000000082</v>
      </c>
      <c r="J10094" s="9">
        <f t="shared" si="23"/>
        <v>16.664698947785933</v>
      </c>
      <c r="K10094" s="9">
        <f t="shared" si="24"/>
        <v>19.25508421217636</v>
      </c>
    </row>
    <row r="10095" spans="1:11" x14ac:dyDescent="0.15">
      <c r="A10095" s="3">
        <f t="shared" si="26"/>
        <v>94</v>
      </c>
      <c r="B10095" s="3">
        <f t="shared" si="16"/>
        <v>20.953652893838122</v>
      </c>
      <c r="C10095" s="3">
        <f t="shared" si="17"/>
        <v>36.963460753897365</v>
      </c>
      <c r="D10095" s="2">
        <f>D10096-COS(($R$10003-$E$10006*$R$10007-45)/180*PI())*$E$10007</f>
        <v>36.30996648180021</v>
      </c>
      <c r="E10095" s="2">
        <f>E10096-SIN(($R$10003-$E$10006*$R$10007-45)/180*PI())*$E$10007</f>
        <v>22.107962281181742</v>
      </c>
      <c r="F10095" s="9">
        <f t="shared" si="18"/>
        <v>358.90799999999996</v>
      </c>
      <c r="G10095" s="9">
        <f t="shared" si="20"/>
        <v>24.24959136139967</v>
      </c>
      <c r="H10095" s="9">
        <f t="shared" si="21"/>
        <v>21.957119856390335</v>
      </c>
      <c r="I10095" s="9">
        <f t="shared" si="19"/>
        <v>205.52750000000083</v>
      </c>
      <c r="J10095" s="9">
        <f t="shared" si="23"/>
        <v>16.585728700588081</v>
      </c>
      <c r="K10095" s="9">
        <f t="shared" si="24"/>
        <v>19.414334457752823</v>
      </c>
    </row>
    <row r="10096" spans="1:11" x14ac:dyDescent="0.15">
      <c r="A10096" s="3">
        <f t="shared" si="26"/>
        <v>95</v>
      </c>
      <c r="B10096" s="3">
        <f t="shared" si="16"/>
        <v>20.692663858785128</v>
      </c>
      <c r="C10096" s="3">
        <f t="shared" si="17"/>
        <v>36.942920471376183</v>
      </c>
      <c r="D10096" s="2">
        <f>D10094</f>
        <v>36.986842451482872</v>
      </c>
      <c r="E10096" s="2">
        <f>E10094</f>
        <v>21.371865194062007</v>
      </c>
      <c r="F10096" s="9">
        <f t="shared" si="18"/>
        <v>358.89599999999996</v>
      </c>
      <c r="G10096" s="9">
        <f t="shared" si="20"/>
        <v>24.249582331264399</v>
      </c>
      <c r="H10096" s="9">
        <f t="shared" si="21"/>
        <v>21.95664870402128</v>
      </c>
      <c r="I10096" s="9">
        <f t="shared" si="19"/>
        <v>203.83000000000084</v>
      </c>
      <c r="J10096" s="9">
        <f t="shared" si="23"/>
        <v>16.511510520305716</v>
      </c>
      <c r="K10096" s="9">
        <f t="shared" si="24"/>
        <v>19.575854123348769</v>
      </c>
    </row>
    <row r="10097" spans="1:11" x14ac:dyDescent="0.15">
      <c r="A10097" s="3">
        <f t="shared" si="26"/>
        <v>96</v>
      </c>
      <c r="B10097" s="3">
        <f t="shared" si="16"/>
        <v>20.432073050985199</v>
      </c>
      <c r="C10097" s="3">
        <f t="shared" si="17"/>
        <v>36.917828430524104</v>
      </c>
      <c r="D10097" s="2">
        <f>D10096-COS(($R$10003-$E$10006*$R$10007+45)/180*PI())*$E$10007</f>
        <v>36.250745364363141</v>
      </c>
      <c r="E10097" s="2">
        <f>E10096-SIN(($R$10003-$E$10006*$R$10007+45)/180*PI())*$E$10007</f>
        <v>20.694989224379345</v>
      </c>
      <c r="F10097" s="9">
        <f t="shared" si="18"/>
        <v>358.88399999999996</v>
      </c>
      <c r="G10097" s="9">
        <f t="shared" si="20"/>
        <v>24.249573202451405</v>
      </c>
      <c r="H10097" s="9">
        <f t="shared" si="21"/>
        <v>21.956177553553818</v>
      </c>
      <c r="I10097" s="9">
        <f t="shared" si="19"/>
        <v>202.13250000000085</v>
      </c>
      <c r="J10097" s="9">
        <f t="shared" si="23"/>
        <v>16.442109547701001</v>
      </c>
      <c r="K10097" s="9">
        <f t="shared" si="24"/>
        <v>19.739501444317284</v>
      </c>
    </row>
    <row r="10098" spans="1:11" x14ac:dyDescent="0.15">
      <c r="A10098" s="3">
        <f t="shared" si="26"/>
        <v>97</v>
      </c>
      <c r="B10098" s="3">
        <f t="shared" si="16"/>
        <v>20.171959848922789</v>
      </c>
      <c r="C10098" s="3">
        <f t="shared" si="17"/>
        <v>36.888192274619833</v>
      </c>
      <c r="D10098" s="7">
        <f>COS(($R$10003-$E$10006*$R$10007)/180*PI())*$E$10001*1.15+$D$10093</f>
        <v>39.234868819205303</v>
      </c>
      <c r="E10098" s="8">
        <f>SIN(($R$10003-$E$10006*$R$10007)/180*PI())*$E$10001*1.15+$E$10093</f>
        <v>21.277644973171306</v>
      </c>
      <c r="F10098" s="9">
        <f t="shared" si="18"/>
        <v>358.87199999999996</v>
      </c>
      <c r="G10098" s="9">
        <f t="shared" si="20"/>
        <v>24.249563974961092</v>
      </c>
      <c r="H10098" s="9">
        <f t="shared" si="21"/>
        <v>21.95570640500863</v>
      </c>
      <c r="I10098" s="9">
        <f t="shared" si="19"/>
        <v>200.43500000000085</v>
      </c>
      <c r="J10098" s="9">
        <f t="shared" si="23"/>
        <v>16.377586695507638</v>
      </c>
      <c r="K10098" s="9">
        <f t="shared" si="24"/>
        <v>19.905132788583654</v>
      </c>
    </row>
    <row r="10099" spans="1:11" x14ac:dyDescent="0.15">
      <c r="A10099" s="3">
        <f t="shared" si="26"/>
        <v>98</v>
      </c>
      <c r="B10099" s="3">
        <f t="shared" si="16"/>
        <v>19.912403485599022</v>
      </c>
      <c r="C10099" s="3">
        <f t="shared" si="17"/>
        <v>36.854021031123551</v>
      </c>
      <c r="D10099">
        <f>E10002</f>
        <v>22</v>
      </c>
      <c r="E10099">
        <f>E10003</f>
        <v>22</v>
      </c>
      <c r="F10099" s="9">
        <f t="shared" si="18"/>
        <v>358.85999999999996</v>
      </c>
      <c r="G10099" s="9">
        <f t="shared" si="20"/>
        <v>24.249554648793858</v>
      </c>
      <c r="H10099" s="9">
        <f t="shared" si="21"/>
        <v>21.955235258406372</v>
      </c>
      <c r="I10099" s="9">
        <f t="shared" si="19"/>
        <v>198.73750000000086</v>
      </c>
      <c r="J10099" s="9">
        <f t="shared" si="23"/>
        <v>16.317998594968177</v>
      </c>
      <c r="K10099" s="9">
        <f t="shared" si="24"/>
        <v>20.07260278271022</v>
      </c>
    </row>
    <row r="10100" spans="1:11" x14ac:dyDescent="0.15">
      <c r="A10100" s="3">
        <f t="shared" si="26"/>
        <v>99</v>
      </c>
      <c r="B10100" s="3">
        <f t="shared" si="16"/>
        <v>19.653483024396536</v>
      </c>
      <c r="C10100" s="3">
        <f t="shared" si="17"/>
        <v>36.815325108927063</v>
      </c>
      <c r="D10100">
        <f>COS(($R$10003-$E$10006*($R$10007-$R$10008))/180*PI())*$E$10001+$D$10099</f>
        <v>36.986842451482872</v>
      </c>
      <c r="E10100" s="3">
        <f>SIN(($R$10003-$E$10006*($R$10007-$R$10008))/180*PI())*$E$10001+$E$10099</f>
        <v>21.371865194062007</v>
      </c>
      <c r="F10100" s="9">
        <f t="shared" si="18"/>
        <v>358.84799999999996</v>
      </c>
      <c r="G10100" s="9">
        <f t="shared" si="20"/>
        <v>24.249545223950115</v>
      </c>
      <c r="H10100" s="9">
        <f t="shared" si="21"/>
        <v>21.95476411376772</v>
      </c>
      <c r="I10100" s="9">
        <f t="shared" si="19"/>
        <v>197.04000000000087</v>
      </c>
      <c r="J10100" s="9">
        <f t="shared" si="23"/>
        <v>16.263397546129191</v>
      </c>
      <c r="K10100" s="9">
        <f t="shared" si="24"/>
        <v>20.241764439489568</v>
      </c>
    </row>
    <row r="10101" spans="1:11" x14ac:dyDescent="0.15">
      <c r="A10101" s="3">
        <f t="shared" si="26"/>
        <v>100</v>
      </c>
      <c r="B10101" s="3">
        <f t="shared" si="16"/>
        <v>19.395277334996045</v>
      </c>
      <c r="C10101" s="3">
        <f t="shared" si="17"/>
        <v>36.772116295183125</v>
      </c>
      <c r="D10101" s="2">
        <f>D10102-COS(($R$10003-$E$10006*($R$10007-$R$10008)-45)/180*PI())*$E$10007</f>
        <v>36.30996648180021</v>
      </c>
      <c r="E10101" s="2">
        <f>E10102-SIN(($R$10003-$E$10006*($R$10007-$R$10008)-45)/180*PI())*$E$10007</f>
        <v>22.107962281181742</v>
      </c>
      <c r="F10101" s="9">
        <f t="shared" ref="F10101:F10132" si="27">MOD(F10100-$E$10006*$H$10002,360)</f>
        <v>358.83599999999996</v>
      </c>
      <c r="G10101" s="9">
        <f t="shared" si="20"/>
        <v>24.249535700430279</v>
      </c>
      <c r="H10101" s="9">
        <f t="shared" si="21"/>
        <v>21.954292971113333</v>
      </c>
      <c r="I10101" s="9">
        <f t="shared" ref="I10101:I10132" si="28">MOD(I10100-$E$10006*$K$10002,360)</f>
        <v>195.34250000000088</v>
      </c>
      <c r="J10101" s="9">
        <f t="shared" si="23"/>
        <v>16.213831471937908</v>
      </c>
      <c r="K10101" s="9">
        <f t="shared" si="24"/>
        <v>20.412469286954181</v>
      </c>
    </row>
    <row r="10102" spans="1:11" x14ac:dyDescent="0.15">
      <c r="A10102" s="3">
        <f t="shared" si="26"/>
        <v>101</v>
      </c>
      <c r="B10102" s="3">
        <f t="shared" si="16"/>
        <v>19.137865069351829</v>
      </c>
      <c r="C10102" s="3">
        <f t="shared" si="17"/>
        <v>36.724407751714963</v>
      </c>
      <c r="D10102" s="2">
        <f>D10100</f>
        <v>36.986842451482872</v>
      </c>
      <c r="E10102" s="2">
        <f>E10100</f>
        <v>21.371865194062007</v>
      </c>
      <c r="F10102" s="9">
        <f t="shared" si="27"/>
        <v>358.82399999999996</v>
      </c>
      <c r="G10102" s="9">
        <f t="shared" si="20"/>
        <v>24.249526078234766</v>
      </c>
      <c r="H10102" s="9">
        <f t="shared" si="21"/>
        <v>21.95382183046388</v>
      </c>
      <c r="I10102" s="9">
        <f t="shared" si="28"/>
        <v>193.64500000000089</v>
      </c>
      <c r="J10102" s="9">
        <f t="shared" si="23"/>
        <v>16.169343876180573</v>
      </c>
      <c r="K10102" s="9">
        <f t="shared" si="24"/>
        <v>20.584567498689175</v>
      </c>
    </row>
    <row r="10103" spans="1:11" x14ac:dyDescent="0.15">
      <c r="A10103" s="3">
        <f t="shared" si="26"/>
        <v>102</v>
      </c>
      <c r="B10103" s="3">
        <f t="shared" si="16"/>
        <v>18.881324637733613</v>
      </c>
      <c r="C10103" s="3">
        <f t="shared" si="17"/>
        <v>36.672214011007085</v>
      </c>
      <c r="D10103" s="2">
        <f>D10102-COS(($R$10003-$E$10006*($R$10007-$R$10008)+45)/180*PI())*$E$10007</f>
        <v>36.250745364363141</v>
      </c>
      <c r="E10103" s="2">
        <f>E10102-SIN(($R$10003-$E$10006*($R$10007-$R$10008)+45)/180*PI())*$E$10007</f>
        <v>20.694989224379345</v>
      </c>
      <c r="F10103" s="9">
        <f t="shared" si="27"/>
        <v>358.81199999999995</v>
      </c>
      <c r="G10103" s="9">
        <f t="shared" si="20"/>
        <v>24.249516357363998</v>
      </c>
      <c r="H10103" s="9">
        <f t="shared" si="21"/>
        <v>21.953350691840029</v>
      </c>
      <c r="I10103" s="9">
        <f t="shared" si="28"/>
        <v>191.9475000000009</v>
      </c>
      <c r="J10103" s="9">
        <f t="shared" si="23"/>
        <v>16.129973805299496</v>
      </c>
      <c r="K10103" s="9">
        <f t="shared" si="24"/>
        <v>20.757908025333904</v>
      </c>
    </row>
    <row r="10104" spans="1:11" x14ac:dyDescent="0.15">
      <c r="A10104" s="3">
        <f t="shared" si="26"/>
        <v>103</v>
      </c>
      <c r="B10104" s="3">
        <f t="shared" si="16"/>
        <v>18.625734184842027</v>
      </c>
      <c r="C10104" s="3">
        <f t="shared" si="17"/>
        <v>36.615550971778532</v>
      </c>
      <c r="D10104" s="7">
        <f>COS(($R$10003-$E$10006*($R$10007-$R$10008))/180*PI())*$E$10001*1.15+$D$10099</f>
        <v>39.234868819205303</v>
      </c>
      <c r="E10104" s="8">
        <f>SIN(($R$10003-$E$10006*($R$10007-$R$10008))/180*PI())*$E$10001*1.15+$E$10099</f>
        <v>21.277644973171306</v>
      </c>
      <c r="F10104" s="9">
        <f t="shared" si="27"/>
        <v>358.79999999999995</v>
      </c>
      <c r="G10104" s="9">
        <f t="shared" si="20"/>
        <v>24.249506537818402</v>
      </c>
      <c r="H10104" s="9">
        <f t="shared" si="21"/>
        <v>21.952879555262445</v>
      </c>
      <c r="I10104" s="9">
        <f t="shared" si="28"/>
        <v>190.25000000000091</v>
      </c>
      <c r="J10104" s="9">
        <f t="shared" si="23"/>
        <v>16.095755814122271</v>
      </c>
      <c r="K10104" s="9">
        <f t="shared" si="24"/>
        <v>20.932338727156857</v>
      </c>
    </row>
    <row r="10105" spans="1:11" x14ac:dyDescent="0.15">
      <c r="A10105" s="3">
        <f t="shared" si="26"/>
        <v>104</v>
      </c>
      <c r="B10105" s="3">
        <f t="shared" si="16"/>
        <v>18.371171566004985</v>
      </c>
      <c r="C10105" s="3">
        <f t="shared" si="17"/>
        <v>36.554435894139949</v>
      </c>
      <c r="F10105" s="9">
        <f t="shared" si="27"/>
        <v>358.78799999999995</v>
      </c>
      <c r="G10105" s="9">
        <f t="shared" si="20"/>
        <v>24.249496619598407</v>
      </c>
      <c r="H10105" s="9">
        <f t="shared" si="21"/>
        <v>21.952408420751794</v>
      </c>
      <c r="I10105" s="9">
        <f t="shared" si="28"/>
        <v>188.55250000000092</v>
      </c>
      <c r="J10105" s="9">
        <f t="shared" si="23"/>
        <v>16.06671993553325</v>
      </c>
      <c r="K10105" s="9">
        <f t="shared" si="24"/>
        <v>21.107706507587629</v>
      </c>
    </row>
    <row r="10106" spans="1:11" x14ac:dyDescent="0.15">
      <c r="A10106" s="3">
        <f t="shared" si="26"/>
        <v>105</v>
      </c>
      <c r="B10106" s="3">
        <f t="shared" si="16"/>
        <v>18.117714323462188</v>
      </c>
      <c r="C10106" s="3">
        <f t="shared" si="17"/>
        <v>36.488887394336025</v>
      </c>
      <c r="D10106" s="4" t="s">
        <v>39</v>
      </c>
      <c r="E10106" s="4"/>
      <c r="F10106" s="9">
        <f t="shared" si="27"/>
        <v>358.77599999999995</v>
      </c>
      <c r="G10106" s="9">
        <f t="shared" si="20"/>
        <v>24.249486602704451</v>
      </c>
      <c r="H10106" s="9">
        <f t="shared" si="21"/>
        <v>21.951937288328747</v>
      </c>
      <c r="I10106" s="9">
        <f t="shared" si="28"/>
        <v>186.85500000000093</v>
      </c>
      <c r="J10106" s="9">
        <f t="shared" si="23"/>
        <v>16.042891654113902</v>
      </c>
      <c r="K10106" s="9">
        <f t="shared" si="24"/>
        <v>21.283857447588673</v>
      </c>
    </row>
    <row r="10107" spans="1:11" x14ac:dyDescent="0.15">
      <c r="A10107" s="3">
        <f t="shared" si="26"/>
        <v>106</v>
      </c>
      <c r="B10107" s="3">
        <f t="shared" si="16"/>
        <v>17.865439662745015</v>
      </c>
      <c r="C10107" s="3">
        <f t="shared" si="17"/>
        <v>36.418925439074783</v>
      </c>
      <c r="D10107" s="6">
        <f>E10002</f>
        <v>22</v>
      </c>
      <c r="E10107" s="6">
        <f>E10003</f>
        <v>22</v>
      </c>
      <c r="F10107" s="9">
        <f t="shared" si="27"/>
        <v>358.76399999999995</v>
      </c>
      <c r="G10107" s="9">
        <f t="shared" si="20"/>
        <v>24.249476487136967</v>
      </c>
      <c r="H10107" s="9">
        <f t="shared" si="21"/>
        <v>21.951466158013961</v>
      </c>
      <c r="I10107" s="9">
        <f t="shared" si="28"/>
        <v>185.15750000000094</v>
      </c>
      <c r="J10107" s="9">
        <f t="shared" si="23"/>
        <v>16.024291883775167</v>
      </c>
      <c r="K10107" s="9">
        <f t="shared" si="24"/>
        <v>21.460636940748937</v>
      </c>
    </row>
    <row r="10108" spans="1:11" x14ac:dyDescent="0.15">
      <c r="A10108" s="3">
        <f t="shared" si="26"/>
        <v>107</v>
      </c>
      <c r="B10108" s="3">
        <f t="shared" si="16"/>
        <v>17.614424429158952</v>
      </c>
      <c r="C10108" s="3">
        <f t="shared" si="17"/>
        <v>36.344571339445537</v>
      </c>
      <c r="D10108" s="6">
        <f>COS(($R$10004-$E$10006*$R$10011)/180*PI())*$E$10001+D10107</f>
        <v>36.050082838725963</v>
      </c>
      <c r="E10108" s="6">
        <f>SIN(($R$10004-$E$10006*$R$10011)/180*PI())*$E$10001+E10107</f>
        <v>27.25311071889201</v>
      </c>
      <c r="F10108" s="9">
        <f t="shared" si="27"/>
        <v>358.75199999999995</v>
      </c>
      <c r="G10108" s="9">
        <f t="shared" si="20"/>
        <v>24.249466272896406</v>
      </c>
      <c r="H10108" s="9">
        <f t="shared" si="21"/>
        <v>21.950995029828114</v>
      </c>
      <c r="I10108" s="9">
        <f t="shared" si="28"/>
        <v>183.46000000000095</v>
      </c>
      <c r="J10108" s="9">
        <f t="shared" si="23"/>
        <v>16.010936949401483</v>
      </c>
      <c r="K10108" s="9">
        <f t="shared" si="24"/>
        <v>21.637889828980768</v>
      </c>
    </row>
    <row r="10109" spans="1:11" x14ac:dyDescent="0.15">
      <c r="A10109" s="3">
        <f t="shared" si="26"/>
        <v>108</v>
      </c>
      <c r="B10109" s="3">
        <f t="shared" si="16"/>
        <v>17.364745084375791</v>
      </c>
      <c r="C10109" s="3">
        <f t="shared" si="17"/>
        <v>36.265847744427305</v>
      </c>
      <c r="D10109" s="2">
        <f>D10110-COS(($R$10004-$E$10006*$R$10011-45)/180*PI())*$E$10007</f>
        <v>35.14012156784942</v>
      </c>
      <c r="E10109" s="2">
        <f>E10110-SIN(($R$10004-$E$10006*$R$10011-45)/180*PI())*$E$10007</f>
        <v>27.667803961548248</v>
      </c>
      <c r="F10109" s="9">
        <f t="shared" si="27"/>
        <v>358.73999999999995</v>
      </c>
      <c r="G10109" s="9">
        <f t="shared" si="20"/>
        <v>24.249455959983216</v>
      </c>
      <c r="H10109" s="9">
        <f t="shared" si="21"/>
        <v>21.950523903791861</v>
      </c>
      <c r="I10109" s="9">
        <f t="shared" si="28"/>
        <v>181.76250000000095</v>
      </c>
      <c r="J10109" s="9">
        <f t="shared" si="23"/>
        <v>16.002838572522538</v>
      </c>
      <c r="K10109" s="9">
        <f t="shared" si="24"/>
        <v>21.815460538701092</v>
      </c>
    </row>
    <row r="10110" spans="1:11" x14ac:dyDescent="0.15">
      <c r="A10110" s="3">
        <f t="shared" si="26"/>
        <v>109</v>
      </c>
      <c r="B10110" s="3">
        <f t="shared" si="16"/>
        <v>17.116477683142655</v>
      </c>
      <c r="C10110" s="3">
        <f t="shared" si="17"/>
        <v>36.182778633989756</v>
      </c>
      <c r="D10110" s="2">
        <f>D10108</f>
        <v>36.050082838725963</v>
      </c>
      <c r="E10110" s="2">
        <f>E10108</f>
        <v>27.25311071889201</v>
      </c>
      <c r="F10110" s="9">
        <f t="shared" si="27"/>
        <v>358.72799999999995</v>
      </c>
      <c r="G10110" s="9">
        <f t="shared" si="20"/>
        <v>24.249445548397841</v>
      </c>
      <c r="H10110" s="9">
        <f t="shared" si="21"/>
        <v>21.950052779925873</v>
      </c>
      <c r="I10110" s="9">
        <f t="shared" si="28"/>
        <v>180.06500000000096</v>
      </c>
      <c r="J10110" s="9">
        <f t="shared" si="23"/>
        <v>16.000003861025384</v>
      </c>
      <c r="K10110" s="9">
        <f t="shared" si="24"/>
        <v>21.99319321737719</v>
      </c>
    </row>
    <row r="10111" spans="1:11" x14ac:dyDescent="0.15">
      <c r="A10111" s="3">
        <f t="shared" si="26"/>
        <v>110</v>
      </c>
      <c r="B10111" s="3">
        <f t="shared" si="16"/>
        <v>16.869697850114967</v>
      </c>
      <c r="C10111" s="3">
        <f t="shared" si="17"/>
        <v>36.095389311788622</v>
      </c>
      <c r="D10111" s="2">
        <f>D10110-COS(($R$10004-$E$10006*$R$10011+45)/180*PI())*$E$10007</f>
        <v>35.635389596069722</v>
      </c>
      <c r="E10111" s="2">
        <f>E10110-SIN(($R$10004-$E$10006*$R$10011+45)/180*PI())*$E$10007</f>
        <v>26.343149448015467</v>
      </c>
      <c r="F10111" s="9">
        <f t="shared" si="27"/>
        <v>358.71599999999995</v>
      </c>
      <c r="G10111" s="9">
        <f t="shared" si="20"/>
        <v>24.249435038140746</v>
      </c>
      <c r="H10111" s="9">
        <f t="shared" si="21"/>
        <v>21.949581658250818</v>
      </c>
      <c r="I10111" s="9">
        <f t="shared" si="28"/>
        <v>178.36750000000097</v>
      </c>
      <c r="J10111" s="9">
        <f t="shared" si="23"/>
        <v>16.002435302915874</v>
      </c>
      <c r="K10111" s="9">
        <f t="shared" si="24"/>
        <v>22.170931870317354</v>
      </c>
    </row>
    <row r="10112" spans="1:11" x14ac:dyDescent="0.15">
      <c r="A10112" s="3">
        <f t="shared" si="26"/>
        <v>111</v>
      </c>
      <c r="B10112" s="3">
        <f t="shared" si="16"/>
        <v>16.624480756820496</v>
      </c>
      <c r="C10112" s="3">
        <f t="shared" si="17"/>
        <v>36.003706397458025</v>
      </c>
      <c r="D10112" s="7">
        <f>COS(($R$10004-$E$10006*$R$10011)/180*PI())*$E$10001*1.15+D10107</f>
        <v>38.157595264534855</v>
      </c>
      <c r="E10112" s="8">
        <f>SIN(($R$10004-$E$10006*$R$10011)/180*PI())*$E$10001*1.15+E10107</f>
        <v>28.041077326725812</v>
      </c>
      <c r="F10112" s="9">
        <f t="shared" si="27"/>
        <v>358.70399999999995</v>
      </c>
      <c r="G10112" s="9">
        <f t="shared" si="20"/>
        <v>24.249424429212389</v>
      </c>
      <c r="H10112" s="9">
        <f t="shared" si="21"/>
        <v>21.949110538787355</v>
      </c>
      <c r="I10112" s="9">
        <f t="shared" si="28"/>
        <v>176.67000000000098</v>
      </c>
      <c r="J10112" s="9">
        <f t="shared" si="23"/>
        <v>16.010130764134981</v>
      </c>
      <c r="K10112" s="9">
        <f t="shared" si="24"/>
        <v>22.348520497586325</v>
      </c>
    </row>
    <row r="10113" spans="1:11" x14ac:dyDescent="0.15">
      <c r="A10113" s="3">
        <f t="shared" si="26"/>
        <v>112</v>
      </c>
      <c r="B10113" s="3">
        <f t="shared" si="16"/>
        <v>16.380901098761321</v>
      </c>
      <c r="C10113" s="3">
        <f t="shared" si="17"/>
        <v>35.907757818501807</v>
      </c>
      <c r="D10113" s="4">
        <f>E10002</f>
        <v>22</v>
      </c>
      <c r="E10113" s="4">
        <f>E10003</f>
        <v>22</v>
      </c>
      <c r="F10113" s="9">
        <f t="shared" si="27"/>
        <v>358.69199999999995</v>
      </c>
      <c r="G10113" s="9">
        <f t="shared" si="20"/>
        <v>24.249413721613237</v>
      </c>
      <c r="H10113" s="9">
        <f t="shared" si="21"/>
        <v>21.948639421556155</v>
      </c>
      <c r="I10113" s="9">
        <f t="shared" si="28"/>
        <v>174.97250000000099</v>
      </c>
      <c r="J10113" s="9">
        <f t="shared" si="23"/>
        <v>16.02308349043183</v>
      </c>
      <c r="K10113" s="9">
        <f t="shared" si="24"/>
        <v>22.52580323092528</v>
      </c>
    </row>
    <row r="10114" spans="1:11" x14ac:dyDescent="0.15">
      <c r="A10114" s="3">
        <f t="shared" si="26"/>
        <v>113</v>
      </c>
      <c r="B10114" s="3">
        <f t="shared" si="16"/>
        <v>16.139033072660894</v>
      </c>
      <c r="C10114" s="3">
        <f t="shared" si="17"/>
        <v>35.807572801786606</v>
      </c>
      <c r="D10114" s="4">
        <f>COS(($R$10004-$E$10006*($R$10011-$R$10012))/180*PI())*$E$10001+D10113</f>
        <v>36.050082838725963</v>
      </c>
      <c r="E10114" s="4">
        <f>SIN(($R$10004-$E$10006*($R$10011-$R$10012))/180*PI())*$E$10001+E10113</f>
        <v>27.25311071889201</v>
      </c>
      <c r="F10114" s="9">
        <f t="shared" si="27"/>
        <v>358.67999999999995</v>
      </c>
      <c r="G10114" s="9">
        <f t="shared" si="20"/>
        <v>24.249402915343758</v>
      </c>
      <c r="H10114" s="9">
        <f t="shared" si="21"/>
        <v>21.948168306577884</v>
      </c>
      <c r="I10114" s="9">
        <f t="shared" si="28"/>
        <v>173.275000000001</v>
      </c>
      <c r="J10114" s="9">
        <f t="shared" si="23"/>
        <v>16.041282113291864</v>
      </c>
      <c r="K10114" s="9">
        <f t="shared" si="24"/>
        <v>22.702624470556298</v>
      </c>
    </row>
    <row r="10115" spans="1:11" x14ac:dyDescent="0.15">
      <c r="A10115" s="3">
        <f t="shared" si="26"/>
        <v>114</v>
      </c>
      <c r="B10115" s="3">
        <f t="shared" si="16"/>
        <v>15.898950353863</v>
      </c>
      <c r="C10115" s="3">
        <f t="shared" si="17"/>
        <v>35.703181864639014</v>
      </c>
      <c r="D10115" s="2">
        <f>D10116-COS(($R$10004-$E$10006*($R$10011-$R$10012)-45)/180*PI())*$E$10007</f>
        <v>35.14012156784942</v>
      </c>
      <c r="E10115" s="2">
        <f>E10116-SIN(($R$10004-$E$10006*($R$10011-$R$10012)-45)/180*PI())*$E$10007</f>
        <v>27.667803961548248</v>
      </c>
      <c r="F10115" s="9">
        <f t="shared" si="27"/>
        <v>358.66799999999995</v>
      </c>
      <c r="G10115" s="9">
        <f t="shared" si="20"/>
        <v>24.249392010404424</v>
      </c>
      <c r="H10115" s="9">
        <f t="shared" si="21"/>
        <v>21.947697193873204</v>
      </c>
      <c r="I10115" s="9">
        <f t="shared" si="28"/>
        <v>171.57750000000101</v>
      </c>
      <c r="J10115" s="9">
        <f t="shared" si="23"/>
        <v>16.064710659914894</v>
      </c>
      <c r="K10115" s="9">
        <f t="shared" si="24"/>
        <v>22.878829021751166</v>
      </c>
    </row>
    <row r="10116" spans="1:11" x14ac:dyDescent="0.15">
      <c r="A10116" s="3">
        <f t="shared" si="26"/>
        <v>115</v>
      </c>
      <c r="B10116" s="3">
        <f t="shared" si="16"/>
        <v>15.66072607388951</v>
      </c>
      <c r="C10116" s="3">
        <f t="shared" si="17"/>
        <v>35.594616805549748</v>
      </c>
      <c r="D10116" s="2">
        <f>D10114</f>
        <v>36.050082838725963</v>
      </c>
      <c r="E10116" s="2">
        <f>E10114</f>
        <v>27.25311071889201</v>
      </c>
      <c r="F10116" s="9">
        <f t="shared" si="27"/>
        <v>358.65599999999995</v>
      </c>
      <c r="G10116" s="9">
        <f t="shared" si="20"/>
        <v>24.249381006795719</v>
      </c>
      <c r="H10116" s="9">
        <f t="shared" si="21"/>
        <v>21.94722608346278</v>
      </c>
      <c r="I10116" s="9">
        <f t="shared" si="28"/>
        <v>169.88000000000102</v>
      </c>
      <c r="J10116" s="9">
        <f t="shared" si="23"/>
        <v>16.093348567234329</v>
      </c>
      <c r="K10116" s="9">
        <f t="shared" si="24"/>
        <v>23.05426223104466</v>
      </c>
    </row>
    <row r="10117" spans="1:11" x14ac:dyDescent="0.15">
      <c r="A10117" s="3">
        <f t="shared" si="26"/>
        <v>116</v>
      </c>
      <c r="B10117" s="3">
        <f t="shared" si="16"/>
        <v>15.424432798163838</v>
      </c>
      <c r="C10117" s="3">
        <f t="shared" si="17"/>
        <v>35.481910694487503</v>
      </c>
      <c r="D10117" s="2">
        <f>D10116-COS(($R$10004-$E$10006*($R$10011-$R$10012)+45)/180*PI())*$E$10007</f>
        <v>35.635389596069722</v>
      </c>
      <c r="E10117" s="2">
        <f>E10116-SIN(($R$10004-$E$10006*($R$10011-$R$10012)+45)/180*PI())*$E$10007</f>
        <v>26.343149448015467</v>
      </c>
      <c r="F10117" s="9">
        <f t="shared" si="27"/>
        <v>358.64399999999995</v>
      </c>
      <c r="G10117" s="9">
        <f t="shared" si="20"/>
        <v>24.249369904518122</v>
      </c>
      <c r="H10117" s="9">
        <f t="shared" si="21"/>
        <v>21.946754975367284</v>
      </c>
      <c r="I10117" s="9">
        <f t="shared" si="28"/>
        <v>168.18250000000103</v>
      </c>
      <c r="J10117" s="9">
        <f t="shared" si="23"/>
        <v>16.127170699965223</v>
      </c>
      <c r="K10117" s="9">
        <f t="shared" si="24"/>
        <v>23.228770121972797</v>
      </c>
    </row>
    <row r="10118" spans="1:11" x14ac:dyDescent="0.15">
      <c r="A10118" s="3">
        <f t="shared" si="26"/>
        <v>117</v>
      </c>
      <c r="B10118" s="3">
        <f t="shared" si="16"/>
        <v>15.190142503906799</v>
      </c>
      <c r="C10118" s="3">
        <f t="shared" si="17"/>
        <v>35.365097862825522</v>
      </c>
      <c r="D10118" s="7">
        <f>COS(($R$10004-$E$10006*($R$10011-$R$10012))/180*PI())*$E$10001*1.15+D10113</f>
        <v>38.157595264534855</v>
      </c>
      <c r="E10118" s="8">
        <f>SIN(($R$10004-$E$10006*($R$10011-$R$10012))/180*PI())*$E$10001*1.15+E10113</f>
        <v>28.041077326725812</v>
      </c>
      <c r="F10118" s="9">
        <f t="shared" si="27"/>
        <v>358.63199999999995</v>
      </c>
      <c r="G10118" s="9">
        <f t="shared" si="20"/>
        <v>24.249358703572117</v>
      </c>
      <c r="H10118" s="9">
        <f t="shared" si="21"/>
        <v>21.94628386960737</v>
      </c>
      <c r="I10118" s="9">
        <f t="shared" si="28"/>
        <v>166.48500000000104</v>
      </c>
      <c r="J10118" s="9">
        <f t="shared" si="23"/>
        <v>16.166147372665328</v>
      </c>
      <c r="K10118" s="9">
        <f t="shared" si="24"/>
        <v>23.402199530216848</v>
      </c>
    </row>
    <row r="10119" spans="1:11" x14ac:dyDescent="0.15">
      <c r="A10119" s="3">
        <f t="shared" si="26"/>
        <v>118</v>
      </c>
      <c r="B10119" s="3">
        <f t="shared" si="16"/>
        <v>14.957926558211643</v>
      </c>
      <c r="C10119" s="3">
        <f t="shared" si="17"/>
        <v>35.244213892883906</v>
      </c>
      <c r="F10119" s="9">
        <f t="shared" si="27"/>
        <v>358.61999999999995</v>
      </c>
      <c r="G10119" s="9">
        <f t="shared" si="20"/>
        <v>24.249347403958204</v>
      </c>
      <c r="H10119" s="9">
        <f t="shared" si="21"/>
        <v>21.945812766203712</v>
      </c>
      <c r="I10119" s="9">
        <f t="shared" si="28"/>
        <v>164.78750000000105</v>
      </c>
      <c r="J10119" s="9">
        <f t="shared" si="23"/>
        <v>16.210244375789799</v>
      </c>
      <c r="K10119" s="9">
        <f t="shared" si="24"/>
        <v>23.574398238034568</v>
      </c>
    </row>
    <row r="10120" spans="1:11" x14ac:dyDescent="0.15">
      <c r="A10120" s="3">
        <f t="shared" si="26"/>
        <v>119</v>
      </c>
      <c r="B10120" s="3">
        <f t="shared" si="16"/>
        <v>14.727855696304946</v>
      </c>
      <c r="C10120" s="3">
        <f t="shared" si="17"/>
        <v>35.11929560709094</v>
      </c>
      <c r="F10120" s="9">
        <f t="shared" si="27"/>
        <v>358.60799999999995</v>
      </c>
      <c r="G10120" s="9">
        <f t="shared" si="20"/>
        <v>24.24933600567687</v>
      </c>
      <c r="H10120" s="9">
        <f t="shared" si="21"/>
        <v>21.945341665176972</v>
      </c>
      <c r="I10120" s="9">
        <f t="shared" si="28"/>
        <v>163.09000000000106</v>
      </c>
      <c r="J10120" s="9">
        <f t="shared" si="23"/>
        <v>16.259423005716666</v>
      </c>
      <c r="K10120" s="9">
        <f t="shared" si="24"/>
        <v>23.745215107860613</v>
      </c>
    </row>
    <row r="10121" spans="1:11" x14ac:dyDescent="0.15">
      <c r="A10121" s="3">
        <f t="shared" si="26"/>
        <v>120</v>
      </c>
      <c r="B10121" s="3">
        <f t="shared" si="16"/>
        <v>14.500000000000004</v>
      </c>
      <c r="C10121" s="3">
        <f t="shared" si="17"/>
        <v>34.99038105676658</v>
      </c>
      <c r="F10121" s="9">
        <f t="shared" si="27"/>
        <v>358.59599999999995</v>
      </c>
      <c r="G10121" s="9">
        <f t="shared" si="20"/>
        <v>24.24932450872862</v>
      </c>
      <c r="H10121" s="9">
        <f t="shared" si="21"/>
        <v>21.944870566547817</v>
      </c>
      <c r="I10121" s="9">
        <f t="shared" si="28"/>
        <v>161.39250000000106</v>
      </c>
      <c r="J10121" s="9">
        <f t="shared" si="23"/>
        <v>16.313640098716725</v>
      </c>
      <c r="K10121" s="9">
        <f t="shared" si="24"/>
        <v>23.914500214958892</v>
      </c>
    </row>
    <row r="10122" spans="1:11" x14ac:dyDescent="0.15">
      <c r="A10122" s="3">
        <f t="shared" si="26"/>
        <v>121</v>
      </c>
      <c r="B10122" s="3">
        <f t="shared" si="16"/>
        <v>14.274428876349186</v>
      </c>
      <c r="C10122" s="3">
        <f t="shared" si="17"/>
        <v>34.857509510531685</v>
      </c>
      <c r="F10122" s="9">
        <f t="shared" si="27"/>
        <v>358.58399999999995</v>
      </c>
      <c r="G10122" s="9">
        <f t="shared" si="20"/>
        <v>24.249312913113954</v>
      </c>
      <c r="H10122" s="9">
        <f t="shared" si="21"/>
        <v>21.944399470336908</v>
      </c>
      <c r="I10122" s="9">
        <f t="shared" si="28"/>
        <v>159.69500000000107</v>
      </c>
      <c r="J10122" s="9">
        <f t="shared" si="23"/>
        <v>16.372848068838017</v>
      </c>
      <c r="K10122" s="9">
        <f t="shared" si="24"/>
        <v>24.08210497901042</v>
      </c>
    </row>
    <row r="10123" spans="1:11" x14ac:dyDescent="0.15">
      <c r="A10123" s="3">
        <f t="shared" si="26"/>
        <v>122</v>
      </c>
      <c r="B10123" s="3">
        <f t="shared" si="16"/>
        <v>14.051211036501929</v>
      </c>
      <c r="C10123" s="3">
        <f t="shared" si="17"/>
        <v>34.720721442346388</v>
      </c>
      <c r="F10123" s="9">
        <f t="shared" si="27"/>
        <v>358.57199999999995</v>
      </c>
      <c r="G10123" s="9">
        <f t="shared" si="20"/>
        <v>24.249301218833384</v>
      </c>
      <c r="H10123" s="9">
        <f t="shared" si="21"/>
        <v>21.943928376564909</v>
      </c>
      <c r="I10123" s="9">
        <f t="shared" si="28"/>
        <v>157.99750000000108</v>
      </c>
      <c r="J10123" s="9">
        <f t="shared" si="23"/>
        <v>16.436994949671707</v>
      </c>
      <c r="K10123" s="9">
        <f t="shared" si="24"/>
        <v>24.247882294521201</v>
      </c>
    </row>
    <row r="10124" spans="1:11" x14ac:dyDescent="0.15">
      <c r="A10124" s="3">
        <f t="shared" si="26"/>
        <v>123</v>
      </c>
      <c r="B10124" s="3">
        <f t="shared" si="16"/>
        <v>13.830414474774594</v>
      </c>
      <c r="C10124" s="3">
        <f t="shared" si="17"/>
        <v>34.580058519181357</v>
      </c>
      <c r="F10124" s="9">
        <f t="shared" si="27"/>
        <v>358.55999999999995</v>
      </c>
      <c r="G10124" s="9">
        <f t="shared" si="20"/>
        <v>24.249289425887426</v>
      </c>
      <c r="H10124" s="9">
        <f t="shared" si="21"/>
        <v>21.943457285252489</v>
      </c>
      <c r="I10124" s="9">
        <f t="shared" si="28"/>
        <v>156.30000000000109</v>
      </c>
      <c r="J10124" s="9">
        <f t="shared" si="23"/>
        <v>16.506024439962587</v>
      </c>
      <c r="K10124" s="9">
        <f t="shared" si="24"/>
        <v>24.411686659935658</v>
      </c>
    </row>
    <row r="10125" spans="1:11" x14ac:dyDescent="0.15">
      <c r="A10125" s="3">
        <f t="shared" si="26"/>
        <v>124</v>
      </c>
      <c r="B10125" s="3">
        <f t="shared" si="16"/>
        <v>13.6121064479388</v>
      </c>
      <c r="C10125" s="3">
        <f t="shared" si="17"/>
        <v>34.435563588325628</v>
      </c>
      <c r="F10125" s="9">
        <f t="shared" si="27"/>
        <v>358.54799999999994</v>
      </c>
      <c r="G10125" s="9">
        <f t="shared" si="20"/>
        <v>24.24927753427659</v>
      </c>
      <c r="H10125" s="9">
        <f t="shared" si="21"/>
        <v>21.942986196420311</v>
      </c>
      <c r="I10125" s="9">
        <f t="shared" si="28"/>
        <v>154.6025000000011</v>
      </c>
      <c r="J10125" s="9">
        <f t="shared" si="23"/>
        <v>16.57987595302432</v>
      </c>
      <c r="K10125" s="9">
        <f t="shared" si="24"/>
        <v>24.573374305342302</v>
      </c>
    </row>
    <row r="10126" spans="1:11" x14ac:dyDescent="0.15">
      <c r="A10126" s="3">
        <f t="shared" si="26"/>
        <v>125</v>
      </c>
      <c r="B10126" s="3">
        <f t="shared" si="16"/>
        <v>13.396353454734312</v>
      </c>
      <c r="C10126" s="3">
        <f t="shared" si="17"/>
        <v>34.28728066433488</v>
      </c>
      <c r="F10126" s="9">
        <f t="shared" si="27"/>
        <v>358.53599999999994</v>
      </c>
      <c r="G10126" s="9">
        <f t="shared" si="20"/>
        <v>24.249265544001403</v>
      </c>
      <c r="H10126" s="9">
        <f t="shared" si="21"/>
        <v>21.942515110089033</v>
      </c>
      <c r="I10126" s="9">
        <f t="shared" si="28"/>
        <v>152.90500000000111</v>
      </c>
      <c r="J10126" s="9">
        <f t="shared" si="23"/>
        <v>16.658484669915907</v>
      </c>
      <c r="K10126" s="9">
        <f t="shared" si="24"/>
        <v>24.732803318659549</v>
      </c>
    </row>
    <row r="10127" spans="1:11" x14ac:dyDescent="0.15">
      <c r="A10127" s="3">
        <f t="shared" si="26"/>
        <v>126</v>
      </c>
      <c r="B10127" s="3">
        <f t="shared" si="16"/>
        <v>13.183221215612905</v>
      </c>
      <c r="C10127" s="3">
        <f t="shared" si="17"/>
        <v>34.135254915624216</v>
      </c>
      <c r="F10127" s="9">
        <f t="shared" si="27"/>
        <v>358.52399999999994</v>
      </c>
      <c r="G10127" s="9">
        <f t="shared" si="20"/>
        <v>24.249253455062387</v>
      </c>
      <c r="H10127" s="9">
        <f t="shared" si="21"/>
        <v>21.94204402627933</v>
      </c>
      <c r="I10127" s="9">
        <f t="shared" si="28"/>
        <v>151.20750000000112</v>
      </c>
      <c r="J10127" s="9">
        <f t="shared" si="23"/>
        <v>16.741781596332828</v>
      </c>
      <c r="K10127" s="9">
        <f t="shared" si="24"/>
        <v>24.889833770190918</v>
      </c>
    </row>
    <row r="10128" spans="1:11" x14ac:dyDescent="0.15">
      <c r="A10128" s="3">
        <f t="shared" si="26"/>
        <v>127</v>
      </c>
      <c r="B10128" s="3">
        <f t="shared" si="16"/>
        <v>12.972774652719274</v>
      </c>
      <c r="C10128" s="3">
        <f t="shared" si="17"/>
        <v>33.979532650709388</v>
      </c>
      <c r="F10128" s="9">
        <f t="shared" si="27"/>
        <v>358.51199999999994</v>
      </c>
      <c r="G10128" s="9">
        <f t="shared" si="20"/>
        <v>24.249241267460079</v>
      </c>
      <c r="H10128" s="9">
        <f t="shared" si="21"/>
        <v>21.941572945011856</v>
      </c>
      <c r="I10128" s="9">
        <f t="shared" si="28"/>
        <v>149.51000000000113</v>
      </c>
      <c r="J10128" s="9">
        <f t="shared" si="23"/>
        <v>16.829693623162829</v>
      </c>
      <c r="K10128" s="9">
        <f t="shared" si="24"/>
        <v>25.044327835440342</v>
      </c>
    </row>
    <row r="10129" spans="1:11" x14ac:dyDescent="0.15">
      <c r="A10129" s="3">
        <f t="shared" si="26"/>
        <v>128</v>
      </c>
      <c r="B10129" s="3">
        <f t="shared" ref="B10129:B10192" si="29">COS(A10129/180*PI())*$E$10001+$E$10002</f>
        <v>12.765077870115126</v>
      </c>
      <c r="C10129" s="3">
        <f t="shared" ref="C10129:C10192" si="30">SIN(A10129/180*PI())*$E$10001+$E$10003</f>
        <v>33.820161304100829</v>
      </c>
      <c r="F10129" s="9">
        <f t="shared" si="27"/>
        <v>358.49999999999994</v>
      </c>
      <c r="G10129" s="9">
        <f t="shared" si="20"/>
        <v>24.249228981195003</v>
      </c>
      <c r="H10129" s="9">
        <f t="shared" si="21"/>
        <v>21.941101866307282</v>
      </c>
      <c r="I10129" s="9">
        <f t="shared" si="28"/>
        <v>147.81250000000114</v>
      </c>
      <c r="J10129" s="9">
        <f t="shared" si="23"/>
        <v>16.92214359065327</v>
      </c>
      <c r="K10129" s="9">
        <f t="shared" si="24"/>
        <v>25.196149916079712</v>
      </c>
    </row>
    <row r="10130" spans="1:11" x14ac:dyDescent="0.15">
      <c r="A10130" s="3">
        <f t="shared" si="26"/>
        <v>129</v>
      </c>
      <c r="B10130" s="3">
        <f t="shared" si="29"/>
        <v>12.560194134252441</v>
      </c>
      <c r="C10130" s="3">
        <f t="shared" si="30"/>
        <v>33.657189421854568</v>
      </c>
      <c r="F10130" s="9">
        <f t="shared" si="27"/>
        <v>358.48799999999994</v>
      </c>
      <c r="G10130" s="9">
        <f t="shared" si="20"/>
        <v>24.249216596267708</v>
      </c>
      <c r="H10130" s="9">
        <f t="shared" si="21"/>
        <v>21.940630790186269</v>
      </c>
      <c r="I10130" s="9">
        <f t="shared" si="28"/>
        <v>146.11500000000115</v>
      </c>
      <c r="J10130" s="9">
        <f t="shared" si="23"/>
        <v>17.019050356133697</v>
      </c>
      <c r="K10130" s="9">
        <f t="shared" si="24"/>
        <v>25.34516675896257</v>
      </c>
    </row>
    <row r="10131" spans="1:11" x14ac:dyDescent="0.15">
      <c r="A10131" s="3">
        <f t="shared" si="26"/>
        <v>130</v>
      </c>
      <c r="B10131" s="3">
        <f t="shared" si="29"/>
        <v>12.35818585470191</v>
      </c>
      <c r="C10131" s="3">
        <f t="shared" si="30"/>
        <v>33.490666646784668</v>
      </c>
      <c r="F10131" s="9">
        <f t="shared" si="27"/>
        <v>358.47599999999994</v>
      </c>
      <c r="G10131" s="9">
        <f t="shared" si="20"/>
        <v>24.249204112678733</v>
      </c>
      <c r="H10131" s="9">
        <f t="shared" si="21"/>
        <v>21.940159716669481</v>
      </c>
      <c r="I10131" s="9">
        <f t="shared" si="28"/>
        <v>144.41750000000116</v>
      </c>
      <c r="J10131" s="9">
        <f t="shared" si="23"/>
        <v>17.12032886523415</v>
      </c>
      <c r="K10131" s="9">
        <f t="shared" si="24"/>
        <v>25.491247573079423</v>
      </c>
    </row>
    <row r="10132" spans="1:11" x14ac:dyDescent="0.15">
      <c r="A10132" s="3">
        <f t="shared" si="26"/>
        <v>131</v>
      </c>
      <c r="B10132" s="3">
        <f t="shared" si="29"/>
        <v>12.159114565142392</v>
      </c>
      <c r="C10132" s="3">
        <f t="shared" si="30"/>
        <v>33.320643703341581</v>
      </c>
      <c r="F10132" s="9">
        <f t="shared" si="27"/>
        <v>358.46399999999994</v>
      </c>
      <c r="G10132" s="9">
        <f t="shared" si="20"/>
        <v>24.249191530428625</v>
      </c>
      <c r="H10132" s="9">
        <f t="shared" si="21"/>
        <v>21.939688645777583</v>
      </c>
      <c r="I10132" s="9">
        <f t="shared" si="28"/>
        <v>142.72000000000116</v>
      </c>
      <c r="J10132" s="9">
        <f t="shared" si="23"/>
        <v>17.225890226536794</v>
      </c>
      <c r="K10132" s="9">
        <f t="shared" si="24"/>
        <v>25.634264144352073</v>
      </c>
    </row>
    <row r="10133" spans="1:11" x14ac:dyDescent="0.15">
      <c r="A10133" s="3">
        <f t="shared" si="26"/>
        <v>132</v>
      </c>
      <c r="B10133" s="3">
        <f t="shared" si="29"/>
        <v>11.963040904617131</v>
      </c>
      <c r="C10133" s="3">
        <f t="shared" si="30"/>
        <v>33.147172382160917</v>
      </c>
      <c r="F10133" s="9">
        <f t="shared" ref="F10133:F10164" si="31">MOD(F10132-$E$10006*$H$10002,360)</f>
        <v>358.45199999999994</v>
      </c>
      <c r="G10133" s="9">
        <f t="shared" si="20"/>
        <v>24.249178849517936</v>
      </c>
      <c r="H10133" s="9">
        <f t="shared" si="21"/>
        <v>21.939217577531235</v>
      </c>
      <c r="I10133" s="9">
        <f t="shared" ref="I10133:I10164" si="32">MOD(I10132-$E$10006*$K$10002,360)</f>
        <v>141.02250000000117</v>
      </c>
      <c r="J10133" s="9">
        <f t="shared" si="23"/>
        <v>17.335641789595272</v>
      </c>
      <c r="K10133" s="9">
        <f t="shared" si="24"/>
        <v>25.774090948166197</v>
      </c>
    </row>
    <row r="10134" spans="1:11" x14ac:dyDescent="0.15">
      <c r="A10134" s="3">
        <f t="shared" si="26"/>
        <v>133</v>
      </c>
      <c r="B10134" s="3">
        <f t="shared" si="29"/>
        <v>11.770024599062525</v>
      </c>
      <c r="C10134" s="3">
        <f t="shared" si="30"/>
        <v>32.970305524287561</v>
      </c>
      <c r="F10134" s="9">
        <f t="shared" si="31"/>
        <v>358.43999999999994</v>
      </c>
      <c r="G10134" s="9">
        <f t="shared" ref="G10134:G10197" si="33">COS(F10134/180*PI())*$E$10001*$R$10019+$E$10002</f>
        <v>24.249166069947226</v>
      </c>
      <c r="H10134" s="9">
        <f t="shared" ref="H10134:H10197" si="34">SIN(F10134/180*PI())*$E$10001*$R$10019+$E$10003</f>
        <v>21.938746511951102</v>
      </c>
      <c r="I10134" s="9">
        <f t="shared" si="32"/>
        <v>139.32500000000118</v>
      </c>
      <c r="J10134" s="9">
        <f t="shared" si="23"/>
        <v>17.449487226253328</v>
      </c>
      <c r="K10134" s="9">
        <f t="shared" si="24"/>
        <v>25.910605259543384</v>
      </c>
    </row>
    <row r="10135" spans="1:11" x14ac:dyDescent="0.15">
      <c r="A10135" s="3">
        <f t="shared" si="26"/>
        <v>134</v>
      </c>
      <c r="B10135" s="3">
        <f t="shared" si="29"/>
        <v>11.580124443115039</v>
      </c>
      <c r="C10135" s="3">
        <f t="shared" si="30"/>
        <v>32.790097005079765</v>
      </c>
      <c r="F10135" s="9">
        <f t="shared" si="31"/>
        <v>358.42799999999994</v>
      </c>
      <c r="G10135" s="9">
        <f t="shared" si="33"/>
        <v>24.249153191717049</v>
      </c>
      <c r="H10135" s="9">
        <f t="shared" si="34"/>
        <v>21.938275449057848</v>
      </c>
      <c r="I10135" s="9">
        <f t="shared" si="32"/>
        <v>137.62750000000119</v>
      </c>
      <c r="J10135" s="9">
        <f t="shared" si="23"/>
        <v>17.567326615191345</v>
      </c>
      <c r="K10135" s="9">
        <f t="shared" si="24"/>
        <v>26.043687260855986</v>
      </c>
    </row>
    <row r="10136" spans="1:11" x14ac:dyDescent="0.15">
      <c r="A10136" s="3">
        <f t="shared" si="26"/>
        <v>135</v>
      </c>
      <c r="B10136" s="3">
        <f t="shared" si="29"/>
        <v>11.393398282201789</v>
      </c>
      <c r="C10136" s="3">
        <f t="shared" si="30"/>
        <v>32.606601717798213</v>
      </c>
      <c r="F10136" s="9">
        <f t="shared" si="31"/>
        <v>358.41599999999994</v>
      </c>
      <c r="G10136" s="9">
        <f t="shared" si="33"/>
        <v>24.249140214827975</v>
      </c>
      <c r="H10136" s="9">
        <f t="shared" si="34"/>
        <v>21.937804388872138</v>
      </c>
      <c r="I10136" s="9">
        <f t="shared" si="32"/>
        <v>135.9300000000012</v>
      </c>
      <c r="J10136" s="9">
        <f t="shared" si="23"/>
        <v>17.689056529626555</v>
      </c>
      <c r="K10136" s="9">
        <f t="shared" si="24"/>
        <v>26.173220146990161</v>
      </c>
    </row>
    <row r="10137" spans="1:11" x14ac:dyDescent="0.15">
      <c r="A10137" s="3">
        <f t="shared" si="26"/>
        <v>136</v>
      </c>
      <c r="B10137" s="3">
        <f t="shared" si="29"/>
        <v>11.209902994920235</v>
      </c>
      <c r="C10137" s="3">
        <f t="shared" si="30"/>
        <v>32.419875556884961</v>
      </c>
      <c r="F10137" s="9">
        <f t="shared" si="31"/>
        <v>358.40399999999994</v>
      </c>
      <c r="G10137" s="9">
        <f t="shared" si="33"/>
        <v>24.249127139280574</v>
      </c>
      <c r="H10137" s="9">
        <f t="shared" si="34"/>
        <v>21.937333331414631</v>
      </c>
      <c r="I10137" s="9">
        <f t="shared" si="32"/>
        <v>134.23250000000121</v>
      </c>
      <c r="J10137" s="9">
        <f t="shared" si="23"/>
        <v>17.814570128089994</v>
      </c>
      <c r="K10137" s="9">
        <f t="shared" si="24"/>
        <v>26.299090227864887</v>
      </c>
    </row>
    <row r="10138" spans="1:11" x14ac:dyDescent="0.15">
      <c r="A10138" s="3">
        <f t="shared" si="26"/>
        <v>137</v>
      </c>
      <c r="B10138" s="3">
        <f t="shared" si="29"/>
        <v>11.029694475712443</v>
      </c>
      <c r="C10138" s="3">
        <f t="shared" si="30"/>
        <v>32.229975400937477</v>
      </c>
      <c r="F10138" s="9">
        <f t="shared" si="31"/>
        <v>358.39199999999994</v>
      </c>
      <c r="G10138" s="9">
        <f t="shared" si="33"/>
        <v>24.249113965075413</v>
      </c>
      <c r="H10138" s="9">
        <f t="shared" si="34"/>
        <v>21.936862276705991</v>
      </c>
      <c r="I10138" s="9">
        <f t="shared" si="32"/>
        <v>132.53500000000122</v>
      </c>
      <c r="J10138" s="9">
        <f t="shared" si="23"/>
        <v>17.943757248200477</v>
      </c>
      <c r="K10138" s="9">
        <f t="shared" si="24"/>
        <v>26.421187028216952</v>
      </c>
    </row>
    <row r="10139" spans="1:11" x14ac:dyDescent="0.15">
      <c r="A10139" s="3">
        <f t="shared" si="26"/>
        <v>138</v>
      </c>
      <c r="B10139" s="3">
        <f t="shared" si="29"/>
        <v>10.852827617839084</v>
      </c>
      <c r="C10139" s="3">
        <f t="shared" si="30"/>
        <v>32.036959095382869</v>
      </c>
      <c r="F10139" s="9">
        <f t="shared" si="31"/>
        <v>358.37999999999994</v>
      </c>
      <c r="G10139" s="9">
        <f t="shared" si="33"/>
        <v>24.249100692213077</v>
      </c>
      <c r="H10139" s="9">
        <f t="shared" si="34"/>
        <v>21.936391224766883</v>
      </c>
      <c r="I10139" s="9">
        <f t="shared" si="32"/>
        <v>130.83750000000123</v>
      </c>
      <c r="J10139" s="9">
        <f t="shared" si="23"/>
        <v>18.076504503353341</v>
      </c>
      <c r="K10139" s="9">
        <f t="shared" si="24"/>
        <v>26.539403384564253</v>
      </c>
    </row>
    <row r="10140" spans="1:11" x14ac:dyDescent="0.15">
      <c r="A10140" s="3">
        <f t="shared" si="26"/>
        <v>139</v>
      </c>
      <c r="B10140" s="3">
        <f t="shared" si="29"/>
        <v>10.679356296658419</v>
      </c>
      <c r="C10140" s="3">
        <f t="shared" si="30"/>
        <v>31.840885434857611</v>
      </c>
      <c r="F10140" s="9">
        <f t="shared" si="31"/>
        <v>358.36799999999994</v>
      </c>
      <c r="G10140" s="9">
        <f t="shared" si="33"/>
        <v>24.249087320694144</v>
      </c>
      <c r="H10140" s="9">
        <f t="shared" si="34"/>
        <v>21.935920175617966</v>
      </c>
      <c r="I10140" s="9">
        <f t="shared" si="32"/>
        <v>129.14000000000124</v>
      </c>
      <c r="J10140" s="9">
        <f t="shared" si="23"/>
        <v>18.21269538223904</v>
      </c>
      <c r="K10140" s="9">
        <f t="shared" si="24"/>
        <v>26.653635539262453</v>
      </c>
    </row>
    <row r="10141" spans="1:11" x14ac:dyDescent="0.15">
      <c r="A10141" s="3">
        <f t="shared" si="26"/>
        <v>140</v>
      </c>
      <c r="B10141" s="3">
        <f t="shared" si="29"/>
        <v>10.509333353215332</v>
      </c>
      <c r="C10141" s="3">
        <f t="shared" si="30"/>
        <v>31.641814145298092</v>
      </c>
      <c r="F10141" s="9">
        <f t="shared" si="31"/>
        <v>358.35599999999994</v>
      </c>
      <c r="G10141" s="9">
        <f t="shared" si="33"/>
        <v>24.249073850519203</v>
      </c>
      <c r="H10141" s="9">
        <f t="shared" si="34"/>
        <v>21.935449129279906</v>
      </c>
      <c r="I10141" s="9">
        <f t="shared" si="32"/>
        <v>127.44250000000123</v>
      </c>
      <c r="J10141" s="9">
        <f t="shared" si="23"/>
        <v>18.35221035110429</v>
      </c>
      <c r="K10141" s="9">
        <f t="shared" si="24"/>
        <v>26.763783231572287</v>
      </c>
    </row>
    <row r="10142" spans="1:11" x14ac:dyDescent="0.15">
      <c r="A10142" s="3">
        <f t="shared" si="26"/>
        <v>141</v>
      </c>
      <c r="B10142" s="3">
        <f t="shared" si="29"/>
        <v>10.342810578145436</v>
      </c>
      <c r="C10142" s="3">
        <f t="shared" si="30"/>
        <v>31.439805865747559</v>
      </c>
      <c r="F10142" s="9">
        <f t="shared" si="31"/>
        <v>358.34399999999994</v>
      </c>
      <c r="G10142" s="9">
        <f t="shared" si="33"/>
        <v>24.249060281688845</v>
      </c>
      <c r="H10142" s="9">
        <f t="shared" si="34"/>
        <v>21.934978085773363</v>
      </c>
      <c r="I10142" s="9">
        <f t="shared" si="32"/>
        <v>125.74500000000123</v>
      </c>
      <c r="J10142" s="9">
        <f t="shared" ref="J10142:J10204" si="35">COS(I10142/180*PI())*$E$10001*$R$10023+$E$10002</f>
        <v>18.494926958665964</v>
      </c>
      <c r="K10142" s="9">
        <f t="shared" ref="K10142:K10204" si="36">SIN(I10142/180*PI())*$E$10001*$R$10023+$E$10003</f>
        <v>26.869749785657717</v>
      </c>
    </row>
    <row r="10143" spans="1:11" x14ac:dyDescent="0.15">
      <c r="A10143" s="3">
        <f t="shared" si="26"/>
        <v>142</v>
      </c>
      <c r="B10143" s="3">
        <f t="shared" si="29"/>
        <v>10.179838695899171</v>
      </c>
      <c r="C10143" s="3">
        <f t="shared" si="30"/>
        <v>31.234922129884875</v>
      </c>
      <c r="F10143" s="9">
        <f t="shared" si="31"/>
        <v>358.33199999999994</v>
      </c>
      <c r="G10143" s="9">
        <f t="shared" si="33"/>
        <v>24.249046614203664</v>
      </c>
      <c r="H10143" s="9">
        <f t="shared" si="34"/>
        <v>21.934507045119002</v>
      </c>
      <c r="I10143" s="9">
        <f t="shared" si="32"/>
        <v>124.04750000000122</v>
      </c>
      <c r="J10143" s="9">
        <f t="shared" si="35"/>
        <v>18.640719943585726</v>
      </c>
      <c r="K10143" s="9">
        <f t="shared" si="36"/>
        <v>26.971442195437589</v>
      </c>
    </row>
    <row r="10144" spans="1:11" x14ac:dyDescent="0.15">
      <c r="A10144" s="3">
        <f t="shared" si="26"/>
        <v>143</v>
      </c>
      <c r="B10144" s="3">
        <f t="shared" si="29"/>
        <v>10.020467349290611</v>
      </c>
      <c r="C10144" s="3">
        <f t="shared" si="30"/>
        <v>31.027225347280726</v>
      </c>
      <c r="F10144" s="9">
        <f t="shared" si="31"/>
        <v>358.31999999999994</v>
      </c>
      <c r="G10144" s="9">
        <f t="shared" si="33"/>
        <v>24.249032848064257</v>
      </c>
      <c r="H10144" s="9">
        <f t="shared" si="34"/>
        <v>21.934036007337482</v>
      </c>
      <c r="I10144" s="9">
        <f t="shared" si="32"/>
        <v>122.35000000000122</v>
      </c>
      <c r="J10144" s="9">
        <f t="shared" si="35"/>
        <v>18.789461344410999</v>
      </c>
      <c r="K10144" s="9">
        <f t="shared" si="36"/>
        <v>27.068771206216432</v>
      </c>
    </row>
    <row r="10145" spans="1:11" x14ac:dyDescent="0.15">
      <c r="A10145" s="3">
        <f t="shared" si="26"/>
        <v>144</v>
      </c>
      <c r="B10145" s="3">
        <f t="shared" si="29"/>
        <v>9.8647450843757891</v>
      </c>
      <c r="C10145" s="3">
        <f t="shared" si="30"/>
        <v>30.816778784387097</v>
      </c>
      <c r="F10145" s="9">
        <f t="shared" si="31"/>
        <v>358.30799999999994</v>
      </c>
      <c r="G10145" s="9">
        <f t="shared" si="33"/>
        <v>24.249018983271231</v>
      </c>
      <c r="H10145" s="9">
        <f t="shared" si="34"/>
        <v>21.933564972449467</v>
      </c>
      <c r="I10145" s="9">
        <f t="shared" si="32"/>
        <v>120.65250000000121</v>
      </c>
      <c r="J10145" s="9">
        <f t="shared" si="35"/>
        <v>18.941020611885801</v>
      </c>
      <c r="K10145" s="9">
        <f t="shared" si="36"/>
        <v>27.16165139302263</v>
      </c>
    </row>
    <row r="10146" spans="1:11" x14ac:dyDescent="0.15">
      <c r="A10146" s="3">
        <f t="shared" si="26"/>
        <v>145</v>
      </c>
      <c r="B10146" s="3">
        <f t="shared" si="29"/>
        <v>9.7127193356651205</v>
      </c>
      <c r="C10146" s="3">
        <f t="shared" si="30"/>
        <v>30.60364654526569</v>
      </c>
      <c r="F10146" s="9">
        <f t="shared" si="31"/>
        <v>358.29599999999994</v>
      </c>
      <c r="G10146" s="9">
        <f t="shared" si="33"/>
        <v>24.249005019825194</v>
      </c>
      <c r="H10146" s="9">
        <f t="shared" si="34"/>
        <v>21.933093940475622</v>
      </c>
      <c r="I10146" s="9">
        <f t="shared" si="32"/>
        <v>118.95500000000121</v>
      </c>
      <c r="J10146" s="9">
        <f t="shared" si="35"/>
        <v>19.095264723532885</v>
      </c>
      <c r="K10146" s="9">
        <f t="shared" si="36"/>
        <v>27.250001235585334</v>
      </c>
    </row>
    <row r="10147" spans="1:11" x14ac:dyDescent="0.15">
      <c r="A10147" s="3">
        <f t="shared" si="26"/>
        <v>146</v>
      </c>
      <c r="B10147" s="3">
        <f t="shared" si="29"/>
        <v>9.5644364116743752</v>
      </c>
      <c r="C10147" s="3">
        <f t="shared" si="30"/>
        <v>30.387893552061204</v>
      </c>
      <c r="F10147" s="9">
        <f t="shared" si="31"/>
        <v>358.28399999999993</v>
      </c>
      <c r="G10147" s="9">
        <f t="shared" si="33"/>
        <v>24.248990957726758</v>
      </c>
      <c r="H10147" s="9">
        <f t="shared" si="34"/>
        <v>21.932622911436599</v>
      </c>
      <c r="I10147" s="9">
        <f t="shared" si="32"/>
        <v>117.2575000000012</v>
      </c>
      <c r="J10147" s="9">
        <f t="shared" si="35"/>
        <v>19.252058300406627</v>
      </c>
      <c r="K10147" s="9">
        <f t="shared" si="36"/>
        <v>27.333743189884181</v>
      </c>
    </row>
    <row r="10148" spans="1:11" x14ac:dyDescent="0.15">
      <c r="A10148" s="3">
        <f t="shared" si="26"/>
        <v>147</v>
      </c>
      <c r="B10148" s="3">
        <f t="shared" si="29"/>
        <v>9.4199414808186415</v>
      </c>
      <c r="C10148" s="3">
        <f t="shared" si="30"/>
        <v>30.169585525225408</v>
      </c>
      <c r="F10148" s="9">
        <f t="shared" si="31"/>
        <v>358.27199999999993</v>
      </c>
      <c r="G10148" s="9">
        <f t="shared" si="33"/>
        <v>24.248976796976539</v>
      </c>
      <c r="H10148" s="9">
        <f t="shared" si="34"/>
        <v>21.932151885353072</v>
      </c>
      <c r="I10148" s="9">
        <f t="shared" si="32"/>
        <v>115.5600000000012</v>
      </c>
      <c r="J10148" s="9">
        <f t="shared" si="35"/>
        <v>19.411263725914132</v>
      </c>
      <c r="K10148" s="9">
        <f t="shared" si="36"/>
        <v>27.412803756209165</v>
      </c>
    </row>
    <row r="10149" spans="1:11" x14ac:dyDescent="0.15">
      <c r="A10149" s="3">
        <f t="shared" si="26"/>
        <v>148</v>
      </c>
      <c r="B10149" s="3">
        <f t="shared" si="29"/>
        <v>9.2792785576536101</v>
      </c>
      <c r="C10149" s="3">
        <f t="shared" si="30"/>
        <v>29.948788963498075</v>
      </c>
      <c r="F10149" s="9">
        <f t="shared" si="31"/>
        <v>358.25999999999993</v>
      </c>
      <c r="G10149" s="9">
        <f t="shared" si="33"/>
        <v>24.24896253757516</v>
      </c>
      <c r="H10149" s="9">
        <f t="shared" si="34"/>
        <v>21.931680862245692</v>
      </c>
      <c r="I10149" s="9">
        <f t="shared" si="32"/>
        <v>113.86250000000119</v>
      </c>
      <c r="J10149" s="9">
        <f t="shared" si="35"/>
        <v>19.572741266600339</v>
      </c>
      <c r="K10149" s="9">
        <f t="shared" si="36"/>
        <v>27.487113543670759</v>
      </c>
    </row>
    <row r="10150" spans="1:11" x14ac:dyDescent="0.15">
      <c r="A10150" s="3">
        <f t="shared" si="26"/>
        <v>149</v>
      </c>
      <c r="B10150" s="3">
        <f t="shared" si="29"/>
        <v>9.142490489468317</v>
      </c>
      <c r="C10150" s="3">
        <f t="shared" si="30"/>
        <v>29.725571123650816</v>
      </c>
      <c r="F10150" s="9">
        <f t="shared" si="31"/>
        <v>358.24799999999993</v>
      </c>
      <c r="G10150" s="9">
        <f t="shared" si="33"/>
        <v>24.248948179523246</v>
      </c>
      <c r="H10150" s="9">
        <f t="shared" si="34"/>
        <v>21.931209842135125</v>
      </c>
      <c r="I10150" s="9">
        <f t="shared" si="32"/>
        <v>112.16500000000119</v>
      </c>
      <c r="J10150" s="9">
        <f t="shared" si="35"/>
        <v>19.736349194791057</v>
      </c>
      <c r="K10150" s="9">
        <f t="shared" si="36"/>
        <v>27.556607331103837</v>
      </c>
    </row>
    <row r="10151" spans="1:11" x14ac:dyDescent="0.15">
      <c r="A10151" s="3">
        <f t="shared" ref="A10151:A10214" si="37">A10150+1</f>
        <v>150</v>
      </c>
      <c r="B10151" s="3">
        <f t="shared" si="29"/>
        <v>9.0096189432334199</v>
      </c>
      <c r="C10151" s="3">
        <f t="shared" si="30"/>
        <v>29.5</v>
      </c>
      <c r="F10151" s="9">
        <f t="shared" si="31"/>
        <v>358.23599999999993</v>
      </c>
      <c r="G10151" s="9">
        <f t="shared" si="33"/>
        <v>24.248933722821427</v>
      </c>
      <c r="H10151" s="9">
        <f t="shared" si="34"/>
        <v>21.930738825042031</v>
      </c>
      <c r="I10151" s="9">
        <f t="shared" si="32"/>
        <v>110.46750000000118</v>
      </c>
      <c r="J10151" s="9">
        <f t="shared" si="35"/>
        <v>19.901943912986333</v>
      </c>
      <c r="K10151" s="9">
        <f t="shared" si="36"/>
        <v>27.621224124311794</v>
      </c>
    </row>
    <row r="10152" spans="1:11" x14ac:dyDescent="0.15">
      <c r="A10152" s="3">
        <f t="shared" si="37"/>
        <v>151</v>
      </c>
      <c r="B10152" s="3">
        <f t="shared" si="29"/>
        <v>8.8807043929090632</v>
      </c>
      <c r="C10152" s="3">
        <f t="shared" si="30"/>
        <v>29.272144303695057</v>
      </c>
      <c r="F10152" s="9">
        <f t="shared" si="31"/>
        <v>358.22399999999993</v>
      </c>
      <c r="G10152" s="9">
        <f t="shared" si="33"/>
        <v>24.248919167470333</v>
      </c>
      <c r="H10152" s="9">
        <f t="shared" si="34"/>
        <v>21.930267810987072</v>
      </c>
      <c r="I10152" s="9">
        <f t="shared" si="32"/>
        <v>108.77000000000118</v>
      </c>
      <c r="J10152" s="9">
        <f t="shared" si="35"/>
        <v>20.069380079894938</v>
      </c>
      <c r="K10152" s="9">
        <f t="shared" si="36"/>
        <v>27.680907209600726</v>
      </c>
    </row>
    <row r="10153" spans="1:11" x14ac:dyDescent="0.15">
      <c r="A10153" s="3">
        <f t="shared" si="37"/>
        <v>152</v>
      </c>
      <c r="B10153" s="3">
        <f t="shared" si="29"/>
        <v>8.7557861071160943</v>
      </c>
      <c r="C10153" s="3">
        <f t="shared" si="30"/>
        <v>29.042073441788361</v>
      </c>
      <c r="F10153" s="9">
        <f t="shared" si="31"/>
        <v>358.21199999999993</v>
      </c>
      <c r="G10153" s="9">
        <f t="shared" si="33"/>
        <v>24.24890451347061</v>
      </c>
      <c r="H10153" s="9">
        <f t="shared" si="34"/>
        <v>21.929796799990914</v>
      </c>
      <c r="I10153" s="9">
        <f t="shared" si="32"/>
        <v>107.07250000000117</v>
      </c>
      <c r="J10153" s="9">
        <f t="shared" si="35"/>
        <v>20.238510737999377</v>
      </c>
      <c r="K10153" s="9">
        <f t="shared" si="36"/>
        <v>27.735604203556633</v>
      </c>
    </row>
    <row r="10154" spans="1:11" x14ac:dyDescent="0.15">
      <c r="A10154" s="3">
        <f t="shared" si="37"/>
        <v>153</v>
      </c>
      <c r="B10154" s="3">
        <f t="shared" si="29"/>
        <v>8.6349021371744836</v>
      </c>
      <c r="C10154" s="3">
        <f t="shared" si="30"/>
        <v>28.809857496093201</v>
      </c>
      <c r="F10154" s="9">
        <f t="shared" si="31"/>
        <v>358.19999999999993</v>
      </c>
      <c r="G10154" s="9">
        <f t="shared" si="33"/>
        <v>24.248889760822895</v>
      </c>
      <c r="H10154" s="9">
        <f t="shared" si="34"/>
        <v>21.929325792074206</v>
      </c>
      <c r="I10154" s="9">
        <f t="shared" si="32"/>
        <v>105.37500000000117</v>
      </c>
      <c r="J10154" s="9">
        <f t="shared" si="35"/>
        <v>20.409187442539434</v>
      </c>
      <c r="K10154" s="9">
        <f t="shared" si="36"/>
        <v>27.785267099021944</v>
      </c>
    </row>
    <row r="10155" spans="1:11" x14ac:dyDescent="0.15">
      <c r="A10155" s="3">
        <f t="shared" si="37"/>
        <v>154</v>
      </c>
      <c r="B10155" s="3">
        <f t="shared" si="29"/>
        <v>8.5180893055124969</v>
      </c>
      <c r="C10155" s="3">
        <f t="shared" si="30"/>
        <v>28.575567201836165</v>
      </c>
      <c r="F10155" s="9">
        <f t="shared" si="31"/>
        <v>358.18799999999993</v>
      </c>
      <c r="G10155" s="9">
        <f t="shared" si="33"/>
        <v>24.248874909527839</v>
      </c>
      <c r="H10155" s="9">
        <f t="shared" si="34"/>
        <v>21.92885478725762</v>
      </c>
      <c r="I10155" s="9">
        <f t="shared" si="32"/>
        <v>103.67750000000116</v>
      </c>
      <c r="J10155" s="9">
        <f t="shared" si="35"/>
        <v>20.581260391801081</v>
      </c>
      <c r="K10155" s="9">
        <f t="shared" si="36"/>
        <v>27.829852307231082</v>
      </c>
    </row>
    <row r="10156" spans="1:11" x14ac:dyDescent="0.15">
      <c r="A10156" s="3">
        <f t="shared" si="37"/>
        <v>155</v>
      </c>
      <c r="B10156" s="3">
        <f t="shared" si="29"/>
        <v>8.4053831944502502</v>
      </c>
      <c r="C10156" s="3">
        <f t="shared" si="30"/>
        <v>28.339273926110494</v>
      </c>
      <c r="F10156" s="9">
        <f t="shared" si="31"/>
        <v>358.17599999999993</v>
      </c>
      <c r="G10156" s="9">
        <f t="shared" si="33"/>
        <v>24.248859959586088</v>
      </c>
      <c r="H10156" s="9">
        <f t="shared" si="34"/>
        <v>21.928383785561813</v>
      </c>
      <c r="I10156" s="9">
        <f t="shared" si="32"/>
        <v>101.98000000000116</v>
      </c>
      <c r="J10156" s="9">
        <f t="shared" si="35"/>
        <v>20.754578558596343</v>
      </c>
      <c r="K10156" s="9">
        <f t="shared" si="36"/>
        <v>27.869320696067991</v>
      </c>
    </row>
    <row r="10157" spans="1:11" x14ac:dyDescent="0.15">
      <c r="A10157" s="3">
        <f t="shared" si="37"/>
        <v>156</v>
      </c>
      <c r="B10157" s="3">
        <f t="shared" si="29"/>
        <v>8.2968181353609847</v>
      </c>
      <c r="C10157" s="3">
        <f t="shared" si="30"/>
        <v>28.101049646137</v>
      </c>
      <c r="F10157" s="9">
        <f t="shared" si="31"/>
        <v>358.16399999999993</v>
      </c>
      <c r="G10157" s="9">
        <f t="shared" si="33"/>
        <v>24.248844910998304</v>
      </c>
      <c r="H10157" s="9">
        <f t="shared" si="34"/>
        <v>21.927912787007443</v>
      </c>
      <c r="I10157" s="9">
        <f t="shared" si="32"/>
        <v>100.28250000000115</v>
      </c>
      <c r="J10157" s="9">
        <f t="shared" si="35"/>
        <v>20.928989822818803</v>
      </c>
      <c r="K10157" s="9">
        <f t="shared" si="36"/>
        <v>27.903637624412113</v>
      </c>
    </row>
    <row r="10158" spans="1:11" x14ac:dyDescent="0.15">
      <c r="A10158" s="3">
        <f t="shared" si="37"/>
        <v>157</v>
      </c>
      <c r="B10158" s="3">
        <f t="shared" si="29"/>
        <v>8.1924271982133945</v>
      </c>
      <c r="C10158" s="3">
        <f t="shared" si="30"/>
        <v>27.860966927339106</v>
      </c>
      <c r="F10158" s="9">
        <f t="shared" si="31"/>
        <v>358.15199999999993</v>
      </c>
      <c r="G10158" s="9">
        <f t="shared" si="33"/>
        <v>24.248829763765141</v>
      </c>
      <c r="H10158" s="9">
        <f t="shared" si="34"/>
        <v>21.927441791615173</v>
      </c>
      <c r="I10158" s="9">
        <f t="shared" si="32"/>
        <v>98.585000000001145</v>
      </c>
      <c r="J10158" s="9">
        <f t="shared" si="35"/>
        <v>21.104341104958298</v>
      </c>
      <c r="K10158" s="9">
        <f t="shared" si="36"/>
        <v>27.932772972542661</v>
      </c>
    </row>
    <row r="10159" spans="1:11" x14ac:dyDescent="0.15">
      <c r="A10159" s="3">
        <f t="shared" si="37"/>
        <v>158</v>
      </c>
      <c r="B10159" s="3">
        <f t="shared" si="29"/>
        <v>8.0922421814981895</v>
      </c>
      <c r="C10159" s="3">
        <f t="shared" si="30"/>
        <v>27.619098901238683</v>
      </c>
      <c r="F10159" s="9">
        <f t="shared" si="31"/>
        <v>358.13999999999993</v>
      </c>
      <c r="G10159" s="9">
        <f t="shared" si="33"/>
        <v>24.248814517887268</v>
      </c>
      <c r="H10159" s="9">
        <f t="shared" si="34"/>
        <v>21.926970799405659</v>
      </c>
      <c r="I10159" s="9">
        <f t="shared" si="32"/>
        <v>96.88750000000114</v>
      </c>
      <c r="J10159" s="9">
        <f t="shared" si="35"/>
        <v>21.280478500457711</v>
      </c>
      <c r="K10159" s="9">
        <f t="shared" si="36"/>
        <v>27.956701168574469</v>
      </c>
    </row>
    <row r="10160" spans="1:11" x14ac:dyDescent="0.15">
      <c r="A10160" s="3">
        <f t="shared" si="37"/>
        <v>159</v>
      </c>
      <c r="B10160" s="3">
        <f t="shared" si="29"/>
        <v>7.9962936025419751</v>
      </c>
      <c r="C10160" s="3">
        <f t="shared" si="30"/>
        <v>27.375519243179511</v>
      </c>
      <c r="F10160" s="9">
        <f t="shared" si="31"/>
        <v>358.12799999999993</v>
      </c>
      <c r="G10160" s="9">
        <f t="shared" si="33"/>
        <v>24.248799173365356</v>
      </c>
      <c r="H10160" s="9">
        <f t="shared" si="34"/>
        <v>21.926499810399569</v>
      </c>
      <c r="I10160" s="9">
        <f t="shared" si="32"/>
        <v>95.190000000001135</v>
      </c>
      <c r="J10160" s="9">
        <f t="shared" si="35"/>
        <v>21.457247414793891</v>
      </c>
      <c r="K10160" s="9">
        <f t="shared" si="36"/>
        <v>27.975401210902252</v>
      </c>
    </row>
    <row r="10161" spans="1:11" x14ac:dyDescent="0.15">
      <c r="A10161" s="3">
        <f t="shared" si="37"/>
        <v>160</v>
      </c>
      <c r="B10161" s="3">
        <f t="shared" si="29"/>
        <v>7.9046106882113758</v>
      </c>
      <c r="C10161" s="3">
        <f t="shared" si="30"/>
        <v>27.130302149885033</v>
      </c>
      <c r="F10161" s="9">
        <f t="shared" si="31"/>
        <v>358.11599999999993</v>
      </c>
      <c r="G10161" s="9">
        <f t="shared" si="33"/>
        <v>24.248783730200071</v>
      </c>
      <c r="H10161" s="9">
        <f t="shared" si="34"/>
        <v>21.926028824617553</v>
      </c>
      <c r="I10161" s="9">
        <f t="shared" si="32"/>
        <v>93.492500000001129</v>
      </c>
      <c r="J10161" s="9">
        <f t="shared" si="35"/>
        <v>21.634492699164156</v>
      </c>
      <c r="K10161" s="9">
        <f t="shared" si="36"/>
        <v>27.988856686633575</v>
      </c>
    </row>
    <row r="10162" spans="1:11" x14ac:dyDescent="0.15">
      <c r="A10162" s="3">
        <f t="shared" si="37"/>
        <v>161</v>
      </c>
      <c r="B10162" s="3">
        <f t="shared" si="29"/>
        <v>7.8172213660102479</v>
      </c>
      <c r="C10162" s="3">
        <f t="shared" si="30"/>
        <v>26.883522316857348</v>
      </c>
      <c r="F10162" s="9">
        <f t="shared" si="31"/>
        <v>358.10399999999993</v>
      </c>
      <c r="G10162" s="9">
        <f t="shared" si="33"/>
        <v>24.248768188392091</v>
      </c>
      <c r="H10162" s="9">
        <f t="shared" si="34"/>
        <v>21.925557842080281</v>
      </c>
      <c r="I10162" s="9">
        <f t="shared" si="32"/>
        <v>91.795000000001124</v>
      </c>
      <c r="J10162" s="9">
        <f t="shared" si="35"/>
        <v>21.812058786659279</v>
      </c>
      <c r="K10162" s="9">
        <f t="shared" si="36"/>
        <v>27.997055785994327</v>
      </c>
    </row>
    <row r="10163" spans="1:11" x14ac:dyDescent="0.15">
      <c r="A10163" s="3">
        <f t="shared" si="37"/>
        <v>162</v>
      </c>
      <c r="B10163" s="3">
        <f t="shared" si="29"/>
        <v>7.7341522555726971</v>
      </c>
      <c r="C10163" s="3">
        <f t="shared" si="30"/>
        <v>26.635254915624213</v>
      </c>
      <c r="F10163" s="9">
        <f t="shared" si="31"/>
        <v>358.09199999999993</v>
      </c>
      <c r="G10163" s="9">
        <f t="shared" si="33"/>
        <v>24.248752547942107</v>
      </c>
      <c r="H10163" s="9">
        <f t="shared" si="34"/>
        <v>21.925086862808403</v>
      </c>
      <c r="I10163" s="9">
        <f t="shared" si="32"/>
        <v>90.097500000001119</v>
      </c>
      <c r="J10163" s="9">
        <f t="shared" si="35"/>
        <v>21.989789828803435</v>
      </c>
      <c r="K10163" s="9">
        <f t="shared" si="36"/>
        <v>27.999991312694057</v>
      </c>
    </row>
    <row r="10164" spans="1:11" x14ac:dyDescent="0.15">
      <c r="A10164" s="3">
        <f t="shared" si="37"/>
        <v>163</v>
      </c>
      <c r="B10164" s="3">
        <f t="shared" si="29"/>
        <v>7.6554286605544686</v>
      </c>
      <c r="C10164" s="3">
        <f t="shared" si="30"/>
        <v>26.385575570841056</v>
      </c>
      <c r="F10164" s="9">
        <f t="shared" si="31"/>
        <v>358.07999999999993</v>
      </c>
      <c r="G10164" s="9">
        <f t="shared" si="33"/>
        <v>24.248736808850794</v>
      </c>
      <c r="H10164" s="9">
        <f t="shared" si="34"/>
        <v>21.924615886822586</v>
      </c>
      <c r="I10164" s="9">
        <f t="shared" si="32"/>
        <v>88.400000000001114</v>
      </c>
      <c r="J10164" s="9">
        <f t="shared" si="35"/>
        <v>22.167529832341298</v>
      </c>
      <c r="K10164" s="9">
        <f t="shared" si="36"/>
        <v>27.997660690242128</v>
      </c>
    </row>
    <row r="10165" spans="1:11" x14ac:dyDescent="0.15">
      <c r="A10165" s="3">
        <f t="shared" si="37"/>
        <v>164</v>
      </c>
      <c r="B10165" s="3">
        <f t="shared" si="29"/>
        <v>7.5810745609252166</v>
      </c>
      <c r="C10165" s="3">
        <f t="shared" si="30"/>
        <v>26.134560337254989</v>
      </c>
      <c r="F10165" s="9">
        <f t="shared" ref="F10165:F10196" si="38">MOD(F10164-$E$10006*$H$10002,360)</f>
        <v>358.06799999999993</v>
      </c>
      <c r="G10165" s="9">
        <f t="shared" si="33"/>
        <v>24.24872097111885</v>
      </c>
      <c r="H10165" s="9">
        <f t="shared" si="34"/>
        <v>21.924144914143486</v>
      </c>
      <c r="I10165" s="9">
        <f t="shared" ref="I10165:I10196" si="39">MOD(I10164-$E$10006*$K$10002,360)</f>
        <v>86.702500000001109</v>
      </c>
      <c r="J10165" s="9">
        <f t="shared" si="35"/>
        <v>22.345122796152186</v>
      </c>
      <c r="K10165" s="9">
        <f t="shared" si="36"/>
        <v>27.990065964209084</v>
      </c>
    </row>
    <row r="10166" spans="1:11" x14ac:dyDescent="0.15">
      <c r="A10166" s="3">
        <f t="shared" si="37"/>
        <v>165</v>
      </c>
      <c r="B10166" s="3">
        <f t="shared" si="29"/>
        <v>7.5111126056639765</v>
      </c>
      <c r="C10166" s="3">
        <f t="shared" si="30"/>
        <v>25.882285676537816</v>
      </c>
      <c r="F10166" s="9">
        <f t="shared" si="38"/>
        <v>358.05599999999993</v>
      </c>
      <c r="G10166" s="9">
        <f t="shared" si="33"/>
        <v>24.248705034746965</v>
      </c>
      <c r="H10166" s="9">
        <f t="shared" si="34"/>
        <v>21.923673944791759</v>
      </c>
      <c r="I10166" s="9">
        <f t="shared" si="39"/>
        <v>85.005000000001104</v>
      </c>
      <c r="J10166" s="9">
        <f t="shared" si="35"/>
        <v>22.522412848171133</v>
      </c>
      <c r="K10166" s="9">
        <f t="shared" si="36"/>
        <v>27.977213800431244</v>
      </c>
    </row>
    <row r="10167" spans="1:11" x14ac:dyDescent="0.15">
      <c r="A10167" s="3">
        <f t="shared" si="37"/>
        <v>166</v>
      </c>
      <c r="B10167" s="3">
        <f t="shared" si="29"/>
        <v>7.4455641058600524</v>
      </c>
      <c r="C10167" s="3">
        <f t="shared" si="30"/>
        <v>25.628828433995015</v>
      </c>
      <c r="F10167" s="9">
        <f t="shared" si="38"/>
        <v>358.04399999999993</v>
      </c>
      <c r="G10167" s="9">
        <f t="shared" si="33"/>
        <v>24.24868899973584</v>
      </c>
      <c r="H10167" s="9">
        <f t="shared" si="34"/>
        <v>21.923202978788073</v>
      </c>
      <c r="I10167" s="9">
        <f t="shared" si="39"/>
        <v>83.307500000001099</v>
      </c>
      <c r="J10167" s="9">
        <f t="shared" si="35"/>
        <v>22.69924438219666</v>
      </c>
      <c r="K10167" s="9">
        <f t="shared" si="36"/>
        <v>27.959115479160175</v>
      </c>
    </row>
    <row r="10168" spans="1:11" x14ac:dyDescent="0.15">
      <c r="A10168" s="3">
        <f t="shared" si="37"/>
        <v>167</v>
      </c>
      <c r="B10168" s="3">
        <f t="shared" si="29"/>
        <v>7.3844490282214732</v>
      </c>
      <c r="C10168" s="3">
        <f t="shared" si="30"/>
        <v>25.374265815157976</v>
      </c>
      <c r="F10168" s="9">
        <f t="shared" si="38"/>
        <v>358.03199999999993</v>
      </c>
      <c r="G10168" s="9">
        <f t="shared" si="33"/>
        <v>24.248672866086178</v>
      </c>
      <c r="H10168" s="9">
        <f t="shared" si="34"/>
        <v>21.922732016153077</v>
      </c>
      <c r="I10168" s="9">
        <f t="shared" si="39"/>
        <v>81.610000000001094</v>
      </c>
      <c r="J10168" s="9">
        <f t="shared" si="35"/>
        <v>22.875462194465239</v>
      </c>
      <c r="K10168" s="9">
        <f t="shared" si="36"/>
        <v>27.935786885162077</v>
      </c>
    </row>
    <row r="10169" spans="1:11" x14ac:dyDescent="0.15">
      <c r="A10169" s="3">
        <f t="shared" si="37"/>
        <v>168</v>
      </c>
      <c r="B10169" s="3">
        <f t="shared" si="29"/>
        <v>7.3277859889929147</v>
      </c>
      <c r="C10169" s="3">
        <f t="shared" si="30"/>
        <v>25.118675362266391</v>
      </c>
      <c r="F10169" s="9">
        <f t="shared" si="38"/>
        <v>358.01999999999992</v>
      </c>
      <c r="G10169" s="9">
        <f t="shared" si="33"/>
        <v>24.248656633798689</v>
      </c>
      <c r="H10169" s="9">
        <f t="shared" si="34"/>
        <v>21.922261056907434</v>
      </c>
      <c r="I10169" s="9">
        <f t="shared" si="39"/>
        <v>79.912500000001089</v>
      </c>
      <c r="J10169" s="9">
        <f t="shared" si="35"/>
        <v>23.050911619872505</v>
      </c>
      <c r="K10169" s="9">
        <f t="shared" si="36"/>
        <v>27.907248493775842</v>
      </c>
    </row>
    <row r="10170" spans="1:11" x14ac:dyDescent="0.15">
      <c r="A10170" s="3">
        <f t="shared" si="37"/>
        <v>169</v>
      </c>
      <c r="B10170" s="3">
        <f t="shared" si="29"/>
        <v>7.2755922482850401</v>
      </c>
      <c r="C10170" s="3">
        <f t="shared" si="30"/>
        <v>24.862134930648175</v>
      </c>
      <c r="F10170" s="9">
        <f t="shared" si="38"/>
        <v>358.00799999999992</v>
      </c>
      <c r="G10170" s="9">
        <f t="shared" si="33"/>
        <v>24.248640302874083</v>
      </c>
      <c r="H10170" s="9">
        <f t="shared" si="34"/>
        <v>21.921790101071803</v>
      </c>
      <c r="I10170" s="9">
        <f t="shared" si="39"/>
        <v>78.215000000001083</v>
      </c>
      <c r="J10170" s="9">
        <f t="shared" si="35"/>
        <v>23.225438667721694</v>
      </c>
      <c r="K10170" s="9">
        <f t="shared" si="36"/>
        <v>27.873525352942004</v>
      </c>
    </row>
    <row r="10171" spans="1:11" x14ac:dyDescent="0.15">
      <c r="A10171" s="3">
        <f t="shared" si="37"/>
        <v>170</v>
      </c>
      <c r="B10171" s="3">
        <f t="shared" si="29"/>
        <v>7.2278837048168789</v>
      </c>
      <c r="C10171" s="3">
        <f t="shared" si="30"/>
        <v>24.604722665003962</v>
      </c>
      <c r="F10171" s="9">
        <f t="shared" si="38"/>
        <v>357.99599999999992</v>
      </c>
      <c r="G10171" s="9">
        <f t="shared" si="33"/>
        <v>24.248623873313072</v>
      </c>
      <c r="H10171" s="9">
        <f t="shared" si="34"/>
        <v>21.921319148666843</v>
      </c>
      <c r="I10171" s="9">
        <f t="shared" si="39"/>
        <v>76.517500000001078</v>
      </c>
      <c r="J10171" s="9">
        <f t="shared" si="35"/>
        <v>23.398890156880196</v>
      </c>
      <c r="K10171" s="9">
        <f t="shared" si="36"/>
        <v>27.83464706121833</v>
      </c>
    </row>
    <row r="10172" spans="1:11" x14ac:dyDescent="0.15">
      <c r="A10172" s="3">
        <f t="shared" si="37"/>
        <v>171</v>
      </c>
      <c r="B10172" s="3">
        <f t="shared" si="29"/>
        <v>7.1846748910729357</v>
      </c>
      <c r="C10172" s="3">
        <f t="shared" si="30"/>
        <v>24.346516975603464</v>
      </c>
      <c r="F10172" s="9">
        <f t="shared" si="38"/>
        <v>357.98399999999992</v>
      </c>
      <c r="G10172" s="9">
        <f t="shared" si="33"/>
        <v>24.248607345116387</v>
      </c>
      <c r="H10172" s="9">
        <f t="shared" si="34"/>
        <v>21.920848199713213</v>
      </c>
      <c r="I10172" s="9">
        <f t="shared" si="39"/>
        <v>74.820000000001073</v>
      </c>
      <c r="J10172" s="9">
        <f t="shared" si="35"/>
        <v>23.571113850225505</v>
      </c>
      <c r="K10172" s="9">
        <f t="shared" si="36"/>
        <v>27.790647741801394</v>
      </c>
    </row>
    <row r="10173" spans="1:11" x14ac:dyDescent="0.15">
      <c r="A10173" s="3">
        <f t="shared" si="37"/>
        <v>172</v>
      </c>
      <c r="B10173" s="3">
        <f t="shared" si="29"/>
        <v>7.1459789688764452</v>
      </c>
      <c r="C10173" s="3">
        <f t="shared" si="30"/>
        <v>24.087596514400978</v>
      </c>
      <c r="F10173" s="9">
        <f t="shared" si="38"/>
        <v>357.97199999999992</v>
      </c>
      <c r="G10173" s="9">
        <f t="shared" si="33"/>
        <v>24.248590718284742</v>
      </c>
      <c r="H10173" s="9">
        <f t="shared" si="34"/>
        <v>21.920377254231564</v>
      </c>
      <c r="I10173" s="9">
        <f t="shared" si="39"/>
        <v>73.122500000001068</v>
      </c>
      <c r="J10173" s="9">
        <f t="shared" si="35"/>
        <v>23.741958588262658</v>
      </c>
      <c r="K10173" s="9">
        <f t="shared" si="36"/>
        <v>27.741566012576879</v>
      </c>
    </row>
    <row r="10174" spans="1:11" x14ac:dyDescent="0.15">
      <c r="A10174" s="3">
        <f t="shared" si="37"/>
        <v>173</v>
      </c>
      <c r="B10174" s="3">
        <f t="shared" si="29"/>
        <v>7.1118077253801708</v>
      </c>
      <c r="C10174" s="3">
        <f t="shared" si="30"/>
        <v>23.828040151077214</v>
      </c>
      <c r="F10174" s="9">
        <f t="shared" si="38"/>
        <v>357.95999999999992</v>
      </c>
      <c r="G10174" s="9">
        <f t="shared" si="33"/>
        <v>24.248573992818873</v>
      </c>
      <c r="H10174" s="9">
        <f t="shared" si="34"/>
        <v>21.919906312242563</v>
      </c>
      <c r="I10174" s="9">
        <f t="shared" si="39"/>
        <v>71.425000000001063</v>
      </c>
      <c r="J10174" s="9">
        <f t="shared" si="35"/>
        <v>23.911274421795838</v>
      </c>
      <c r="K10174" s="9">
        <f t="shared" si="36"/>
        <v>27.687444952224944</v>
      </c>
    </row>
    <row r="10175" spans="1:11" x14ac:dyDescent="0.15">
      <c r="A10175" s="3">
        <f t="shared" si="37"/>
        <v>174</v>
      </c>
      <c r="B10175" s="3">
        <f t="shared" si="29"/>
        <v>7.0821715694759</v>
      </c>
      <c r="C10175" s="3">
        <f t="shared" si="30"/>
        <v>23.567926949014804</v>
      </c>
      <c r="F10175" s="9">
        <f t="shared" si="38"/>
        <v>357.94799999999992</v>
      </c>
      <c r="G10175" s="9">
        <f t="shared" si="33"/>
        <v>24.248557168719515</v>
      </c>
      <c r="H10175" s="9">
        <f t="shared" si="34"/>
        <v>21.919435373766866</v>
      </c>
      <c r="I10175" s="9">
        <f t="shared" si="39"/>
        <v>69.727500000001058</v>
      </c>
      <c r="J10175" s="9">
        <f t="shared" si="35"/>
        <v>24.078912743537686</v>
      </c>
      <c r="K10175" s="9">
        <f t="shared" si="36"/>
        <v>27.628332062410372</v>
      </c>
    </row>
    <row r="10176" spans="1:11" x14ac:dyDescent="0.15">
      <c r="A10176" s="3">
        <f t="shared" si="37"/>
        <v>175</v>
      </c>
      <c r="B10176" s="3">
        <f t="shared" si="29"/>
        <v>7.0570795286238166</v>
      </c>
      <c r="C10176" s="3">
        <f t="shared" si="30"/>
        <v>23.307336141214872</v>
      </c>
      <c r="F10176" s="9">
        <f t="shared" si="38"/>
        <v>357.93599999999992</v>
      </c>
      <c r="G10176" s="9">
        <f t="shared" si="33"/>
        <v>24.2485402459874</v>
      </c>
      <c r="H10176" s="9">
        <f t="shared" si="34"/>
        <v>21.918964438825125</v>
      </c>
      <c r="I10176" s="9">
        <f t="shared" si="39"/>
        <v>68.030000000001053</v>
      </c>
      <c r="J10176" s="9">
        <f t="shared" si="35"/>
        <v>24.244726418540864</v>
      </c>
      <c r="K10176" s="9">
        <f t="shared" si="36"/>
        <v>27.564279226090719</v>
      </c>
    </row>
    <row r="10177" spans="1:11" x14ac:dyDescent="0.15">
      <c r="A10177" s="3">
        <f t="shared" si="37"/>
        <v>176</v>
      </c>
      <c r="B10177" s="3">
        <f t="shared" si="29"/>
        <v>7.0365392461026364</v>
      </c>
      <c r="C10177" s="3">
        <f t="shared" si="30"/>
        <v>23.046347106161882</v>
      </c>
      <c r="F10177" s="9">
        <f t="shared" si="38"/>
        <v>357.92399999999992</v>
      </c>
      <c r="G10177" s="9">
        <f t="shared" si="33"/>
        <v>24.248523224623273</v>
      </c>
      <c r="H10177" s="9">
        <f t="shared" si="34"/>
        <v>21.918493507438004</v>
      </c>
      <c r="I10177" s="9">
        <f t="shared" si="39"/>
        <v>66.332500000001048</v>
      </c>
      <c r="J10177" s="9">
        <f t="shared" si="35"/>
        <v>24.408569913337335</v>
      </c>
      <c r="K10177" s="9">
        <f t="shared" si="36"/>
        <v>27.495342661978977</v>
      </c>
    </row>
    <row r="10178" spans="1:11" x14ac:dyDescent="0.15">
      <c r="A10178" s="3">
        <f t="shared" si="37"/>
        <v>177</v>
      </c>
      <c r="B10178" s="3">
        <f t="shared" si="29"/>
        <v>7.0205569786813928</v>
      </c>
      <c r="C10178" s="3">
        <f t="shared" si="30"/>
        <v>22.785039343644165</v>
      </c>
      <c r="F10178" s="9">
        <f t="shared" si="38"/>
        <v>357.91199999999992</v>
      </c>
      <c r="G10178" s="9">
        <f t="shared" si="33"/>
        <v>24.248506104627882</v>
      </c>
      <c r="H10178" s="9">
        <f t="shared" si="34"/>
        <v>21.918022579626157</v>
      </c>
      <c r="I10178" s="9">
        <f t="shared" si="39"/>
        <v>64.635000000001043</v>
      </c>
      <c r="J10178" s="9">
        <f t="shared" si="35"/>
        <v>24.570299423672026</v>
      </c>
      <c r="K10178" s="9">
        <f t="shared" si="36"/>
        <v>27.421582875200862</v>
      </c>
    </row>
    <row r="10179" spans="1:11" x14ac:dyDescent="0.15">
      <c r="A10179" s="3">
        <f t="shared" si="37"/>
        <v>178</v>
      </c>
      <c r="B10179" s="3">
        <f t="shared" si="29"/>
        <v>7.0091375947135628</v>
      </c>
      <c r="C10179" s="3">
        <f t="shared" si="30"/>
        <v>22.523492450537518</v>
      </c>
      <c r="F10179" s="9">
        <f t="shared" si="38"/>
        <v>357.89999999999992</v>
      </c>
      <c r="G10179" s="9">
        <f t="shared" si="33"/>
        <v>24.248488886001976</v>
      </c>
      <c r="H10179" s="9">
        <f t="shared" si="34"/>
        <v>21.917551655410247</v>
      </c>
      <c r="I10179" s="9">
        <f t="shared" si="39"/>
        <v>62.937500000001044</v>
      </c>
      <c r="J10179" s="9">
        <f t="shared" si="35"/>
        <v>24.729773000718811</v>
      </c>
      <c r="K10179" s="9">
        <f t="shared" si="36"/>
        <v>27.343064604189866</v>
      </c>
    </row>
    <row r="10180" spans="1:11" x14ac:dyDescent="0.15">
      <c r="A10180" s="3">
        <f t="shared" si="37"/>
        <v>179</v>
      </c>
      <c r="B10180" s="3">
        <f t="shared" si="29"/>
        <v>7.0022845726541316</v>
      </c>
      <c r="C10180" s="3">
        <f t="shared" si="30"/>
        <v>22.261786096559252</v>
      </c>
      <c r="F10180" s="9">
        <f t="shared" si="38"/>
        <v>357.88799999999992</v>
      </c>
      <c r="G10180" s="9">
        <f t="shared" si="33"/>
        <v>24.248471568746311</v>
      </c>
      <c r="H10180" s="9">
        <f t="shared" si="34"/>
        <v>21.91708073481092</v>
      </c>
      <c r="I10180" s="9">
        <f t="shared" si="39"/>
        <v>61.240000000001046</v>
      </c>
      <c r="J10180" s="9">
        <f t="shared" si="35"/>
        <v>24.886850675667947</v>
      </c>
      <c r="K10180" s="9">
        <f t="shared" si="36"/>
        <v>27.259856763866818</v>
      </c>
    </row>
    <row r="10181" spans="1:11" x14ac:dyDescent="0.15">
      <c r="A10181" s="3">
        <f t="shared" si="37"/>
        <v>180</v>
      </c>
      <c r="B10181" s="3">
        <f t="shared" si="29"/>
        <v>7</v>
      </c>
      <c r="C10181" s="3">
        <f t="shared" si="30"/>
        <v>22.000000000000004</v>
      </c>
      <c r="F10181" s="9">
        <f t="shared" si="38"/>
        <v>357.87599999999992</v>
      </c>
      <c r="G10181" s="9">
        <f t="shared" si="33"/>
        <v>24.248454152861648</v>
      </c>
      <c r="H10181" s="9">
        <f t="shared" si="34"/>
        <v>21.91660981784884</v>
      </c>
      <c r="I10181" s="9">
        <f t="shared" si="39"/>
        <v>59.542500000001048</v>
      </c>
      <c r="J10181" s="9">
        <f t="shared" si="35"/>
        <v>25.041394582575709</v>
      </c>
      <c r="K10181" s="9">
        <f t="shared" si="36"/>
        <v>27.172032385153745</v>
      </c>
    </row>
    <row r="10182" spans="1:11" x14ac:dyDescent="0.15">
      <c r="A10182" s="3">
        <f t="shared" si="37"/>
        <v>181</v>
      </c>
      <c r="B10182" s="3">
        <f t="shared" si="29"/>
        <v>7.0022845726541316</v>
      </c>
      <c r="C10182" s="3">
        <f t="shared" si="30"/>
        <v>21.738213903440752</v>
      </c>
      <c r="F10182" s="9">
        <f t="shared" si="38"/>
        <v>357.86399999999992</v>
      </c>
      <c r="G10182" s="9">
        <f t="shared" si="33"/>
        <v>24.24843663834875</v>
      </c>
      <c r="H10182" s="9">
        <f t="shared" si="34"/>
        <v>21.916138904544663</v>
      </c>
      <c r="I10182" s="9">
        <f t="shared" si="39"/>
        <v>57.84500000000105</v>
      </c>
      <c r="J10182" s="9">
        <f t="shared" si="35"/>
        <v>25.193269079368328</v>
      </c>
      <c r="K10182" s="9">
        <f t="shared" si="36"/>
        <v>27.079668550875162</v>
      </c>
    </row>
    <row r="10183" spans="1:11" x14ac:dyDescent="0.15">
      <c r="A10183" s="3">
        <f t="shared" si="37"/>
        <v>182</v>
      </c>
      <c r="B10183" s="3">
        <f t="shared" si="29"/>
        <v>7.0091375947135628</v>
      </c>
      <c r="C10183" s="3">
        <f t="shared" si="30"/>
        <v>21.476507549462486</v>
      </c>
      <c r="F10183" s="9">
        <f t="shared" si="38"/>
        <v>357.85199999999992</v>
      </c>
      <c r="G10183" s="9">
        <f t="shared" si="33"/>
        <v>24.248419025208385</v>
      </c>
      <c r="H10183" s="9">
        <f t="shared" si="34"/>
        <v>21.915667994919044</v>
      </c>
      <c r="I10183" s="9">
        <f t="shared" si="39"/>
        <v>56.147500000001052</v>
      </c>
      <c r="J10183" s="9">
        <f t="shared" si="35"/>
        <v>25.342340866894059</v>
      </c>
      <c r="K10183" s="9">
        <f t="shared" si="36"/>
        <v>26.982846328103033</v>
      </c>
    </row>
    <row r="10184" spans="1:11" x14ac:dyDescent="0.15">
      <c r="A10184" s="3">
        <f t="shared" si="37"/>
        <v>183</v>
      </c>
      <c r="B10184" s="3">
        <f t="shared" si="29"/>
        <v>7.0205569786813928</v>
      </c>
      <c r="C10184" s="3">
        <f t="shared" si="30"/>
        <v>21.214960656355846</v>
      </c>
      <c r="F10184" s="9">
        <f t="shared" si="38"/>
        <v>357.83999999999992</v>
      </c>
      <c r="G10184" s="9">
        <f t="shared" si="33"/>
        <v>24.248401313441327</v>
      </c>
      <c r="H10184" s="9">
        <f t="shared" si="34"/>
        <v>21.915197088992645</v>
      </c>
      <c r="I10184" s="9">
        <f t="shared" si="39"/>
        <v>54.450000000001054</v>
      </c>
      <c r="J10184" s="9">
        <f t="shared" si="35"/>
        <v>25.488479105918895</v>
      </c>
      <c r="K10184" s="9">
        <f t="shared" si="36"/>
        <v>26.881650697004787</v>
      </c>
    </row>
    <row r="10185" spans="1:11" x14ac:dyDescent="0.15">
      <c r="A10185" s="3">
        <f t="shared" si="37"/>
        <v>184</v>
      </c>
      <c r="B10185" s="3">
        <f t="shared" si="29"/>
        <v>7.0365392461026346</v>
      </c>
      <c r="C10185" s="3">
        <f t="shared" si="30"/>
        <v>20.953652893838129</v>
      </c>
      <c r="F10185" s="9">
        <f t="shared" si="38"/>
        <v>357.82799999999992</v>
      </c>
      <c r="G10185" s="9">
        <f t="shared" si="33"/>
        <v>24.248383503048348</v>
      </c>
      <c r="H10185" s="9">
        <f t="shared" si="34"/>
        <v>21.914726186786112</v>
      </c>
      <c r="I10185" s="9">
        <f t="shared" si="39"/>
        <v>52.752500000001056</v>
      </c>
      <c r="J10185" s="9">
        <f t="shared" si="35"/>
        <v>25.631555531963212</v>
      </c>
      <c r="K10185" s="9">
        <f t="shared" si="36"/>
        <v>26.77617047625683</v>
      </c>
    </row>
    <row r="10186" spans="1:11" x14ac:dyDescent="0.15">
      <c r="A10186" s="3">
        <f t="shared" si="37"/>
        <v>185</v>
      </c>
      <c r="B10186" s="3">
        <f t="shared" si="29"/>
        <v>7.0570795286238166</v>
      </c>
      <c r="C10186" s="3">
        <f t="shared" si="30"/>
        <v>20.692663858785131</v>
      </c>
      <c r="F10186" s="9">
        <f t="shared" si="38"/>
        <v>357.81599999999992</v>
      </c>
      <c r="G10186" s="9">
        <f t="shared" si="33"/>
        <v>24.248365594030236</v>
      </c>
      <c r="H10186" s="9">
        <f t="shared" si="34"/>
        <v>21.914255288320113</v>
      </c>
      <c r="I10186" s="9">
        <f t="shared" si="39"/>
        <v>51.055000000001058</v>
      </c>
      <c r="J10186" s="9">
        <f t="shared" si="35"/>
        <v>25.771444567878582</v>
      </c>
      <c r="K10186" s="9">
        <f t="shared" si="36"/>
        <v>26.666498245089045</v>
      </c>
    </row>
    <row r="10187" spans="1:11" x14ac:dyDescent="0.15">
      <c r="A10187" s="3">
        <f t="shared" si="37"/>
        <v>186</v>
      </c>
      <c r="B10187" s="3">
        <f t="shared" si="29"/>
        <v>7.0821715694759</v>
      </c>
      <c r="C10187" s="3">
        <f t="shared" si="30"/>
        <v>20.432073050985199</v>
      </c>
      <c r="F10187" s="9">
        <f t="shared" si="38"/>
        <v>357.80399999999992</v>
      </c>
      <c r="G10187" s="9">
        <f t="shared" si="33"/>
        <v>24.248347586387773</v>
      </c>
      <c r="H10187" s="9">
        <f t="shared" si="34"/>
        <v>21.913784393615295</v>
      </c>
      <c r="I10187" s="9">
        <f t="shared" si="39"/>
        <v>49.35750000000106</v>
      </c>
      <c r="J10187" s="9">
        <f t="shared" si="35"/>
        <v>25.908023434065939</v>
      </c>
      <c r="K10187" s="9">
        <f t="shared" si="36"/>
        <v>26.552730262028653</v>
      </c>
    </row>
    <row r="10188" spans="1:11" x14ac:dyDescent="0.15">
      <c r="A10188" s="3">
        <f t="shared" si="37"/>
        <v>187</v>
      </c>
      <c r="B10188" s="3">
        <f t="shared" si="29"/>
        <v>7.1118077253801708</v>
      </c>
      <c r="C10188" s="3">
        <f t="shared" si="30"/>
        <v>20.171959848922782</v>
      </c>
      <c r="F10188" s="9">
        <f t="shared" si="38"/>
        <v>357.79199999999992</v>
      </c>
      <c r="G10188" s="9">
        <f t="shared" si="33"/>
        <v>24.248329480121747</v>
      </c>
      <c r="H10188" s="9">
        <f t="shared" si="34"/>
        <v>21.913313502692315</v>
      </c>
      <c r="I10188" s="9">
        <f t="shared" si="39"/>
        <v>47.660000000001062</v>
      </c>
      <c r="J10188" s="9">
        <f t="shared" si="35"/>
        <v>26.041172256238323</v>
      </c>
      <c r="K10188" s="9">
        <f t="shared" si="36"/>
        <v>26.434966380414814</v>
      </c>
    </row>
    <row r="10189" spans="1:11" x14ac:dyDescent="0.15">
      <c r="A10189" s="3">
        <f t="shared" si="37"/>
        <v>188</v>
      </c>
      <c r="B10189" s="3">
        <f t="shared" si="29"/>
        <v>7.145978968876447</v>
      </c>
      <c r="C10189" s="3">
        <f t="shared" si="30"/>
        <v>19.912403485599018</v>
      </c>
      <c r="F10189" s="9">
        <f t="shared" si="38"/>
        <v>357.77999999999992</v>
      </c>
      <c r="G10189" s="9">
        <f t="shared" si="33"/>
        <v>24.248311275232957</v>
      </c>
      <c r="H10189" s="9">
        <f t="shared" si="34"/>
        <v>21.912842615571833</v>
      </c>
      <c r="I10189" s="9">
        <f t="shared" si="39"/>
        <v>45.962500000001064</v>
      </c>
      <c r="J10189" s="9">
        <f t="shared" si="35"/>
        <v>26.170774170633717</v>
      </c>
      <c r="K10189" s="9">
        <f t="shared" si="36"/>
        <v>26.313309960758055</v>
      </c>
    </row>
    <row r="10190" spans="1:11" x14ac:dyDescent="0.15">
      <c r="A10190" s="3">
        <f t="shared" si="37"/>
        <v>189</v>
      </c>
      <c r="B10190" s="3">
        <f t="shared" si="29"/>
        <v>7.1846748910729339</v>
      </c>
      <c r="C10190" s="3">
        <f t="shared" si="30"/>
        <v>19.653483024396539</v>
      </c>
      <c r="F10190" s="9">
        <f t="shared" si="38"/>
        <v>357.76799999999992</v>
      </c>
      <c r="G10190" s="9">
        <f t="shared" si="33"/>
        <v>24.248292971722197</v>
      </c>
      <c r="H10190" s="9">
        <f t="shared" si="34"/>
        <v>21.912371732274501</v>
      </c>
      <c r="I10190" s="9">
        <f t="shared" si="39"/>
        <v>44.265000000001066</v>
      </c>
      <c r="J10190" s="9">
        <f t="shared" si="35"/>
        <v>26.296715426585493</v>
      </c>
      <c r="K10190" s="9">
        <f t="shared" si="36"/>
        <v>26.187867780021502</v>
      </c>
    </row>
    <row r="10191" spans="1:11" x14ac:dyDescent="0.15">
      <c r="A10191" s="3">
        <f t="shared" si="37"/>
        <v>190</v>
      </c>
      <c r="B10191" s="3">
        <f t="shared" si="29"/>
        <v>7.2278837048168789</v>
      </c>
      <c r="C10191" s="3">
        <f t="shared" si="30"/>
        <v>19.395277334996042</v>
      </c>
      <c r="F10191" s="9">
        <f t="shared" si="38"/>
        <v>357.75599999999991</v>
      </c>
      <c r="G10191" s="9">
        <f t="shared" si="33"/>
        <v>24.248274569590272</v>
      </c>
      <c r="H10191" s="9">
        <f t="shared" si="34"/>
        <v>21.911900852820974</v>
      </c>
      <c r="I10191" s="9">
        <f t="shared" si="39"/>
        <v>42.567500000001068</v>
      </c>
      <c r="J10191" s="9">
        <f t="shared" si="35"/>
        <v>26.41888548636058</v>
      </c>
      <c r="K10191" s="9">
        <f t="shared" si="36"/>
        <v>26.058749937903521</v>
      </c>
    </row>
    <row r="10192" spans="1:11" x14ac:dyDescent="0.15">
      <c r="A10192" s="3">
        <f t="shared" si="37"/>
        <v>191</v>
      </c>
      <c r="B10192" s="3">
        <f t="shared" si="29"/>
        <v>7.2755922482850401</v>
      </c>
      <c r="C10192" s="3">
        <f t="shared" si="30"/>
        <v>19.137865069351829</v>
      </c>
      <c r="F10192" s="9">
        <f t="shared" si="38"/>
        <v>357.74399999999991</v>
      </c>
      <c r="G10192" s="9">
        <f t="shared" si="33"/>
        <v>24.248256068837993</v>
      </c>
      <c r="H10192" s="9">
        <f t="shared" si="34"/>
        <v>21.911429977231908</v>
      </c>
      <c r="I10192" s="9">
        <f t="shared" si="39"/>
        <v>40.87000000000107</v>
      </c>
      <c r="J10192" s="9">
        <f t="shared" si="35"/>
        <v>26.53717712217761</v>
      </c>
      <c r="K10192" s="9">
        <f t="shared" si="36"/>
        <v>25.926069760203973</v>
      </c>
    </row>
    <row r="10193" spans="1:11" x14ac:dyDescent="0.15">
      <c r="A10193" s="3">
        <f t="shared" si="37"/>
        <v>192</v>
      </c>
      <c r="B10193" s="3">
        <f t="shared" ref="B10193:B10256" si="40">COS(A10193/180*PI())*$E$10001+$E$10002</f>
        <v>7.3277859889929147</v>
      </c>
      <c r="C10193" s="3">
        <f t="shared" ref="C10193:C10256" si="41">SIN(A10193/180*PI())*$E$10001+$E$10003</f>
        <v>18.881324637733613</v>
      </c>
      <c r="F10193" s="9">
        <f t="shared" si="38"/>
        <v>357.73199999999991</v>
      </c>
      <c r="G10193" s="9">
        <f t="shared" si="33"/>
        <v>24.248237469466162</v>
      </c>
      <c r="H10193" s="9">
        <f t="shared" si="34"/>
        <v>21.910959105527958</v>
      </c>
      <c r="I10193" s="9">
        <f t="shared" si="39"/>
        <v>39.172500000001072</v>
      </c>
      <c r="J10193" s="9">
        <f t="shared" si="35"/>
        <v>26.651486510319998</v>
      </c>
      <c r="K10193" s="9">
        <f t="shared" si="36"/>
        <v>25.789943699359014</v>
      </c>
    </row>
    <row r="10194" spans="1:11" x14ac:dyDescent="0.15">
      <c r="A10194" s="3">
        <f t="shared" si="37"/>
        <v>193</v>
      </c>
      <c r="B10194" s="3">
        <f t="shared" si="40"/>
        <v>7.3844490282214714</v>
      </c>
      <c r="C10194" s="3">
        <f t="shared" si="41"/>
        <v>18.625734184842024</v>
      </c>
      <c r="F10194" s="9">
        <f t="shared" si="38"/>
        <v>357.71999999999991</v>
      </c>
      <c r="G10194" s="9">
        <f t="shared" si="33"/>
        <v>24.248218771475607</v>
      </c>
      <c r="H10194" s="9">
        <f t="shared" si="34"/>
        <v>21.91048823772978</v>
      </c>
      <c r="I10194" s="9">
        <f t="shared" si="39"/>
        <v>37.475000000001074</v>
      </c>
      <c r="J10194" s="9">
        <f t="shared" si="35"/>
        <v>26.761713322261244</v>
      </c>
      <c r="K10194" s="9">
        <f t="shared" si="36"/>
        <v>25.650491232231602</v>
      </c>
    </row>
    <row r="10195" spans="1:11" x14ac:dyDescent="0.15">
      <c r="A10195" s="3">
        <f t="shared" si="37"/>
        <v>194</v>
      </c>
      <c r="B10195" s="3">
        <f t="shared" si="40"/>
        <v>7.4455641058600524</v>
      </c>
      <c r="C10195" s="3">
        <f t="shared" si="41"/>
        <v>18.371171566004989</v>
      </c>
      <c r="F10195" s="9">
        <f t="shared" si="38"/>
        <v>357.70799999999991</v>
      </c>
      <c r="G10195" s="9">
        <f t="shared" si="33"/>
        <v>24.248199974867138</v>
      </c>
      <c r="H10195" s="9">
        <f t="shared" si="34"/>
        <v>21.910017373858025</v>
      </c>
      <c r="I10195" s="9">
        <f t="shared" si="39"/>
        <v>35.777500000001076</v>
      </c>
      <c r="J10195" s="9">
        <f t="shared" si="35"/>
        <v>26.867760812722572</v>
      </c>
      <c r="K10195" s="9">
        <f t="shared" si="36"/>
        <v>25.507834755247529</v>
      </c>
    </row>
    <row r="10196" spans="1:11" x14ac:dyDescent="0.15">
      <c r="A10196" s="3">
        <f t="shared" si="37"/>
        <v>195</v>
      </c>
      <c r="B10196" s="3">
        <f t="shared" si="40"/>
        <v>7.511112605663973</v>
      </c>
      <c r="C10196" s="3">
        <f t="shared" si="41"/>
        <v>18.117714323462195</v>
      </c>
      <c r="F10196" s="9">
        <f t="shared" si="38"/>
        <v>357.69599999999991</v>
      </c>
      <c r="G10196" s="9">
        <f t="shared" si="33"/>
        <v>24.248181079641583</v>
      </c>
      <c r="H10196" s="9">
        <f t="shared" si="34"/>
        <v>21.90954651393335</v>
      </c>
      <c r="I10196" s="9">
        <f t="shared" si="39"/>
        <v>34.080000000001078</v>
      </c>
      <c r="J10196" s="9">
        <f t="shared" si="35"/>
        <v>26.969535904585562</v>
      </c>
      <c r="K10196" s="9">
        <f t="shared" si="36"/>
        <v>25.362099476968961</v>
      </c>
    </row>
    <row r="10197" spans="1:11" x14ac:dyDescent="0.15">
      <c r="A10197" s="3">
        <f t="shared" si="37"/>
        <v>196</v>
      </c>
      <c r="B10197" s="3">
        <f t="shared" si="40"/>
        <v>7.5810745609252148</v>
      </c>
      <c r="C10197" s="3">
        <f t="shared" si="41"/>
        <v>17.865439662745022</v>
      </c>
      <c r="F10197" s="9">
        <f t="shared" ref="F10197:F10204" si="42">MOD(F10196-$E$10006*$H$10002,360)</f>
        <v>357.68399999999991</v>
      </c>
      <c r="G10197" s="9">
        <f t="shared" si="33"/>
        <v>24.24816208579977</v>
      </c>
      <c r="H10197" s="9">
        <f t="shared" si="34"/>
        <v>21.909075657976409</v>
      </c>
      <c r="I10197" s="9">
        <f t="shared" ref="I10197:I10204" si="43">MOD(I10196-$E$10006*$K$10002,360)</f>
        <v>32.38250000000108</v>
      </c>
      <c r="J10197" s="9">
        <f t="shared" si="35"/>
        <v>27.066949270585269</v>
      </c>
      <c r="K10197" s="9">
        <f t="shared" si="36"/>
        <v>25.213413308199772</v>
      </c>
    </row>
    <row r="10198" spans="1:11" x14ac:dyDescent="0.15">
      <c r="A10198" s="3">
        <f t="shared" si="37"/>
        <v>197</v>
      </c>
      <c r="B10198" s="3">
        <f t="shared" si="40"/>
        <v>7.6554286605544686</v>
      </c>
      <c r="C10198" s="3">
        <f t="shared" si="41"/>
        <v>17.614424429158948</v>
      </c>
      <c r="F10198" s="9">
        <f t="shared" si="42"/>
        <v>357.67199999999991</v>
      </c>
      <c r="G10198" s="9">
        <f t="shared" ref="G10198:G10204" si="44">COS(F10198/180*PI())*$E$10001*$R$10019+$E$10002</f>
        <v>24.248142993342537</v>
      </c>
      <c r="H10198" s="9">
        <f t="shared" ref="H10198:H10204" si="45">SIN(F10198/180*PI())*$E$10001*$R$10019+$E$10003</f>
        <v>21.908604806007858</v>
      </c>
      <c r="I10198" s="9">
        <f t="shared" si="43"/>
        <v>30.685000000001079</v>
      </c>
      <c r="J10198" s="9">
        <f t="shared" si="35"/>
        <v>27.159915411712113</v>
      </c>
      <c r="K10198" s="9">
        <f t="shared" si="36"/>
        <v>25.061906749719171</v>
      </c>
    </row>
    <row r="10199" spans="1:11" x14ac:dyDescent="0.15">
      <c r="A10199" s="3">
        <f t="shared" si="37"/>
        <v>198</v>
      </c>
      <c r="B10199" s="3">
        <f t="shared" si="40"/>
        <v>7.7341522555726971</v>
      </c>
      <c r="C10199" s="3">
        <f t="shared" si="41"/>
        <v>17.364745084375784</v>
      </c>
      <c r="F10199" s="9">
        <f t="shared" si="42"/>
        <v>357.65999999999991</v>
      </c>
      <c r="G10199" s="9">
        <f t="shared" si="44"/>
        <v>24.248123802270715</v>
      </c>
      <c r="H10199" s="9">
        <f t="shared" si="45"/>
        <v>21.908133958048349</v>
      </c>
      <c r="I10199" s="9">
        <f t="shared" si="43"/>
        <v>28.987500000001077</v>
      </c>
      <c r="J10199" s="9">
        <f t="shared" si="35"/>
        <v>27.24835273225375</v>
      </c>
      <c r="K10199" s="9">
        <f t="shared" si="36"/>
        <v>24.907712777742091</v>
      </c>
    </row>
    <row r="10200" spans="1:11" x14ac:dyDescent="0.15">
      <c r="A10200" s="3">
        <f t="shared" si="37"/>
        <v>199</v>
      </c>
      <c r="B10200" s="3">
        <f t="shared" si="40"/>
        <v>7.8172213660102496</v>
      </c>
      <c r="C10200" s="3">
        <f t="shared" si="41"/>
        <v>17.116477683142648</v>
      </c>
      <c r="F10200" s="9">
        <f t="shared" si="42"/>
        <v>357.64799999999991</v>
      </c>
      <c r="G10200" s="9">
        <f t="shared" si="44"/>
        <v>24.248104512585151</v>
      </c>
      <c r="H10200" s="9">
        <f t="shared" si="45"/>
        <v>21.907663114118535</v>
      </c>
      <c r="I10200" s="9">
        <f t="shared" si="43"/>
        <v>27.290000000001076</v>
      </c>
      <c r="J10200" s="9">
        <f t="shared" si="35"/>
        <v>27.332183611411029</v>
      </c>
      <c r="K10200" s="9">
        <f t="shared" si="36"/>
        <v>24.750966727206933</v>
      </c>
    </row>
    <row r="10201" spans="1:11" x14ac:dyDescent="0.15">
      <c r="A10201" s="3">
        <f t="shared" si="37"/>
        <v>200</v>
      </c>
      <c r="B10201" s="3">
        <f t="shared" si="40"/>
        <v>7.904610688211374</v>
      </c>
      <c r="C10201" s="3">
        <f t="shared" si="41"/>
        <v>16.869697850114971</v>
      </c>
      <c r="F10201" s="9">
        <f t="shared" si="42"/>
        <v>357.63599999999991</v>
      </c>
      <c r="G10201" s="9">
        <f t="shared" si="44"/>
        <v>24.248085124286685</v>
      </c>
      <c r="H10201" s="9">
        <f t="shared" si="45"/>
        <v>21.907192274239069</v>
      </c>
      <c r="I10201" s="9">
        <f t="shared" si="43"/>
        <v>25.592500000001074</v>
      </c>
      <c r="J10201" s="9">
        <f t="shared" si="35"/>
        <v>27.411334471425235</v>
      </c>
      <c r="K10201" s="9">
        <f t="shared" si="36"/>
        <v>24.591806172993071</v>
      </c>
    </row>
    <row r="10202" spans="1:11" x14ac:dyDescent="0.15">
      <c r="A10202" s="3">
        <f t="shared" si="37"/>
        <v>201</v>
      </c>
      <c r="B10202" s="3">
        <f t="shared" si="40"/>
        <v>7.9962936025419733</v>
      </c>
      <c r="C10202" s="3">
        <f t="shared" si="41"/>
        <v>16.624480756820493</v>
      </c>
      <c r="F10202" s="9">
        <f t="shared" si="42"/>
        <v>357.62399999999991</v>
      </c>
      <c r="G10202" s="9">
        <f t="shared" si="44"/>
        <v>24.248065637376175</v>
      </c>
      <c r="H10202" s="9">
        <f t="shared" si="45"/>
        <v>21.906721438430605</v>
      </c>
      <c r="I10202" s="9">
        <f t="shared" si="43"/>
        <v>23.895000000001072</v>
      </c>
      <c r="J10202" s="9">
        <f t="shared" si="35"/>
        <v>27.485735842156725</v>
      </c>
      <c r="K10202" s="9">
        <f t="shared" si="36"/>
        <v>24.430370809172352</v>
      </c>
    </row>
    <row r="10203" spans="1:11" x14ac:dyDescent="0.15">
      <c r="A10203" s="3">
        <f t="shared" si="37"/>
        <v>202</v>
      </c>
      <c r="B10203" s="3">
        <f t="shared" si="40"/>
        <v>8.0922421814981895</v>
      </c>
      <c r="C10203" s="3">
        <f t="shared" si="41"/>
        <v>16.380901098761321</v>
      </c>
      <c r="F10203" s="9">
        <f t="shared" si="42"/>
        <v>357.61199999999991</v>
      </c>
      <c r="G10203" s="9">
        <f t="shared" si="44"/>
        <v>24.24804605185447</v>
      </c>
      <c r="H10203" s="9">
        <f t="shared" si="45"/>
        <v>21.906250606713797</v>
      </c>
      <c r="I10203" s="9">
        <f t="shared" si="43"/>
        <v>22.197500000001071</v>
      </c>
      <c r="J10203" s="9">
        <f t="shared" si="35"/>
        <v>27.555322422058389</v>
      </c>
      <c r="K10203" s="9">
        <f t="shared" si="36"/>
        <v>24.266802326400633</v>
      </c>
    </row>
    <row r="10204" spans="1:11" x14ac:dyDescent="0.15">
      <c r="A10204" s="3">
        <f t="shared" si="37"/>
        <v>203</v>
      </c>
      <c r="B10204" s="3">
        <f t="shared" si="40"/>
        <v>8.1924271982133945</v>
      </c>
      <c r="C10204" s="3">
        <f t="shared" si="41"/>
        <v>16.139033072660897</v>
      </c>
      <c r="F10204" s="9">
        <f t="shared" si="42"/>
        <v>357.59999999999991</v>
      </c>
      <c r="G10204" s="9">
        <f t="shared" si="44"/>
        <v>24.248026367722431</v>
      </c>
      <c r="H10204" s="9">
        <f t="shared" si="45"/>
        <v>21.905779779109295</v>
      </c>
      <c r="I10204" s="9">
        <f t="shared" si="43"/>
        <v>20.500000000001069</v>
      </c>
      <c r="J10204" s="9">
        <f t="shared" si="35"/>
        <v>27.620033135490345</v>
      </c>
      <c r="K10204" s="9">
        <f t="shared" si="36"/>
        <v>24.101244287556909</v>
      </c>
    </row>
    <row r="10205" spans="1:11" x14ac:dyDescent="0.15">
      <c r="A10205" s="3">
        <f t="shared" si="37"/>
        <v>204</v>
      </c>
      <c r="B10205" s="3">
        <f t="shared" si="40"/>
        <v>8.2968181353609829</v>
      </c>
      <c r="C10205" s="3">
        <f t="shared" si="41"/>
        <v>15.898950353863004</v>
      </c>
      <c r="F10205" s="9"/>
      <c r="G10205" s="5" t="s">
        <v>33</v>
      </c>
      <c r="H10205" s="5"/>
      <c r="I10205" s="9"/>
      <c r="J10205" s="5" t="s">
        <v>31</v>
      </c>
      <c r="K10205" s="5"/>
    </row>
    <row r="10206" spans="1:11" x14ac:dyDescent="0.15">
      <c r="A10206" s="3">
        <f t="shared" si="37"/>
        <v>205</v>
      </c>
      <c r="B10206" s="3">
        <f t="shared" si="40"/>
        <v>8.4053831944502484</v>
      </c>
      <c r="C10206" s="3">
        <f t="shared" si="41"/>
        <v>15.66072607388951</v>
      </c>
      <c r="G10206" s="2">
        <f>(G10103-E10002)*1.5+E10002</f>
        <v>25.374274536045995</v>
      </c>
      <c r="H10206" s="2">
        <f>(H10103-E10003)*1.5+E10003</f>
        <v>21.930026037760044</v>
      </c>
      <c r="J10206" s="2">
        <f>(J10103-E10002)*1.2+E10002</f>
        <v>14.955968566359395</v>
      </c>
      <c r="K10206" s="2">
        <f>(K10103-E10003)*1.2+E10003</f>
        <v>20.509489630400687</v>
      </c>
    </row>
    <row r="10207" spans="1:11" x14ac:dyDescent="0.15">
      <c r="A10207" s="3">
        <f t="shared" si="37"/>
        <v>206</v>
      </c>
      <c r="B10207" s="3">
        <f t="shared" si="40"/>
        <v>8.5180893055124933</v>
      </c>
      <c r="C10207" s="3">
        <f t="shared" si="41"/>
        <v>15.424432798163844</v>
      </c>
      <c r="F10207" s="1">
        <f>G10002</f>
        <v>357.6</v>
      </c>
      <c r="G10207" s="1">
        <f>MOD(R10003-E10006*R10007+720,360)</f>
        <v>357.6</v>
      </c>
      <c r="H10207" s="1">
        <f>MOD(720+R10008,360)/200</f>
        <v>0</v>
      </c>
      <c r="I10207" s="1">
        <f>J10002</f>
        <v>20.5</v>
      </c>
      <c r="J10207" s="1">
        <f>MOD(R10004-E10006*R10011+720,360)</f>
        <v>20.5</v>
      </c>
      <c r="K10207" s="1">
        <f>MOD(720+R10012,360)/200</f>
        <v>0</v>
      </c>
    </row>
    <row r="10208" spans="1:11" x14ac:dyDescent="0.15">
      <c r="A10208" s="3">
        <f t="shared" si="37"/>
        <v>207</v>
      </c>
      <c r="B10208" s="3">
        <f t="shared" si="40"/>
        <v>8.6349021371744783</v>
      </c>
      <c r="C10208" s="3">
        <f t="shared" si="41"/>
        <v>15.190142503906806</v>
      </c>
      <c r="F10208" s="10" t="s">
        <v>31</v>
      </c>
      <c r="G10208" s="1" t="str">
        <f>MOD(H10207*200,360) &amp;"°"</f>
        <v>0°</v>
      </c>
      <c r="H10208" s="1"/>
      <c r="I10208" s="10" t="s">
        <v>31</v>
      </c>
      <c r="J10208" s="1" t="str">
        <f>MOD(K10207*200,360) &amp;"°"</f>
        <v>0°</v>
      </c>
      <c r="K10208" s="1"/>
    </row>
    <row r="10209" spans="1:18" x14ac:dyDescent="0.15">
      <c r="A10209" s="3">
        <f t="shared" si="37"/>
        <v>208</v>
      </c>
      <c r="B10209" s="3">
        <f t="shared" si="40"/>
        <v>8.7557861071160943</v>
      </c>
      <c r="C10209" s="3">
        <f t="shared" si="41"/>
        <v>14.957926558211643</v>
      </c>
      <c r="F10209" s="9">
        <f>MOD(F10207,360)</f>
        <v>357.6</v>
      </c>
      <c r="G10209" s="9">
        <f>COS(F10209/180*PI())*$E$10001*$R$10017+$E$10002</f>
        <v>24.997368490296576</v>
      </c>
      <c r="H10209" s="9">
        <f>SIN(F10209/180*PI())*$E$10001*$R$10017+$E$10003</f>
        <v>21.874373038812404</v>
      </c>
      <c r="I10209" s="9">
        <f>MOD(I10207,360)</f>
        <v>20.5</v>
      </c>
      <c r="J10209" s="9">
        <f>COS(I10209/180*PI())*$E$10001*$R$10021+$E$10002</f>
        <v>28.322537277426683</v>
      </c>
      <c r="K10209" s="9">
        <f>SIN(I10209/180*PI())*$E$10001*$R$10021+$E$10003</f>
        <v>24.363899823501406</v>
      </c>
    </row>
    <row r="10210" spans="1:18" x14ac:dyDescent="0.15">
      <c r="A10210" s="3">
        <f t="shared" si="37"/>
        <v>209</v>
      </c>
      <c r="B10210" s="3">
        <f t="shared" si="40"/>
        <v>8.880704392909065</v>
      </c>
      <c r="C10210" s="3">
        <f t="shared" si="41"/>
        <v>14.727855696304939</v>
      </c>
      <c r="F10210" s="9">
        <f t="shared" ref="F10210:F10241" si="46">MOD(F10209-$E$10006*$H$10207,360)</f>
        <v>357.6</v>
      </c>
      <c r="G10210" s="9">
        <f t="shared" ref="G10210:G10273" si="47">COS(F10210/180*PI())*$E$10001*$R$10017+$E$10002</f>
        <v>24.997368490296576</v>
      </c>
      <c r="H10210" s="9">
        <f t="shared" ref="H10210:H10273" si="48">SIN(F10210/180*PI())*$E$10001*$R$10017+$E$10003</f>
        <v>21.874373038812404</v>
      </c>
      <c r="I10210" s="9">
        <f t="shared" ref="I10210:I10241" si="49">MOD(I10209-$E$10006*$K$10207,360)</f>
        <v>20.5</v>
      </c>
      <c r="J10210" s="9">
        <f t="shared" ref="J10210:J10273" si="50">COS(I10210/180*PI())*$E$10001*$R$10021+$E$10002</f>
        <v>28.322537277426683</v>
      </c>
      <c r="K10210" s="9">
        <f t="shared" ref="K10210:K10273" si="51">SIN(I10210/180*PI())*$E$10001*$R$10021+$E$10003</f>
        <v>24.363899823501406</v>
      </c>
    </row>
    <row r="10211" spans="1:18" x14ac:dyDescent="0.15">
      <c r="A10211" s="3">
        <f t="shared" si="37"/>
        <v>210</v>
      </c>
      <c r="B10211" s="3">
        <f t="shared" si="40"/>
        <v>9.0096189432334217</v>
      </c>
      <c r="C10211" s="3">
        <f t="shared" si="41"/>
        <v>14.499999999999998</v>
      </c>
      <c r="F10211" s="9">
        <f t="shared" si="46"/>
        <v>357.6</v>
      </c>
      <c r="G10211" s="9">
        <f t="shared" si="47"/>
        <v>24.997368490296576</v>
      </c>
      <c r="H10211" s="9">
        <f t="shared" si="48"/>
        <v>21.874373038812404</v>
      </c>
      <c r="I10211" s="9">
        <f t="shared" si="49"/>
        <v>20.5</v>
      </c>
      <c r="J10211" s="9">
        <f t="shared" si="50"/>
        <v>28.322537277426683</v>
      </c>
      <c r="K10211" s="9">
        <f t="shared" si="51"/>
        <v>24.363899823501406</v>
      </c>
    </row>
    <row r="10212" spans="1:18" x14ac:dyDescent="0.15">
      <c r="A10212" s="3">
        <f t="shared" si="37"/>
        <v>211</v>
      </c>
      <c r="B10212" s="3">
        <f t="shared" si="40"/>
        <v>9.1424904894683152</v>
      </c>
      <c r="C10212" s="3">
        <f t="shared" si="41"/>
        <v>14.274428876349187</v>
      </c>
      <c r="F10212" s="9">
        <f t="shared" si="46"/>
        <v>357.6</v>
      </c>
      <c r="G10212" s="9">
        <f t="shared" si="47"/>
        <v>24.997368490296576</v>
      </c>
      <c r="H10212" s="9">
        <f t="shared" si="48"/>
        <v>21.874373038812404</v>
      </c>
      <c r="I10212" s="9">
        <f t="shared" si="49"/>
        <v>20.5</v>
      </c>
      <c r="J10212" s="9">
        <f t="shared" si="50"/>
        <v>28.322537277426683</v>
      </c>
      <c r="K10212" s="9">
        <f t="shared" si="51"/>
        <v>24.363899823501406</v>
      </c>
    </row>
    <row r="10213" spans="1:18" x14ac:dyDescent="0.15">
      <c r="A10213" s="3">
        <f t="shared" si="37"/>
        <v>212</v>
      </c>
      <c r="B10213" s="3">
        <f t="shared" si="40"/>
        <v>9.2792785576536083</v>
      </c>
      <c r="C10213" s="3">
        <f t="shared" si="41"/>
        <v>14.051211036501929</v>
      </c>
      <c r="F10213" s="9">
        <f t="shared" si="46"/>
        <v>357.6</v>
      </c>
      <c r="G10213" s="9">
        <f t="shared" si="47"/>
        <v>24.997368490296576</v>
      </c>
      <c r="H10213" s="9">
        <f t="shared" si="48"/>
        <v>21.874373038812404</v>
      </c>
      <c r="I10213" s="9">
        <f t="shared" si="49"/>
        <v>20.5</v>
      </c>
      <c r="J10213" s="9">
        <f t="shared" si="50"/>
        <v>28.322537277426683</v>
      </c>
      <c r="K10213" s="9">
        <f t="shared" si="51"/>
        <v>24.363899823501406</v>
      </c>
    </row>
    <row r="10214" spans="1:18" x14ac:dyDescent="0.15">
      <c r="A10214" s="3">
        <f t="shared" si="37"/>
        <v>213</v>
      </c>
      <c r="B10214" s="3">
        <f t="shared" si="40"/>
        <v>9.4199414808186397</v>
      </c>
      <c r="C10214" s="3">
        <f t="shared" si="41"/>
        <v>13.830414474774594</v>
      </c>
      <c r="F10214" s="9">
        <f t="shared" si="46"/>
        <v>357.6</v>
      </c>
      <c r="G10214" s="9">
        <f t="shared" si="47"/>
        <v>24.997368490296576</v>
      </c>
      <c r="H10214" s="9">
        <f t="shared" si="48"/>
        <v>21.874373038812404</v>
      </c>
      <c r="I10214" s="9">
        <f t="shared" si="49"/>
        <v>20.5</v>
      </c>
      <c r="J10214" s="9">
        <f t="shared" si="50"/>
        <v>28.322537277426683</v>
      </c>
      <c r="K10214" s="9">
        <f t="shared" si="51"/>
        <v>24.363899823501406</v>
      </c>
    </row>
    <row r="10215" spans="1:18" x14ac:dyDescent="0.15">
      <c r="A10215" s="3">
        <f t="shared" ref="A10215:A10278" si="52">A10214+1</f>
        <v>214</v>
      </c>
      <c r="B10215" s="3">
        <f t="shared" si="40"/>
        <v>9.5644364116743716</v>
      </c>
      <c r="C10215" s="3">
        <f t="shared" si="41"/>
        <v>13.6121064479388</v>
      </c>
      <c r="F10215" s="9">
        <f t="shared" si="46"/>
        <v>357.6</v>
      </c>
      <c r="G10215" s="9">
        <f t="shared" si="47"/>
        <v>24.997368490296576</v>
      </c>
      <c r="H10215" s="9">
        <f t="shared" si="48"/>
        <v>21.874373038812404</v>
      </c>
      <c r="I10215" s="9">
        <f t="shared" si="49"/>
        <v>20.5</v>
      </c>
      <c r="J10215" s="9">
        <f t="shared" si="50"/>
        <v>28.322537277426683</v>
      </c>
      <c r="K10215" s="9">
        <f t="shared" si="51"/>
        <v>24.363899823501406</v>
      </c>
      <c r="L10215" s="9"/>
      <c r="M10215" s="9"/>
      <c r="N10215" s="9"/>
      <c r="O10215" s="9"/>
      <c r="P10215" s="9"/>
      <c r="Q10215" s="9"/>
      <c r="R10215" s="9"/>
    </row>
    <row r="10216" spans="1:18" x14ac:dyDescent="0.15">
      <c r="A10216" s="3">
        <f t="shared" si="52"/>
        <v>215</v>
      </c>
      <c r="B10216" s="3">
        <f t="shared" si="40"/>
        <v>9.7127193356651205</v>
      </c>
      <c r="C10216" s="3">
        <f t="shared" si="41"/>
        <v>13.396353454734312</v>
      </c>
      <c r="F10216" s="9">
        <f t="shared" si="46"/>
        <v>357.6</v>
      </c>
      <c r="G10216" s="9">
        <f t="shared" si="47"/>
        <v>24.997368490296576</v>
      </c>
      <c r="H10216" s="9">
        <f t="shared" si="48"/>
        <v>21.874373038812404</v>
      </c>
      <c r="I10216" s="9">
        <f t="shared" si="49"/>
        <v>20.5</v>
      </c>
      <c r="J10216" s="9">
        <f t="shared" si="50"/>
        <v>28.322537277426683</v>
      </c>
      <c r="K10216" s="9">
        <f t="shared" si="51"/>
        <v>24.363899823501406</v>
      </c>
    </row>
    <row r="10217" spans="1:18" x14ac:dyDescent="0.15">
      <c r="A10217" s="3">
        <f t="shared" si="52"/>
        <v>216</v>
      </c>
      <c r="B10217" s="3">
        <f t="shared" si="40"/>
        <v>9.8647450843757873</v>
      </c>
      <c r="C10217" s="3">
        <f t="shared" si="41"/>
        <v>13.183221215612905</v>
      </c>
      <c r="F10217" s="9">
        <f t="shared" si="46"/>
        <v>357.6</v>
      </c>
      <c r="G10217" s="9">
        <f t="shared" si="47"/>
        <v>24.997368490296576</v>
      </c>
      <c r="H10217" s="9">
        <f t="shared" si="48"/>
        <v>21.874373038812404</v>
      </c>
      <c r="I10217" s="9">
        <f t="shared" si="49"/>
        <v>20.5</v>
      </c>
      <c r="J10217" s="9">
        <f t="shared" si="50"/>
        <v>28.322537277426683</v>
      </c>
      <c r="K10217" s="9">
        <f t="shared" si="51"/>
        <v>24.363899823501406</v>
      </c>
    </row>
    <row r="10218" spans="1:18" x14ac:dyDescent="0.15">
      <c r="A10218" s="3">
        <f t="shared" si="52"/>
        <v>217</v>
      </c>
      <c r="B10218" s="3">
        <f t="shared" si="40"/>
        <v>10.020467349290604</v>
      </c>
      <c r="C10218" s="3">
        <f t="shared" si="41"/>
        <v>12.972774652719279</v>
      </c>
      <c r="F10218" s="9">
        <f t="shared" si="46"/>
        <v>357.6</v>
      </c>
      <c r="G10218" s="9">
        <f t="shared" si="47"/>
        <v>24.997368490296576</v>
      </c>
      <c r="H10218" s="9">
        <f t="shared" si="48"/>
        <v>21.874373038812404</v>
      </c>
      <c r="I10218" s="9">
        <f t="shared" si="49"/>
        <v>20.5</v>
      </c>
      <c r="J10218" s="9">
        <f t="shared" si="50"/>
        <v>28.322537277426683</v>
      </c>
      <c r="K10218" s="9">
        <f t="shared" si="51"/>
        <v>24.363899823501406</v>
      </c>
    </row>
    <row r="10219" spans="1:18" x14ac:dyDescent="0.15">
      <c r="A10219" s="3">
        <f t="shared" si="52"/>
        <v>218</v>
      </c>
      <c r="B10219" s="3">
        <f t="shared" si="40"/>
        <v>10.179838695899166</v>
      </c>
      <c r="C10219" s="3">
        <f t="shared" si="41"/>
        <v>12.765077870115132</v>
      </c>
      <c r="F10219" s="9">
        <f t="shared" si="46"/>
        <v>357.6</v>
      </c>
      <c r="G10219" s="9">
        <f t="shared" si="47"/>
        <v>24.997368490296576</v>
      </c>
      <c r="H10219" s="9">
        <f t="shared" si="48"/>
        <v>21.874373038812404</v>
      </c>
      <c r="I10219" s="9">
        <f t="shared" si="49"/>
        <v>20.5</v>
      </c>
      <c r="J10219" s="9">
        <f t="shared" si="50"/>
        <v>28.322537277426683</v>
      </c>
      <c r="K10219" s="9">
        <f t="shared" si="51"/>
        <v>24.363899823501406</v>
      </c>
    </row>
    <row r="10220" spans="1:18" x14ac:dyDescent="0.15">
      <c r="A10220" s="3">
        <f t="shared" si="52"/>
        <v>219</v>
      </c>
      <c r="B10220" s="3">
        <f t="shared" si="40"/>
        <v>10.342810578145436</v>
      </c>
      <c r="C10220" s="3">
        <f t="shared" si="41"/>
        <v>12.560194134252443</v>
      </c>
      <c r="F10220" s="9">
        <f t="shared" si="46"/>
        <v>357.6</v>
      </c>
      <c r="G10220" s="9">
        <f t="shared" si="47"/>
        <v>24.997368490296576</v>
      </c>
      <c r="H10220" s="9">
        <f t="shared" si="48"/>
        <v>21.874373038812404</v>
      </c>
      <c r="I10220" s="9">
        <f t="shared" si="49"/>
        <v>20.5</v>
      </c>
      <c r="J10220" s="9">
        <f t="shared" si="50"/>
        <v>28.322537277426683</v>
      </c>
      <c r="K10220" s="9">
        <f t="shared" si="51"/>
        <v>24.363899823501406</v>
      </c>
    </row>
    <row r="10221" spans="1:18" x14ac:dyDescent="0.15">
      <c r="A10221" s="3">
        <f t="shared" si="52"/>
        <v>220</v>
      </c>
      <c r="B10221" s="3">
        <f t="shared" si="40"/>
        <v>10.509333353215331</v>
      </c>
      <c r="C10221" s="3">
        <f t="shared" si="41"/>
        <v>12.358185854701912</v>
      </c>
      <c r="F10221" s="9">
        <f t="shared" si="46"/>
        <v>357.6</v>
      </c>
      <c r="G10221" s="9">
        <f t="shared" si="47"/>
        <v>24.997368490296576</v>
      </c>
      <c r="H10221" s="9">
        <f t="shared" si="48"/>
        <v>21.874373038812404</v>
      </c>
      <c r="I10221" s="9">
        <f t="shared" si="49"/>
        <v>20.5</v>
      </c>
      <c r="J10221" s="9">
        <f t="shared" si="50"/>
        <v>28.322537277426683</v>
      </c>
      <c r="K10221" s="9">
        <f t="shared" si="51"/>
        <v>24.363899823501406</v>
      </c>
    </row>
    <row r="10222" spans="1:18" x14ac:dyDescent="0.15">
      <c r="A10222" s="3">
        <f t="shared" si="52"/>
        <v>221</v>
      </c>
      <c r="B10222" s="3">
        <f t="shared" si="40"/>
        <v>10.679356296658421</v>
      </c>
      <c r="C10222" s="3">
        <f t="shared" si="41"/>
        <v>12.159114565142389</v>
      </c>
      <c r="F10222" s="9">
        <f t="shared" si="46"/>
        <v>357.6</v>
      </c>
      <c r="G10222" s="9">
        <f t="shared" si="47"/>
        <v>24.997368490296576</v>
      </c>
      <c r="H10222" s="9">
        <f t="shared" si="48"/>
        <v>21.874373038812404</v>
      </c>
      <c r="I10222" s="9">
        <f t="shared" si="49"/>
        <v>20.5</v>
      </c>
      <c r="J10222" s="9">
        <f t="shared" si="50"/>
        <v>28.322537277426683</v>
      </c>
      <c r="K10222" s="9">
        <f t="shared" si="51"/>
        <v>24.363899823501406</v>
      </c>
    </row>
    <row r="10223" spans="1:18" x14ac:dyDescent="0.15">
      <c r="A10223" s="3">
        <f t="shared" si="52"/>
        <v>222</v>
      </c>
      <c r="B10223" s="3">
        <f t="shared" si="40"/>
        <v>10.852827617839086</v>
      </c>
      <c r="C10223" s="3">
        <f t="shared" si="41"/>
        <v>11.963040904617127</v>
      </c>
      <c r="F10223" s="9">
        <f t="shared" si="46"/>
        <v>357.6</v>
      </c>
      <c r="G10223" s="9">
        <f t="shared" si="47"/>
        <v>24.997368490296576</v>
      </c>
      <c r="H10223" s="9">
        <f t="shared" si="48"/>
        <v>21.874373038812404</v>
      </c>
      <c r="I10223" s="9">
        <f t="shared" si="49"/>
        <v>20.5</v>
      </c>
      <c r="J10223" s="9">
        <f t="shared" si="50"/>
        <v>28.322537277426683</v>
      </c>
      <c r="K10223" s="9">
        <f t="shared" si="51"/>
        <v>24.363899823501406</v>
      </c>
    </row>
    <row r="10224" spans="1:18" x14ac:dyDescent="0.15">
      <c r="A10224" s="3">
        <f t="shared" si="52"/>
        <v>223</v>
      </c>
      <c r="B10224" s="3">
        <f t="shared" si="40"/>
        <v>11.029694475712441</v>
      </c>
      <c r="C10224" s="3">
        <f t="shared" si="41"/>
        <v>11.770024599062525</v>
      </c>
      <c r="F10224" s="9">
        <f t="shared" si="46"/>
        <v>357.6</v>
      </c>
      <c r="G10224" s="9">
        <f t="shared" si="47"/>
        <v>24.997368490296576</v>
      </c>
      <c r="H10224" s="9">
        <f t="shared" si="48"/>
        <v>21.874373038812404</v>
      </c>
      <c r="I10224" s="9">
        <f t="shared" si="49"/>
        <v>20.5</v>
      </c>
      <c r="J10224" s="9">
        <f t="shared" si="50"/>
        <v>28.322537277426683</v>
      </c>
      <c r="K10224" s="9">
        <f t="shared" si="51"/>
        <v>24.363899823501406</v>
      </c>
    </row>
    <row r="10225" spans="1:11" x14ac:dyDescent="0.15">
      <c r="A10225" s="3">
        <f t="shared" si="52"/>
        <v>224</v>
      </c>
      <c r="B10225" s="3">
        <f t="shared" si="40"/>
        <v>11.209902994920235</v>
      </c>
      <c r="C10225" s="3">
        <f t="shared" si="41"/>
        <v>11.580124443115039</v>
      </c>
      <c r="F10225" s="9">
        <f t="shared" si="46"/>
        <v>357.6</v>
      </c>
      <c r="G10225" s="9">
        <f t="shared" si="47"/>
        <v>24.997368490296576</v>
      </c>
      <c r="H10225" s="9">
        <f t="shared" si="48"/>
        <v>21.874373038812404</v>
      </c>
      <c r="I10225" s="9">
        <f t="shared" si="49"/>
        <v>20.5</v>
      </c>
      <c r="J10225" s="9">
        <f t="shared" si="50"/>
        <v>28.322537277426683</v>
      </c>
      <c r="K10225" s="9">
        <f t="shared" si="51"/>
        <v>24.363899823501406</v>
      </c>
    </row>
    <row r="10226" spans="1:11" x14ac:dyDescent="0.15">
      <c r="A10226" s="3">
        <f t="shared" si="52"/>
        <v>225</v>
      </c>
      <c r="B10226" s="3">
        <f t="shared" si="40"/>
        <v>11.393398282201785</v>
      </c>
      <c r="C10226" s="3">
        <f t="shared" si="41"/>
        <v>11.393398282201789</v>
      </c>
      <c r="F10226" s="9">
        <f t="shared" si="46"/>
        <v>357.6</v>
      </c>
      <c r="G10226" s="9">
        <f t="shared" si="47"/>
        <v>24.997368490296576</v>
      </c>
      <c r="H10226" s="9">
        <f t="shared" si="48"/>
        <v>21.874373038812404</v>
      </c>
      <c r="I10226" s="9">
        <f t="shared" si="49"/>
        <v>20.5</v>
      </c>
      <c r="J10226" s="9">
        <f t="shared" si="50"/>
        <v>28.322537277426683</v>
      </c>
      <c r="K10226" s="9">
        <f t="shared" si="51"/>
        <v>24.363899823501406</v>
      </c>
    </row>
    <row r="10227" spans="1:11" x14ac:dyDescent="0.15">
      <c r="A10227" s="3">
        <f t="shared" si="52"/>
        <v>226</v>
      </c>
      <c r="B10227" s="3">
        <f t="shared" si="40"/>
        <v>11.580124443115036</v>
      </c>
      <c r="C10227" s="3">
        <f t="shared" si="41"/>
        <v>11.209902994920236</v>
      </c>
      <c r="F10227" s="9">
        <f t="shared" si="46"/>
        <v>357.6</v>
      </c>
      <c r="G10227" s="9">
        <f t="shared" si="47"/>
        <v>24.997368490296576</v>
      </c>
      <c r="H10227" s="9">
        <f t="shared" si="48"/>
        <v>21.874373038812404</v>
      </c>
      <c r="I10227" s="9">
        <f t="shared" si="49"/>
        <v>20.5</v>
      </c>
      <c r="J10227" s="9">
        <f t="shared" si="50"/>
        <v>28.322537277426683</v>
      </c>
      <c r="K10227" s="9">
        <f t="shared" si="51"/>
        <v>24.363899823501406</v>
      </c>
    </row>
    <row r="10228" spans="1:11" x14ac:dyDescent="0.15">
      <c r="A10228" s="3">
        <f t="shared" si="52"/>
        <v>227</v>
      </c>
      <c r="B10228" s="3">
        <f t="shared" si="40"/>
        <v>11.770024599062522</v>
      </c>
      <c r="C10228" s="3">
        <f t="shared" si="41"/>
        <v>11.029694475712443</v>
      </c>
      <c r="F10228" s="9">
        <f t="shared" si="46"/>
        <v>357.6</v>
      </c>
      <c r="G10228" s="9">
        <f t="shared" si="47"/>
        <v>24.997368490296576</v>
      </c>
      <c r="H10228" s="9">
        <f t="shared" si="48"/>
        <v>21.874373038812404</v>
      </c>
      <c r="I10228" s="9">
        <f t="shared" si="49"/>
        <v>20.5</v>
      </c>
      <c r="J10228" s="9">
        <f t="shared" si="50"/>
        <v>28.322537277426683</v>
      </c>
      <c r="K10228" s="9">
        <f t="shared" si="51"/>
        <v>24.363899823501406</v>
      </c>
    </row>
    <row r="10229" spans="1:11" x14ac:dyDescent="0.15">
      <c r="A10229" s="3">
        <f t="shared" si="52"/>
        <v>228</v>
      </c>
      <c r="B10229" s="3">
        <f t="shared" si="40"/>
        <v>11.963040904617124</v>
      </c>
      <c r="C10229" s="3">
        <f t="shared" si="41"/>
        <v>10.85282761783909</v>
      </c>
      <c r="F10229" s="9">
        <f t="shared" si="46"/>
        <v>357.6</v>
      </c>
      <c r="G10229" s="9">
        <f t="shared" si="47"/>
        <v>24.997368490296576</v>
      </c>
      <c r="H10229" s="9">
        <f t="shared" si="48"/>
        <v>21.874373038812404</v>
      </c>
      <c r="I10229" s="9">
        <f t="shared" si="49"/>
        <v>20.5</v>
      </c>
      <c r="J10229" s="9">
        <f t="shared" si="50"/>
        <v>28.322537277426683</v>
      </c>
      <c r="K10229" s="9">
        <f t="shared" si="51"/>
        <v>24.363899823501406</v>
      </c>
    </row>
    <row r="10230" spans="1:11" x14ac:dyDescent="0.15">
      <c r="A10230" s="3">
        <f t="shared" si="52"/>
        <v>229</v>
      </c>
      <c r="B10230" s="3">
        <f t="shared" si="40"/>
        <v>12.159114565142385</v>
      </c>
      <c r="C10230" s="3">
        <f t="shared" si="41"/>
        <v>10.679356296658424</v>
      </c>
      <c r="F10230" s="9">
        <f t="shared" si="46"/>
        <v>357.6</v>
      </c>
      <c r="G10230" s="9">
        <f t="shared" si="47"/>
        <v>24.997368490296576</v>
      </c>
      <c r="H10230" s="9">
        <f t="shared" si="48"/>
        <v>21.874373038812404</v>
      </c>
      <c r="I10230" s="9">
        <f t="shared" si="49"/>
        <v>20.5</v>
      </c>
      <c r="J10230" s="9">
        <f t="shared" si="50"/>
        <v>28.322537277426683</v>
      </c>
      <c r="K10230" s="9">
        <f t="shared" si="51"/>
        <v>24.363899823501406</v>
      </c>
    </row>
    <row r="10231" spans="1:11" x14ac:dyDescent="0.15">
      <c r="A10231" s="3">
        <f t="shared" si="52"/>
        <v>230</v>
      </c>
      <c r="B10231" s="3">
        <f t="shared" si="40"/>
        <v>12.358185854701908</v>
      </c>
      <c r="C10231" s="3">
        <f t="shared" si="41"/>
        <v>10.509333353215332</v>
      </c>
      <c r="F10231" s="9">
        <f t="shared" si="46"/>
        <v>357.6</v>
      </c>
      <c r="G10231" s="9">
        <f t="shared" si="47"/>
        <v>24.997368490296576</v>
      </c>
      <c r="H10231" s="9">
        <f t="shared" si="48"/>
        <v>21.874373038812404</v>
      </c>
      <c r="I10231" s="9">
        <f t="shared" si="49"/>
        <v>20.5</v>
      </c>
      <c r="J10231" s="9">
        <f t="shared" si="50"/>
        <v>28.322537277426683</v>
      </c>
      <c r="K10231" s="9">
        <f t="shared" si="51"/>
        <v>24.363899823501406</v>
      </c>
    </row>
    <row r="10232" spans="1:11" x14ac:dyDescent="0.15">
      <c r="A10232" s="3">
        <f t="shared" si="52"/>
        <v>231</v>
      </c>
      <c r="B10232" s="3">
        <f t="shared" si="40"/>
        <v>12.560194134252443</v>
      </c>
      <c r="C10232" s="3">
        <f t="shared" si="41"/>
        <v>10.342810578145434</v>
      </c>
      <c r="F10232" s="9">
        <f t="shared" si="46"/>
        <v>357.6</v>
      </c>
      <c r="G10232" s="9">
        <f t="shared" si="47"/>
        <v>24.997368490296576</v>
      </c>
      <c r="H10232" s="9">
        <f t="shared" si="48"/>
        <v>21.874373038812404</v>
      </c>
      <c r="I10232" s="9">
        <f t="shared" si="49"/>
        <v>20.5</v>
      </c>
      <c r="J10232" s="9">
        <f t="shared" si="50"/>
        <v>28.322537277426683</v>
      </c>
      <c r="K10232" s="9">
        <f t="shared" si="51"/>
        <v>24.363899823501406</v>
      </c>
    </row>
    <row r="10233" spans="1:11" x14ac:dyDescent="0.15">
      <c r="A10233" s="3">
        <f t="shared" si="52"/>
        <v>232</v>
      </c>
      <c r="B10233" s="3">
        <f t="shared" si="40"/>
        <v>12.765077870115128</v>
      </c>
      <c r="C10233" s="3">
        <f t="shared" si="41"/>
        <v>10.179838695899168</v>
      </c>
      <c r="F10233" s="9">
        <f t="shared" si="46"/>
        <v>357.6</v>
      </c>
      <c r="G10233" s="9">
        <f t="shared" si="47"/>
        <v>24.997368490296576</v>
      </c>
      <c r="H10233" s="9">
        <f t="shared" si="48"/>
        <v>21.874373038812404</v>
      </c>
      <c r="I10233" s="9">
        <f t="shared" si="49"/>
        <v>20.5</v>
      </c>
      <c r="J10233" s="9">
        <f t="shared" si="50"/>
        <v>28.322537277426683</v>
      </c>
      <c r="K10233" s="9">
        <f t="shared" si="51"/>
        <v>24.363899823501406</v>
      </c>
    </row>
    <row r="10234" spans="1:11" x14ac:dyDescent="0.15">
      <c r="A10234" s="3">
        <f t="shared" si="52"/>
        <v>233</v>
      </c>
      <c r="B10234" s="3">
        <f t="shared" si="40"/>
        <v>12.972774652719275</v>
      </c>
      <c r="C10234" s="3">
        <f t="shared" si="41"/>
        <v>10.020467349290607</v>
      </c>
      <c r="F10234" s="9">
        <f t="shared" si="46"/>
        <v>357.6</v>
      </c>
      <c r="G10234" s="9">
        <f t="shared" si="47"/>
        <v>24.997368490296576</v>
      </c>
      <c r="H10234" s="9">
        <f t="shared" si="48"/>
        <v>21.874373038812404</v>
      </c>
      <c r="I10234" s="9">
        <f t="shared" si="49"/>
        <v>20.5</v>
      </c>
      <c r="J10234" s="9">
        <f t="shared" si="50"/>
        <v>28.322537277426683</v>
      </c>
      <c r="K10234" s="9">
        <f t="shared" si="51"/>
        <v>24.363899823501406</v>
      </c>
    </row>
    <row r="10235" spans="1:11" x14ac:dyDescent="0.15">
      <c r="A10235" s="3">
        <f t="shared" si="52"/>
        <v>234</v>
      </c>
      <c r="B10235" s="3">
        <f t="shared" si="40"/>
        <v>13.183221215612901</v>
      </c>
      <c r="C10235" s="3">
        <f t="shared" si="41"/>
        <v>9.8647450843757891</v>
      </c>
      <c r="F10235" s="9">
        <f t="shared" si="46"/>
        <v>357.6</v>
      </c>
      <c r="G10235" s="9">
        <f t="shared" si="47"/>
        <v>24.997368490296576</v>
      </c>
      <c r="H10235" s="9">
        <f t="shared" si="48"/>
        <v>21.874373038812404</v>
      </c>
      <c r="I10235" s="9">
        <f t="shared" si="49"/>
        <v>20.5</v>
      </c>
      <c r="J10235" s="9">
        <f t="shared" si="50"/>
        <v>28.322537277426683</v>
      </c>
      <c r="K10235" s="9">
        <f t="shared" si="51"/>
        <v>24.363899823501406</v>
      </c>
    </row>
    <row r="10236" spans="1:11" x14ac:dyDescent="0.15">
      <c r="A10236" s="3">
        <f t="shared" si="52"/>
        <v>235</v>
      </c>
      <c r="B10236" s="3">
        <f t="shared" si="40"/>
        <v>13.396353454734305</v>
      </c>
      <c r="C10236" s="3">
        <f t="shared" si="41"/>
        <v>9.7127193356651258</v>
      </c>
      <c r="F10236" s="9">
        <f t="shared" si="46"/>
        <v>357.6</v>
      </c>
      <c r="G10236" s="9">
        <f t="shared" si="47"/>
        <v>24.997368490296576</v>
      </c>
      <c r="H10236" s="9">
        <f t="shared" si="48"/>
        <v>21.874373038812404</v>
      </c>
      <c r="I10236" s="9">
        <f t="shared" si="49"/>
        <v>20.5</v>
      </c>
      <c r="J10236" s="9">
        <f t="shared" si="50"/>
        <v>28.322537277426683</v>
      </c>
      <c r="K10236" s="9">
        <f t="shared" si="51"/>
        <v>24.363899823501406</v>
      </c>
    </row>
    <row r="10237" spans="1:11" x14ac:dyDescent="0.15">
      <c r="A10237" s="3">
        <f t="shared" si="52"/>
        <v>236</v>
      </c>
      <c r="B10237" s="3">
        <f t="shared" si="40"/>
        <v>13.612106447938791</v>
      </c>
      <c r="C10237" s="3">
        <f t="shared" si="41"/>
        <v>9.5644364116743787</v>
      </c>
      <c r="F10237" s="9">
        <f t="shared" si="46"/>
        <v>357.6</v>
      </c>
      <c r="G10237" s="9">
        <f t="shared" si="47"/>
        <v>24.997368490296576</v>
      </c>
      <c r="H10237" s="9">
        <f t="shared" si="48"/>
        <v>21.874373038812404</v>
      </c>
      <c r="I10237" s="9">
        <f t="shared" si="49"/>
        <v>20.5</v>
      </c>
      <c r="J10237" s="9">
        <f t="shared" si="50"/>
        <v>28.322537277426683</v>
      </c>
      <c r="K10237" s="9">
        <f t="shared" si="51"/>
        <v>24.363899823501406</v>
      </c>
    </row>
    <row r="10238" spans="1:11" x14ac:dyDescent="0.15">
      <c r="A10238" s="3">
        <f t="shared" si="52"/>
        <v>237</v>
      </c>
      <c r="B10238" s="3">
        <f t="shared" si="40"/>
        <v>13.830414474774596</v>
      </c>
      <c r="C10238" s="3">
        <f t="shared" si="41"/>
        <v>9.4199414808186397</v>
      </c>
      <c r="F10238" s="9">
        <f t="shared" si="46"/>
        <v>357.6</v>
      </c>
      <c r="G10238" s="9">
        <f t="shared" si="47"/>
        <v>24.997368490296576</v>
      </c>
      <c r="H10238" s="9">
        <f t="shared" si="48"/>
        <v>21.874373038812404</v>
      </c>
      <c r="I10238" s="9">
        <f t="shared" si="49"/>
        <v>20.5</v>
      </c>
      <c r="J10238" s="9">
        <f t="shared" si="50"/>
        <v>28.322537277426683</v>
      </c>
      <c r="K10238" s="9">
        <f t="shared" si="51"/>
        <v>24.363899823501406</v>
      </c>
    </row>
    <row r="10239" spans="1:11" x14ac:dyDescent="0.15">
      <c r="A10239" s="3">
        <f t="shared" si="52"/>
        <v>238</v>
      </c>
      <c r="B10239" s="3">
        <f t="shared" si="40"/>
        <v>14.051211036501925</v>
      </c>
      <c r="C10239" s="3">
        <f t="shared" si="41"/>
        <v>9.2792785576536101</v>
      </c>
      <c r="F10239" s="9">
        <f t="shared" si="46"/>
        <v>357.6</v>
      </c>
      <c r="G10239" s="9">
        <f t="shared" si="47"/>
        <v>24.997368490296576</v>
      </c>
      <c r="H10239" s="9">
        <f t="shared" si="48"/>
        <v>21.874373038812404</v>
      </c>
      <c r="I10239" s="9">
        <f t="shared" si="49"/>
        <v>20.5</v>
      </c>
      <c r="J10239" s="9">
        <f t="shared" si="50"/>
        <v>28.322537277426683</v>
      </c>
      <c r="K10239" s="9">
        <f t="shared" si="51"/>
        <v>24.363899823501406</v>
      </c>
    </row>
    <row r="10240" spans="1:11" x14ac:dyDescent="0.15">
      <c r="A10240" s="3">
        <f t="shared" si="52"/>
        <v>239</v>
      </c>
      <c r="B10240" s="3">
        <f t="shared" si="40"/>
        <v>14.274428876349184</v>
      </c>
      <c r="C10240" s="3">
        <f t="shared" si="41"/>
        <v>9.1424904894683188</v>
      </c>
      <c r="F10240" s="9">
        <f t="shared" si="46"/>
        <v>357.6</v>
      </c>
      <c r="G10240" s="9">
        <f t="shared" si="47"/>
        <v>24.997368490296576</v>
      </c>
      <c r="H10240" s="9">
        <f t="shared" si="48"/>
        <v>21.874373038812404</v>
      </c>
      <c r="I10240" s="9">
        <f t="shared" si="49"/>
        <v>20.5</v>
      </c>
      <c r="J10240" s="9">
        <f t="shared" si="50"/>
        <v>28.322537277426683</v>
      </c>
      <c r="K10240" s="9">
        <f t="shared" si="51"/>
        <v>24.363899823501406</v>
      </c>
    </row>
    <row r="10241" spans="1:11" x14ac:dyDescent="0.15">
      <c r="A10241" s="3">
        <f t="shared" si="52"/>
        <v>240</v>
      </c>
      <c r="B10241" s="3">
        <f t="shared" si="40"/>
        <v>14.499999999999993</v>
      </c>
      <c r="C10241" s="3">
        <f t="shared" si="41"/>
        <v>9.0096189432334235</v>
      </c>
      <c r="F10241" s="9">
        <f t="shared" si="46"/>
        <v>357.6</v>
      </c>
      <c r="G10241" s="9">
        <f t="shared" si="47"/>
        <v>24.997368490296576</v>
      </c>
      <c r="H10241" s="9">
        <f t="shared" si="48"/>
        <v>21.874373038812404</v>
      </c>
      <c r="I10241" s="9">
        <f t="shared" si="49"/>
        <v>20.5</v>
      </c>
      <c r="J10241" s="9">
        <f t="shared" si="50"/>
        <v>28.322537277426683</v>
      </c>
      <c r="K10241" s="9">
        <f t="shared" si="51"/>
        <v>24.363899823501406</v>
      </c>
    </row>
    <row r="10242" spans="1:11" x14ac:dyDescent="0.15">
      <c r="A10242" s="3">
        <f t="shared" si="52"/>
        <v>241</v>
      </c>
      <c r="B10242" s="3">
        <f t="shared" si="40"/>
        <v>14.727855696304935</v>
      </c>
      <c r="C10242" s="3">
        <f t="shared" si="41"/>
        <v>8.8807043929090668</v>
      </c>
      <c r="F10242" s="9">
        <f t="shared" ref="F10242:F10273" si="53">MOD(F10241-$E$10006*$H$10207,360)</f>
        <v>357.6</v>
      </c>
      <c r="G10242" s="9">
        <f t="shared" si="47"/>
        <v>24.997368490296576</v>
      </c>
      <c r="H10242" s="9">
        <f t="shared" si="48"/>
        <v>21.874373038812404</v>
      </c>
      <c r="I10242" s="9">
        <f t="shared" ref="I10242:I10273" si="54">MOD(I10241-$E$10006*$K$10207,360)</f>
        <v>20.5</v>
      </c>
      <c r="J10242" s="9">
        <f t="shared" si="50"/>
        <v>28.322537277426683</v>
      </c>
      <c r="K10242" s="9">
        <f t="shared" si="51"/>
        <v>24.363899823501406</v>
      </c>
    </row>
    <row r="10243" spans="1:11" x14ac:dyDescent="0.15">
      <c r="A10243" s="3">
        <f t="shared" si="52"/>
        <v>242</v>
      </c>
      <c r="B10243" s="3">
        <f t="shared" si="40"/>
        <v>14.957926558211639</v>
      </c>
      <c r="C10243" s="3">
        <f t="shared" si="41"/>
        <v>8.7557861071160943</v>
      </c>
      <c r="F10243" s="9">
        <f t="shared" si="53"/>
        <v>357.6</v>
      </c>
      <c r="G10243" s="9">
        <f t="shared" si="47"/>
        <v>24.997368490296576</v>
      </c>
      <c r="H10243" s="9">
        <f t="shared" si="48"/>
        <v>21.874373038812404</v>
      </c>
      <c r="I10243" s="9">
        <f t="shared" si="54"/>
        <v>20.5</v>
      </c>
      <c r="J10243" s="9">
        <f t="shared" si="50"/>
        <v>28.322537277426683</v>
      </c>
      <c r="K10243" s="9">
        <f t="shared" si="51"/>
        <v>24.363899823501406</v>
      </c>
    </row>
    <row r="10244" spans="1:11" x14ac:dyDescent="0.15">
      <c r="A10244" s="3">
        <f t="shared" si="52"/>
        <v>243</v>
      </c>
      <c r="B10244" s="3">
        <f t="shared" si="40"/>
        <v>15.190142503906795</v>
      </c>
      <c r="C10244" s="3">
        <f t="shared" si="41"/>
        <v>8.6349021371744836</v>
      </c>
      <c r="F10244" s="9">
        <f t="shared" si="53"/>
        <v>357.6</v>
      </c>
      <c r="G10244" s="9">
        <f t="shared" si="47"/>
        <v>24.997368490296576</v>
      </c>
      <c r="H10244" s="9">
        <f t="shared" si="48"/>
        <v>21.874373038812404</v>
      </c>
      <c r="I10244" s="9">
        <f t="shared" si="54"/>
        <v>20.5</v>
      </c>
      <c r="J10244" s="9">
        <f t="shared" si="50"/>
        <v>28.322537277426683</v>
      </c>
      <c r="K10244" s="9">
        <f t="shared" si="51"/>
        <v>24.363899823501406</v>
      </c>
    </row>
    <row r="10245" spans="1:11" x14ac:dyDescent="0.15">
      <c r="A10245" s="3">
        <f t="shared" si="52"/>
        <v>244</v>
      </c>
      <c r="B10245" s="3">
        <f t="shared" si="40"/>
        <v>15.424432798163835</v>
      </c>
      <c r="C10245" s="3">
        <f t="shared" si="41"/>
        <v>8.5180893055124969</v>
      </c>
      <c r="F10245" s="9">
        <f t="shared" si="53"/>
        <v>357.6</v>
      </c>
      <c r="G10245" s="9">
        <f t="shared" si="47"/>
        <v>24.997368490296576</v>
      </c>
      <c r="H10245" s="9">
        <f t="shared" si="48"/>
        <v>21.874373038812404</v>
      </c>
      <c r="I10245" s="9">
        <f t="shared" si="54"/>
        <v>20.5</v>
      </c>
      <c r="J10245" s="9">
        <f t="shared" si="50"/>
        <v>28.322537277426683</v>
      </c>
      <c r="K10245" s="9">
        <f t="shared" si="51"/>
        <v>24.363899823501406</v>
      </c>
    </row>
    <row r="10246" spans="1:11" x14ac:dyDescent="0.15">
      <c r="A10246" s="3">
        <f t="shared" si="52"/>
        <v>245</v>
      </c>
      <c r="B10246" s="3">
        <f t="shared" si="40"/>
        <v>15.660726073889514</v>
      </c>
      <c r="C10246" s="3">
        <f t="shared" si="41"/>
        <v>8.4053831944502484</v>
      </c>
      <c r="F10246" s="9">
        <f t="shared" si="53"/>
        <v>357.6</v>
      </c>
      <c r="G10246" s="9">
        <f t="shared" si="47"/>
        <v>24.997368490296576</v>
      </c>
      <c r="H10246" s="9">
        <f t="shared" si="48"/>
        <v>21.874373038812404</v>
      </c>
      <c r="I10246" s="9">
        <f t="shared" si="54"/>
        <v>20.5</v>
      </c>
      <c r="J10246" s="9">
        <f t="shared" si="50"/>
        <v>28.322537277426683</v>
      </c>
      <c r="K10246" s="9">
        <f t="shared" si="51"/>
        <v>24.363899823501406</v>
      </c>
    </row>
    <row r="10247" spans="1:11" x14ac:dyDescent="0.15">
      <c r="A10247" s="3">
        <f t="shared" si="52"/>
        <v>246</v>
      </c>
      <c r="B10247" s="3">
        <f t="shared" si="40"/>
        <v>15.898950353862999</v>
      </c>
      <c r="C10247" s="3">
        <f t="shared" si="41"/>
        <v>8.2968181353609847</v>
      </c>
      <c r="F10247" s="9">
        <f t="shared" si="53"/>
        <v>357.6</v>
      </c>
      <c r="G10247" s="9">
        <f t="shared" si="47"/>
        <v>24.997368490296576</v>
      </c>
      <c r="H10247" s="9">
        <f t="shared" si="48"/>
        <v>21.874373038812404</v>
      </c>
      <c r="I10247" s="9">
        <f t="shared" si="54"/>
        <v>20.5</v>
      </c>
      <c r="J10247" s="9">
        <f t="shared" si="50"/>
        <v>28.322537277426683</v>
      </c>
      <c r="K10247" s="9">
        <f t="shared" si="51"/>
        <v>24.363899823501406</v>
      </c>
    </row>
    <row r="10248" spans="1:11" x14ac:dyDescent="0.15">
      <c r="A10248" s="3">
        <f t="shared" si="52"/>
        <v>247</v>
      </c>
      <c r="B10248" s="3">
        <f t="shared" si="40"/>
        <v>16.139033072660894</v>
      </c>
      <c r="C10248" s="3">
        <f t="shared" si="41"/>
        <v>8.1924271982133963</v>
      </c>
      <c r="F10248" s="9">
        <f t="shared" si="53"/>
        <v>357.6</v>
      </c>
      <c r="G10248" s="9">
        <f t="shared" si="47"/>
        <v>24.997368490296576</v>
      </c>
      <c r="H10248" s="9">
        <f t="shared" si="48"/>
        <v>21.874373038812404</v>
      </c>
      <c r="I10248" s="9">
        <f t="shared" si="54"/>
        <v>20.5</v>
      </c>
      <c r="J10248" s="9">
        <f t="shared" si="50"/>
        <v>28.322537277426683</v>
      </c>
      <c r="K10248" s="9">
        <f t="shared" si="51"/>
        <v>24.363899823501406</v>
      </c>
    </row>
    <row r="10249" spans="1:11" x14ac:dyDescent="0.15">
      <c r="A10249" s="3">
        <f t="shared" si="52"/>
        <v>248</v>
      </c>
      <c r="B10249" s="3">
        <f t="shared" si="40"/>
        <v>16.380901098761314</v>
      </c>
      <c r="C10249" s="3">
        <f t="shared" si="41"/>
        <v>8.0922421814981895</v>
      </c>
      <c r="F10249" s="9">
        <f t="shared" si="53"/>
        <v>357.6</v>
      </c>
      <c r="G10249" s="9">
        <f t="shared" si="47"/>
        <v>24.997368490296576</v>
      </c>
      <c r="H10249" s="9">
        <f t="shared" si="48"/>
        <v>21.874373038812404</v>
      </c>
      <c r="I10249" s="9">
        <f t="shared" si="54"/>
        <v>20.5</v>
      </c>
      <c r="J10249" s="9">
        <f t="shared" si="50"/>
        <v>28.322537277426683</v>
      </c>
      <c r="K10249" s="9">
        <f t="shared" si="51"/>
        <v>24.363899823501406</v>
      </c>
    </row>
    <row r="10250" spans="1:11" x14ac:dyDescent="0.15">
      <c r="A10250" s="3">
        <f t="shared" si="52"/>
        <v>249</v>
      </c>
      <c r="B10250" s="3">
        <f t="shared" si="40"/>
        <v>16.624480756820489</v>
      </c>
      <c r="C10250" s="3">
        <f t="shared" si="41"/>
        <v>7.9962936025419751</v>
      </c>
      <c r="F10250" s="9">
        <f t="shared" si="53"/>
        <v>357.6</v>
      </c>
      <c r="G10250" s="9">
        <f t="shared" si="47"/>
        <v>24.997368490296576</v>
      </c>
      <c r="H10250" s="9">
        <f t="shared" si="48"/>
        <v>21.874373038812404</v>
      </c>
      <c r="I10250" s="9">
        <f t="shared" si="54"/>
        <v>20.5</v>
      </c>
      <c r="J10250" s="9">
        <f t="shared" si="50"/>
        <v>28.322537277426683</v>
      </c>
      <c r="K10250" s="9">
        <f t="shared" si="51"/>
        <v>24.363899823501406</v>
      </c>
    </row>
    <row r="10251" spans="1:11" x14ac:dyDescent="0.15">
      <c r="A10251" s="3">
        <f t="shared" si="52"/>
        <v>250</v>
      </c>
      <c r="B10251" s="3">
        <f t="shared" si="40"/>
        <v>16.86969785011496</v>
      </c>
      <c r="C10251" s="3">
        <f t="shared" si="41"/>
        <v>7.9046106882113776</v>
      </c>
      <c r="F10251" s="9">
        <f t="shared" si="53"/>
        <v>357.6</v>
      </c>
      <c r="G10251" s="9">
        <f t="shared" si="47"/>
        <v>24.997368490296576</v>
      </c>
      <c r="H10251" s="9">
        <f t="shared" si="48"/>
        <v>21.874373038812404</v>
      </c>
      <c r="I10251" s="9">
        <f t="shared" si="54"/>
        <v>20.5</v>
      </c>
      <c r="J10251" s="9">
        <f t="shared" si="50"/>
        <v>28.322537277426683</v>
      </c>
      <c r="K10251" s="9">
        <f t="shared" si="51"/>
        <v>24.363899823501406</v>
      </c>
    </row>
    <row r="10252" spans="1:11" x14ac:dyDescent="0.15">
      <c r="A10252" s="3">
        <f t="shared" si="52"/>
        <v>251</v>
      </c>
      <c r="B10252" s="3">
        <f t="shared" si="40"/>
        <v>17.116477683142652</v>
      </c>
      <c r="C10252" s="3">
        <f t="shared" si="41"/>
        <v>7.8172213660102479</v>
      </c>
      <c r="F10252" s="9">
        <f t="shared" si="53"/>
        <v>357.6</v>
      </c>
      <c r="G10252" s="9">
        <f t="shared" si="47"/>
        <v>24.997368490296576</v>
      </c>
      <c r="H10252" s="9">
        <f t="shared" si="48"/>
        <v>21.874373038812404</v>
      </c>
      <c r="I10252" s="9">
        <f t="shared" si="54"/>
        <v>20.5</v>
      </c>
      <c r="J10252" s="9">
        <f t="shared" si="50"/>
        <v>28.322537277426683</v>
      </c>
      <c r="K10252" s="9">
        <f t="shared" si="51"/>
        <v>24.363899823501406</v>
      </c>
    </row>
    <row r="10253" spans="1:11" x14ac:dyDescent="0.15">
      <c r="A10253" s="3">
        <f t="shared" si="52"/>
        <v>252</v>
      </c>
      <c r="B10253" s="3">
        <f t="shared" si="40"/>
        <v>17.364745084375787</v>
      </c>
      <c r="C10253" s="3">
        <f t="shared" si="41"/>
        <v>7.7341522555726971</v>
      </c>
      <c r="F10253" s="9">
        <f t="shared" si="53"/>
        <v>357.6</v>
      </c>
      <c r="G10253" s="9">
        <f t="shared" si="47"/>
        <v>24.997368490296576</v>
      </c>
      <c r="H10253" s="9">
        <f t="shared" si="48"/>
        <v>21.874373038812404</v>
      </c>
      <c r="I10253" s="9">
        <f t="shared" si="54"/>
        <v>20.5</v>
      </c>
      <c r="J10253" s="9">
        <f t="shared" si="50"/>
        <v>28.322537277426683</v>
      </c>
      <c r="K10253" s="9">
        <f t="shared" si="51"/>
        <v>24.363899823501406</v>
      </c>
    </row>
    <row r="10254" spans="1:11" x14ac:dyDescent="0.15">
      <c r="A10254" s="3">
        <f t="shared" si="52"/>
        <v>253</v>
      </c>
      <c r="B10254" s="3">
        <f t="shared" si="40"/>
        <v>17.614424429158944</v>
      </c>
      <c r="C10254" s="3">
        <f t="shared" si="41"/>
        <v>7.6554286605544704</v>
      </c>
      <c r="F10254" s="9">
        <f t="shared" si="53"/>
        <v>357.6</v>
      </c>
      <c r="G10254" s="9">
        <f t="shared" si="47"/>
        <v>24.997368490296576</v>
      </c>
      <c r="H10254" s="9">
        <f t="shared" si="48"/>
        <v>21.874373038812404</v>
      </c>
      <c r="I10254" s="9">
        <f t="shared" si="54"/>
        <v>20.5</v>
      </c>
      <c r="J10254" s="9">
        <f t="shared" si="50"/>
        <v>28.322537277426683</v>
      </c>
      <c r="K10254" s="9">
        <f t="shared" si="51"/>
        <v>24.363899823501406</v>
      </c>
    </row>
    <row r="10255" spans="1:11" x14ac:dyDescent="0.15">
      <c r="A10255" s="3">
        <f t="shared" si="52"/>
        <v>254</v>
      </c>
      <c r="B10255" s="3">
        <f t="shared" si="40"/>
        <v>17.865439662745018</v>
      </c>
      <c r="C10255" s="3">
        <f t="shared" si="41"/>
        <v>7.5810745609252148</v>
      </c>
      <c r="F10255" s="9">
        <f t="shared" si="53"/>
        <v>357.6</v>
      </c>
      <c r="G10255" s="9">
        <f t="shared" si="47"/>
        <v>24.997368490296576</v>
      </c>
      <c r="H10255" s="9">
        <f t="shared" si="48"/>
        <v>21.874373038812404</v>
      </c>
      <c r="I10255" s="9">
        <f t="shared" si="54"/>
        <v>20.5</v>
      </c>
      <c r="J10255" s="9">
        <f t="shared" si="50"/>
        <v>28.322537277426683</v>
      </c>
      <c r="K10255" s="9">
        <f t="shared" si="51"/>
        <v>24.363899823501406</v>
      </c>
    </row>
    <row r="10256" spans="1:11" x14ac:dyDescent="0.15">
      <c r="A10256" s="3">
        <f t="shared" si="52"/>
        <v>255</v>
      </c>
      <c r="B10256" s="3">
        <f t="shared" si="40"/>
        <v>18.117714323462192</v>
      </c>
      <c r="C10256" s="3">
        <f t="shared" si="41"/>
        <v>7.5111126056639748</v>
      </c>
      <c r="F10256" s="9">
        <f t="shared" si="53"/>
        <v>357.6</v>
      </c>
      <c r="G10256" s="9">
        <f t="shared" si="47"/>
        <v>24.997368490296576</v>
      </c>
      <c r="H10256" s="9">
        <f t="shared" si="48"/>
        <v>21.874373038812404</v>
      </c>
      <c r="I10256" s="9">
        <f t="shared" si="54"/>
        <v>20.5</v>
      </c>
      <c r="J10256" s="9">
        <f t="shared" si="50"/>
        <v>28.322537277426683</v>
      </c>
      <c r="K10256" s="9">
        <f t="shared" si="51"/>
        <v>24.363899823501406</v>
      </c>
    </row>
    <row r="10257" spans="1:11" x14ac:dyDescent="0.15">
      <c r="A10257" s="3">
        <f t="shared" si="52"/>
        <v>256</v>
      </c>
      <c r="B10257" s="3">
        <f t="shared" ref="B10257:B10320" si="55">COS(A10257/180*PI())*$E$10001+$E$10002</f>
        <v>18.371171566004982</v>
      </c>
      <c r="C10257" s="3">
        <f t="shared" ref="C10257:C10320" si="56">SIN(A10257/180*PI())*$E$10001+$E$10003</f>
        <v>7.4455641058600524</v>
      </c>
      <c r="F10257" s="9">
        <f t="shared" si="53"/>
        <v>357.6</v>
      </c>
      <c r="G10257" s="9">
        <f t="shared" si="47"/>
        <v>24.997368490296576</v>
      </c>
      <c r="H10257" s="9">
        <f t="shared" si="48"/>
        <v>21.874373038812404</v>
      </c>
      <c r="I10257" s="9">
        <f t="shared" si="54"/>
        <v>20.5</v>
      </c>
      <c r="J10257" s="9">
        <f t="shared" si="50"/>
        <v>28.322537277426683</v>
      </c>
      <c r="K10257" s="9">
        <f t="shared" si="51"/>
        <v>24.363899823501406</v>
      </c>
    </row>
    <row r="10258" spans="1:11" x14ac:dyDescent="0.15">
      <c r="A10258" s="3">
        <f t="shared" si="52"/>
        <v>257</v>
      </c>
      <c r="B10258" s="3">
        <f t="shared" si="55"/>
        <v>18.62573418484202</v>
      </c>
      <c r="C10258" s="3">
        <f t="shared" si="56"/>
        <v>7.3844490282214732</v>
      </c>
      <c r="F10258" s="9">
        <f t="shared" si="53"/>
        <v>357.6</v>
      </c>
      <c r="G10258" s="9">
        <f t="shared" si="47"/>
        <v>24.997368490296576</v>
      </c>
      <c r="H10258" s="9">
        <f t="shared" si="48"/>
        <v>21.874373038812404</v>
      </c>
      <c r="I10258" s="9">
        <f t="shared" si="54"/>
        <v>20.5</v>
      </c>
      <c r="J10258" s="9">
        <f t="shared" si="50"/>
        <v>28.322537277426683</v>
      </c>
      <c r="K10258" s="9">
        <f t="shared" si="51"/>
        <v>24.363899823501406</v>
      </c>
    </row>
    <row r="10259" spans="1:11" x14ac:dyDescent="0.15">
      <c r="A10259" s="3">
        <f t="shared" si="52"/>
        <v>258</v>
      </c>
      <c r="B10259" s="3">
        <f t="shared" si="55"/>
        <v>18.881324637733602</v>
      </c>
      <c r="C10259" s="3">
        <f t="shared" si="56"/>
        <v>7.3277859889929164</v>
      </c>
      <c r="F10259" s="9">
        <f t="shared" si="53"/>
        <v>357.6</v>
      </c>
      <c r="G10259" s="9">
        <f t="shared" si="47"/>
        <v>24.997368490296576</v>
      </c>
      <c r="H10259" s="9">
        <f t="shared" si="48"/>
        <v>21.874373038812404</v>
      </c>
      <c r="I10259" s="9">
        <f t="shared" si="54"/>
        <v>20.5</v>
      </c>
      <c r="J10259" s="9">
        <f t="shared" si="50"/>
        <v>28.322537277426683</v>
      </c>
      <c r="K10259" s="9">
        <f t="shared" si="51"/>
        <v>24.363899823501406</v>
      </c>
    </row>
    <row r="10260" spans="1:11" x14ac:dyDescent="0.15">
      <c r="A10260" s="3">
        <f t="shared" si="52"/>
        <v>259</v>
      </c>
      <c r="B10260" s="3">
        <f t="shared" si="55"/>
        <v>19.137865069351832</v>
      </c>
      <c r="C10260" s="3">
        <f t="shared" si="56"/>
        <v>7.2755922482850401</v>
      </c>
      <c r="F10260" s="9">
        <f t="shared" si="53"/>
        <v>357.6</v>
      </c>
      <c r="G10260" s="9">
        <f t="shared" si="47"/>
        <v>24.997368490296576</v>
      </c>
      <c r="H10260" s="9">
        <f t="shared" si="48"/>
        <v>21.874373038812404</v>
      </c>
      <c r="I10260" s="9">
        <f t="shared" si="54"/>
        <v>20.5</v>
      </c>
      <c r="J10260" s="9">
        <f t="shared" si="50"/>
        <v>28.322537277426683</v>
      </c>
      <c r="K10260" s="9">
        <f t="shared" si="51"/>
        <v>24.363899823501406</v>
      </c>
    </row>
    <row r="10261" spans="1:11" x14ac:dyDescent="0.15">
      <c r="A10261" s="3">
        <f t="shared" si="52"/>
        <v>260</v>
      </c>
      <c r="B10261" s="3">
        <f t="shared" si="55"/>
        <v>19.395277334996045</v>
      </c>
      <c r="C10261" s="3">
        <f t="shared" si="56"/>
        <v>7.2278837048168789</v>
      </c>
      <c r="F10261" s="9">
        <f t="shared" si="53"/>
        <v>357.6</v>
      </c>
      <c r="G10261" s="9">
        <f t="shared" si="47"/>
        <v>24.997368490296576</v>
      </c>
      <c r="H10261" s="9">
        <f t="shared" si="48"/>
        <v>21.874373038812404</v>
      </c>
      <c r="I10261" s="9">
        <f t="shared" si="54"/>
        <v>20.5</v>
      </c>
      <c r="J10261" s="9">
        <f t="shared" si="50"/>
        <v>28.322537277426683</v>
      </c>
      <c r="K10261" s="9">
        <f t="shared" si="51"/>
        <v>24.363899823501406</v>
      </c>
    </row>
    <row r="10262" spans="1:11" x14ac:dyDescent="0.15">
      <c r="A10262" s="3">
        <f t="shared" si="52"/>
        <v>261</v>
      </c>
      <c r="B10262" s="3">
        <f t="shared" si="55"/>
        <v>19.653483024396536</v>
      </c>
      <c r="C10262" s="3">
        <f t="shared" si="56"/>
        <v>7.1846748910729357</v>
      </c>
      <c r="F10262" s="9">
        <f t="shared" si="53"/>
        <v>357.6</v>
      </c>
      <c r="G10262" s="9">
        <f t="shared" si="47"/>
        <v>24.997368490296576</v>
      </c>
      <c r="H10262" s="9">
        <f t="shared" si="48"/>
        <v>21.874373038812404</v>
      </c>
      <c r="I10262" s="9">
        <f t="shared" si="54"/>
        <v>20.5</v>
      </c>
      <c r="J10262" s="9">
        <f t="shared" si="50"/>
        <v>28.322537277426683</v>
      </c>
      <c r="K10262" s="9">
        <f t="shared" si="51"/>
        <v>24.363899823501406</v>
      </c>
    </row>
    <row r="10263" spans="1:11" x14ac:dyDescent="0.15">
      <c r="A10263" s="3">
        <f t="shared" si="52"/>
        <v>262</v>
      </c>
      <c r="B10263" s="3">
        <f t="shared" si="55"/>
        <v>19.912403485599011</v>
      </c>
      <c r="C10263" s="3">
        <f t="shared" si="56"/>
        <v>7.145978968876447</v>
      </c>
      <c r="F10263" s="9">
        <f t="shared" si="53"/>
        <v>357.6</v>
      </c>
      <c r="G10263" s="9">
        <f t="shared" si="47"/>
        <v>24.997368490296576</v>
      </c>
      <c r="H10263" s="9">
        <f t="shared" si="48"/>
        <v>21.874373038812404</v>
      </c>
      <c r="I10263" s="9">
        <f t="shared" si="54"/>
        <v>20.5</v>
      </c>
      <c r="J10263" s="9">
        <f t="shared" si="50"/>
        <v>28.322537277426683</v>
      </c>
      <c r="K10263" s="9">
        <f t="shared" si="51"/>
        <v>24.363899823501406</v>
      </c>
    </row>
    <row r="10264" spans="1:11" x14ac:dyDescent="0.15">
      <c r="A10264" s="3">
        <f t="shared" si="52"/>
        <v>263</v>
      </c>
      <c r="B10264" s="3">
        <f t="shared" si="55"/>
        <v>20.171959848922778</v>
      </c>
      <c r="C10264" s="3">
        <f t="shared" si="56"/>
        <v>7.1118077253801708</v>
      </c>
      <c r="F10264" s="9">
        <f t="shared" si="53"/>
        <v>357.6</v>
      </c>
      <c r="G10264" s="9">
        <f t="shared" si="47"/>
        <v>24.997368490296576</v>
      </c>
      <c r="H10264" s="9">
        <f t="shared" si="48"/>
        <v>21.874373038812404</v>
      </c>
      <c r="I10264" s="9">
        <f t="shared" si="54"/>
        <v>20.5</v>
      </c>
      <c r="J10264" s="9">
        <f t="shared" si="50"/>
        <v>28.322537277426683</v>
      </c>
      <c r="K10264" s="9">
        <f t="shared" si="51"/>
        <v>24.363899823501406</v>
      </c>
    </row>
    <row r="10265" spans="1:11" x14ac:dyDescent="0.15">
      <c r="A10265" s="3">
        <f t="shared" si="52"/>
        <v>264</v>
      </c>
      <c r="B10265" s="3">
        <f t="shared" si="55"/>
        <v>20.432073050985185</v>
      </c>
      <c r="C10265" s="3">
        <f t="shared" si="56"/>
        <v>7.0821715694759</v>
      </c>
      <c r="F10265" s="9">
        <f t="shared" si="53"/>
        <v>357.6</v>
      </c>
      <c r="G10265" s="9">
        <f t="shared" si="47"/>
        <v>24.997368490296576</v>
      </c>
      <c r="H10265" s="9">
        <f t="shared" si="48"/>
        <v>21.874373038812404</v>
      </c>
      <c r="I10265" s="9">
        <f t="shared" si="54"/>
        <v>20.5</v>
      </c>
      <c r="J10265" s="9">
        <f t="shared" si="50"/>
        <v>28.322537277426683</v>
      </c>
      <c r="K10265" s="9">
        <f t="shared" si="51"/>
        <v>24.363899823501406</v>
      </c>
    </row>
    <row r="10266" spans="1:11" x14ac:dyDescent="0.15">
      <c r="A10266" s="3">
        <f t="shared" si="52"/>
        <v>265</v>
      </c>
      <c r="B10266" s="3">
        <f t="shared" si="55"/>
        <v>20.692663858785124</v>
      </c>
      <c r="C10266" s="3">
        <f t="shared" si="56"/>
        <v>7.0570795286238166</v>
      </c>
      <c r="F10266" s="9">
        <f t="shared" si="53"/>
        <v>357.6</v>
      </c>
      <c r="G10266" s="9">
        <f t="shared" si="47"/>
        <v>24.997368490296576</v>
      </c>
      <c r="H10266" s="9">
        <f t="shared" si="48"/>
        <v>21.874373038812404</v>
      </c>
      <c r="I10266" s="9">
        <f t="shared" si="54"/>
        <v>20.5</v>
      </c>
      <c r="J10266" s="9">
        <f t="shared" si="50"/>
        <v>28.322537277426683</v>
      </c>
      <c r="K10266" s="9">
        <f t="shared" si="51"/>
        <v>24.363899823501406</v>
      </c>
    </row>
    <row r="10267" spans="1:11" x14ac:dyDescent="0.15">
      <c r="A10267" s="3">
        <f t="shared" si="52"/>
        <v>266</v>
      </c>
      <c r="B10267" s="3">
        <f t="shared" si="55"/>
        <v>20.953652893838118</v>
      </c>
      <c r="C10267" s="3">
        <f t="shared" si="56"/>
        <v>7.0365392461026364</v>
      </c>
      <c r="F10267" s="9">
        <f t="shared" si="53"/>
        <v>357.6</v>
      </c>
      <c r="G10267" s="9">
        <f t="shared" si="47"/>
        <v>24.997368490296576</v>
      </c>
      <c r="H10267" s="9">
        <f t="shared" si="48"/>
        <v>21.874373038812404</v>
      </c>
      <c r="I10267" s="9">
        <f t="shared" si="54"/>
        <v>20.5</v>
      </c>
      <c r="J10267" s="9">
        <f t="shared" si="50"/>
        <v>28.322537277426683</v>
      </c>
      <c r="K10267" s="9">
        <f t="shared" si="51"/>
        <v>24.363899823501406</v>
      </c>
    </row>
    <row r="10268" spans="1:11" x14ac:dyDescent="0.15">
      <c r="A10268" s="3">
        <f t="shared" si="52"/>
        <v>267</v>
      </c>
      <c r="B10268" s="3">
        <f t="shared" si="55"/>
        <v>21.214960656355849</v>
      </c>
      <c r="C10268" s="3">
        <f t="shared" si="56"/>
        <v>7.0205569786813911</v>
      </c>
      <c r="F10268" s="9">
        <f t="shared" si="53"/>
        <v>357.6</v>
      </c>
      <c r="G10268" s="9">
        <f t="shared" si="47"/>
        <v>24.997368490296576</v>
      </c>
      <c r="H10268" s="9">
        <f t="shared" si="48"/>
        <v>21.874373038812404</v>
      </c>
      <c r="I10268" s="9">
        <f t="shared" si="54"/>
        <v>20.5</v>
      </c>
      <c r="J10268" s="9">
        <f t="shared" si="50"/>
        <v>28.322537277426683</v>
      </c>
      <c r="K10268" s="9">
        <f t="shared" si="51"/>
        <v>24.363899823501406</v>
      </c>
    </row>
    <row r="10269" spans="1:11" x14ac:dyDescent="0.15">
      <c r="A10269" s="3">
        <f t="shared" si="52"/>
        <v>268</v>
      </c>
      <c r="B10269" s="3">
        <f t="shared" si="55"/>
        <v>21.47650754946249</v>
      </c>
      <c r="C10269" s="3">
        <f t="shared" si="56"/>
        <v>7.0091375947135628</v>
      </c>
      <c r="F10269" s="9">
        <f t="shared" si="53"/>
        <v>357.6</v>
      </c>
      <c r="G10269" s="9">
        <f t="shared" si="47"/>
        <v>24.997368490296576</v>
      </c>
      <c r="H10269" s="9">
        <f t="shared" si="48"/>
        <v>21.874373038812404</v>
      </c>
      <c r="I10269" s="9">
        <f t="shared" si="54"/>
        <v>20.5</v>
      </c>
      <c r="J10269" s="9">
        <f t="shared" si="50"/>
        <v>28.322537277426683</v>
      </c>
      <c r="K10269" s="9">
        <f t="shared" si="51"/>
        <v>24.363899823501406</v>
      </c>
    </row>
    <row r="10270" spans="1:11" x14ac:dyDescent="0.15">
      <c r="A10270" s="3">
        <f t="shared" si="52"/>
        <v>269</v>
      </c>
      <c r="B10270" s="3">
        <f t="shared" si="55"/>
        <v>21.738213903440748</v>
      </c>
      <c r="C10270" s="3">
        <f t="shared" si="56"/>
        <v>7.0022845726541316</v>
      </c>
      <c r="F10270" s="9">
        <f t="shared" si="53"/>
        <v>357.6</v>
      </c>
      <c r="G10270" s="9">
        <f t="shared" si="47"/>
        <v>24.997368490296576</v>
      </c>
      <c r="H10270" s="9">
        <f t="shared" si="48"/>
        <v>21.874373038812404</v>
      </c>
      <c r="I10270" s="9">
        <f t="shared" si="54"/>
        <v>20.5</v>
      </c>
      <c r="J10270" s="9">
        <f t="shared" si="50"/>
        <v>28.322537277426683</v>
      </c>
      <c r="K10270" s="9">
        <f t="shared" si="51"/>
        <v>24.363899823501406</v>
      </c>
    </row>
    <row r="10271" spans="1:11" x14ac:dyDescent="0.15">
      <c r="A10271" s="3">
        <f t="shared" si="52"/>
        <v>270</v>
      </c>
      <c r="B10271" s="3">
        <f t="shared" si="55"/>
        <v>21.999999999999996</v>
      </c>
      <c r="C10271" s="3">
        <f t="shared" si="56"/>
        <v>7</v>
      </c>
      <c r="F10271" s="9">
        <f t="shared" si="53"/>
        <v>357.6</v>
      </c>
      <c r="G10271" s="9">
        <f t="shared" si="47"/>
        <v>24.997368490296576</v>
      </c>
      <c r="H10271" s="9">
        <f t="shared" si="48"/>
        <v>21.874373038812404</v>
      </c>
      <c r="I10271" s="9">
        <f t="shared" si="54"/>
        <v>20.5</v>
      </c>
      <c r="J10271" s="9">
        <f t="shared" si="50"/>
        <v>28.322537277426683</v>
      </c>
      <c r="K10271" s="9">
        <f t="shared" si="51"/>
        <v>24.363899823501406</v>
      </c>
    </row>
    <row r="10272" spans="1:11" x14ac:dyDescent="0.15">
      <c r="A10272" s="3">
        <f t="shared" si="52"/>
        <v>271</v>
      </c>
      <c r="B10272" s="3">
        <f t="shared" si="55"/>
        <v>22.261786096559248</v>
      </c>
      <c r="C10272" s="3">
        <f t="shared" si="56"/>
        <v>7.0022845726541316</v>
      </c>
      <c r="F10272" s="9">
        <f t="shared" si="53"/>
        <v>357.6</v>
      </c>
      <c r="G10272" s="9">
        <f t="shared" si="47"/>
        <v>24.997368490296576</v>
      </c>
      <c r="H10272" s="9">
        <f t="shared" si="48"/>
        <v>21.874373038812404</v>
      </c>
      <c r="I10272" s="9">
        <f t="shared" si="54"/>
        <v>20.5</v>
      </c>
      <c r="J10272" s="9">
        <f t="shared" si="50"/>
        <v>28.322537277426683</v>
      </c>
      <c r="K10272" s="9">
        <f t="shared" si="51"/>
        <v>24.363899823501406</v>
      </c>
    </row>
    <row r="10273" spans="1:11" x14ac:dyDescent="0.15">
      <c r="A10273" s="3">
        <f t="shared" si="52"/>
        <v>272</v>
      </c>
      <c r="B10273" s="3">
        <f t="shared" si="55"/>
        <v>22.523492450537507</v>
      </c>
      <c r="C10273" s="3">
        <f t="shared" si="56"/>
        <v>7.0091375947135628</v>
      </c>
      <c r="F10273" s="9">
        <f t="shared" si="53"/>
        <v>357.6</v>
      </c>
      <c r="G10273" s="9">
        <f t="shared" si="47"/>
        <v>24.997368490296576</v>
      </c>
      <c r="H10273" s="9">
        <f t="shared" si="48"/>
        <v>21.874373038812404</v>
      </c>
      <c r="I10273" s="9">
        <f t="shared" si="54"/>
        <v>20.5</v>
      </c>
      <c r="J10273" s="9">
        <f t="shared" si="50"/>
        <v>28.322537277426683</v>
      </c>
      <c r="K10273" s="9">
        <f t="shared" si="51"/>
        <v>24.363899823501406</v>
      </c>
    </row>
    <row r="10274" spans="1:11" x14ac:dyDescent="0.15">
      <c r="A10274" s="3">
        <f t="shared" si="52"/>
        <v>273</v>
      </c>
      <c r="B10274" s="3">
        <f t="shared" si="55"/>
        <v>22.785039343644147</v>
      </c>
      <c r="C10274" s="3">
        <f t="shared" si="56"/>
        <v>7.0205569786813911</v>
      </c>
      <c r="F10274" s="9">
        <f t="shared" ref="F10274:F10305" si="57">MOD(F10273-$E$10006*$H$10207,360)</f>
        <v>357.6</v>
      </c>
      <c r="G10274" s="9">
        <f t="shared" ref="G10274:G10337" si="58">COS(F10274/180*PI())*$E$10001*$R$10017+$E$10002</f>
        <v>24.997368490296576</v>
      </c>
      <c r="H10274" s="9">
        <f t="shared" ref="H10274:H10337" si="59">SIN(F10274/180*PI())*$E$10001*$R$10017+$E$10003</f>
        <v>21.874373038812404</v>
      </c>
      <c r="I10274" s="9">
        <f t="shared" ref="I10274:I10305" si="60">MOD(I10273-$E$10006*$K$10207,360)</f>
        <v>20.5</v>
      </c>
      <c r="J10274" s="9">
        <f t="shared" ref="J10274:J10337" si="61">COS(I10274/180*PI())*$E$10001*$R$10021+$E$10002</f>
        <v>28.322537277426683</v>
      </c>
      <c r="K10274" s="9">
        <f t="shared" ref="K10274:K10337" si="62">SIN(I10274/180*PI())*$E$10001*$R$10021+$E$10003</f>
        <v>24.363899823501406</v>
      </c>
    </row>
    <row r="10275" spans="1:11" x14ac:dyDescent="0.15">
      <c r="A10275" s="3">
        <f t="shared" si="52"/>
        <v>274</v>
      </c>
      <c r="B10275" s="3">
        <f t="shared" si="55"/>
        <v>23.046347106161878</v>
      </c>
      <c r="C10275" s="3">
        <f t="shared" si="56"/>
        <v>7.0365392461026346</v>
      </c>
      <c r="F10275" s="9">
        <f t="shared" si="57"/>
        <v>357.6</v>
      </c>
      <c r="G10275" s="9">
        <f t="shared" si="58"/>
        <v>24.997368490296576</v>
      </c>
      <c r="H10275" s="9">
        <f t="shared" si="59"/>
        <v>21.874373038812404</v>
      </c>
      <c r="I10275" s="9">
        <f t="shared" si="60"/>
        <v>20.5</v>
      </c>
      <c r="J10275" s="9">
        <f t="shared" si="61"/>
        <v>28.322537277426683</v>
      </c>
      <c r="K10275" s="9">
        <f t="shared" si="62"/>
        <v>24.363899823501406</v>
      </c>
    </row>
    <row r="10276" spans="1:11" x14ac:dyDescent="0.15">
      <c r="A10276" s="3">
        <f t="shared" si="52"/>
        <v>275</v>
      </c>
      <c r="B10276" s="3">
        <f t="shared" si="55"/>
        <v>23.307336141214869</v>
      </c>
      <c r="C10276" s="3">
        <f t="shared" si="56"/>
        <v>7.0570795286238166</v>
      </c>
      <c r="F10276" s="9">
        <f t="shared" si="57"/>
        <v>357.6</v>
      </c>
      <c r="G10276" s="9">
        <f t="shared" si="58"/>
        <v>24.997368490296576</v>
      </c>
      <c r="H10276" s="9">
        <f t="shared" si="59"/>
        <v>21.874373038812404</v>
      </c>
      <c r="I10276" s="9">
        <f t="shared" si="60"/>
        <v>20.5</v>
      </c>
      <c r="J10276" s="9">
        <f t="shared" si="61"/>
        <v>28.322537277426683</v>
      </c>
      <c r="K10276" s="9">
        <f t="shared" si="62"/>
        <v>24.363899823501406</v>
      </c>
    </row>
    <row r="10277" spans="1:11" x14ac:dyDescent="0.15">
      <c r="A10277" s="3">
        <f t="shared" si="52"/>
        <v>276</v>
      </c>
      <c r="B10277" s="3">
        <f t="shared" si="55"/>
        <v>23.567926949014808</v>
      </c>
      <c r="C10277" s="3">
        <f t="shared" si="56"/>
        <v>7.0821715694759</v>
      </c>
      <c r="F10277" s="9">
        <f t="shared" si="57"/>
        <v>357.6</v>
      </c>
      <c r="G10277" s="9">
        <f t="shared" si="58"/>
        <v>24.997368490296576</v>
      </c>
      <c r="H10277" s="9">
        <f t="shared" si="59"/>
        <v>21.874373038812404</v>
      </c>
      <c r="I10277" s="9">
        <f t="shared" si="60"/>
        <v>20.5</v>
      </c>
      <c r="J10277" s="9">
        <f t="shared" si="61"/>
        <v>28.322537277426683</v>
      </c>
      <c r="K10277" s="9">
        <f t="shared" si="62"/>
        <v>24.363899823501406</v>
      </c>
    </row>
    <row r="10278" spans="1:11" x14ac:dyDescent="0.15">
      <c r="A10278" s="3">
        <f t="shared" si="52"/>
        <v>277</v>
      </c>
      <c r="B10278" s="3">
        <f t="shared" si="55"/>
        <v>23.828040151077214</v>
      </c>
      <c r="C10278" s="3">
        <f t="shared" si="56"/>
        <v>7.1118077253801708</v>
      </c>
      <c r="F10278" s="9">
        <f t="shared" si="57"/>
        <v>357.6</v>
      </c>
      <c r="G10278" s="9">
        <f t="shared" si="58"/>
        <v>24.997368490296576</v>
      </c>
      <c r="H10278" s="9">
        <f t="shared" si="59"/>
        <v>21.874373038812404</v>
      </c>
      <c r="I10278" s="9">
        <f t="shared" si="60"/>
        <v>20.5</v>
      </c>
      <c r="J10278" s="9">
        <f t="shared" si="61"/>
        <v>28.322537277426683</v>
      </c>
      <c r="K10278" s="9">
        <f t="shared" si="62"/>
        <v>24.363899823501406</v>
      </c>
    </row>
    <row r="10279" spans="1:11" x14ac:dyDescent="0.15">
      <c r="A10279" s="3">
        <f t="shared" ref="A10279:A10342" si="63">A10278+1</f>
        <v>278</v>
      </c>
      <c r="B10279" s="3">
        <f t="shared" si="55"/>
        <v>24.087596514400982</v>
      </c>
      <c r="C10279" s="3">
        <f t="shared" si="56"/>
        <v>7.1459789688764452</v>
      </c>
      <c r="F10279" s="9">
        <f t="shared" si="57"/>
        <v>357.6</v>
      </c>
      <c r="G10279" s="9">
        <f t="shared" si="58"/>
        <v>24.997368490296576</v>
      </c>
      <c r="H10279" s="9">
        <f t="shared" si="59"/>
        <v>21.874373038812404</v>
      </c>
      <c r="I10279" s="9">
        <f t="shared" si="60"/>
        <v>20.5</v>
      </c>
      <c r="J10279" s="9">
        <f t="shared" si="61"/>
        <v>28.322537277426683</v>
      </c>
      <c r="K10279" s="9">
        <f t="shared" si="62"/>
        <v>24.363899823501406</v>
      </c>
    </row>
    <row r="10280" spans="1:11" x14ac:dyDescent="0.15">
      <c r="A10280" s="3">
        <f t="shared" si="63"/>
        <v>279</v>
      </c>
      <c r="B10280" s="3">
        <f t="shared" si="55"/>
        <v>24.346516975603461</v>
      </c>
      <c r="C10280" s="3">
        <f t="shared" si="56"/>
        <v>7.1846748910729339</v>
      </c>
      <c r="F10280" s="9">
        <f t="shared" si="57"/>
        <v>357.6</v>
      </c>
      <c r="G10280" s="9">
        <f t="shared" si="58"/>
        <v>24.997368490296576</v>
      </c>
      <c r="H10280" s="9">
        <f t="shared" si="59"/>
        <v>21.874373038812404</v>
      </c>
      <c r="I10280" s="9">
        <f t="shared" si="60"/>
        <v>20.5</v>
      </c>
      <c r="J10280" s="9">
        <f t="shared" si="61"/>
        <v>28.322537277426683</v>
      </c>
      <c r="K10280" s="9">
        <f t="shared" si="62"/>
        <v>24.363899823501406</v>
      </c>
    </row>
    <row r="10281" spans="1:11" x14ac:dyDescent="0.15">
      <c r="A10281" s="3">
        <f t="shared" si="63"/>
        <v>280</v>
      </c>
      <c r="B10281" s="3">
        <f t="shared" si="55"/>
        <v>24.604722665003948</v>
      </c>
      <c r="C10281" s="3">
        <f t="shared" si="56"/>
        <v>7.2278837048168789</v>
      </c>
      <c r="F10281" s="9">
        <f t="shared" si="57"/>
        <v>357.6</v>
      </c>
      <c r="G10281" s="9">
        <f t="shared" si="58"/>
        <v>24.997368490296576</v>
      </c>
      <c r="H10281" s="9">
        <f t="shared" si="59"/>
        <v>21.874373038812404</v>
      </c>
      <c r="I10281" s="9">
        <f t="shared" si="60"/>
        <v>20.5</v>
      </c>
      <c r="J10281" s="9">
        <f t="shared" si="61"/>
        <v>28.322537277426683</v>
      </c>
      <c r="K10281" s="9">
        <f t="shared" si="62"/>
        <v>24.363899823501406</v>
      </c>
    </row>
    <row r="10282" spans="1:11" x14ac:dyDescent="0.15">
      <c r="A10282" s="3">
        <f t="shared" si="63"/>
        <v>281</v>
      </c>
      <c r="B10282" s="3">
        <f t="shared" si="55"/>
        <v>24.862134930648164</v>
      </c>
      <c r="C10282" s="3">
        <f t="shared" si="56"/>
        <v>7.2755922482850384</v>
      </c>
      <c r="F10282" s="9">
        <f t="shared" si="57"/>
        <v>357.6</v>
      </c>
      <c r="G10282" s="9">
        <f t="shared" si="58"/>
        <v>24.997368490296576</v>
      </c>
      <c r="H10282" s="9">
        <f t="shared" si="59"/>
        <v>21.874373038812404</v>
      </c>
      <c r="I10282" s="9">
        <f t="shared" si="60"/>
        <v>20.5</v>
      </c>
      <c r="J10282" s="9">
        <f t="shared" si="61"/>
        <v>28.322537277426683</v>
      </c>
      <c r="K10282" s="9">
        <f t="shared" si="62"/>
        <v>24.363899823501406</v>
      </c>
    </row>
    <row r="10283" spans="1:11" x14ac:dyDescent="0.15">
      <c r="A10283" s="3">
        <f t="shared" si="63"/>
        <v>282</v>
      </c>
      <c r="B10283" s="3">
        <f t="shared" si="55"/>
        <v>25.118675362266391</v>
      </c>
      <c r="C10283" s="3">
        <f t="shared" si="56"/>
        <v>7.3277859889929164</v>
      </c>
      <c r="F10283" s="9">
        <f t="shared" si="57"/>
        <v>357.6</v>
      </c>
      <c r="G10283" s="9">
        <f t="shared" si="58"/>
        <v>24.997368490296576</v>
      </c>
      <c r="H10283" s="9">
        <f t="shared" si="59"/>
        <v>21.874373038812404</v>
      </c>
      <c r="I10283" s="9">
        <f t="shared" si="60"/>
        <v>20.5</v>
      </c>
      <c r="J10283" s="9">
        <f t="shared" si="61"/>
        <v>28.322537277426683</v>
      </c>
      <c r="K10283" s="9">
        <f t="shared" si="62"/>
        <v>24.363899823501406</v>
      </c>
    </row>
    <row r="10284" spans="1:11" x14ac:dyDescent="0.15">
      <c r="A10284" s="3">
        <f t="shared" si="63"/>
        <v>283</v>
      </c>
      <c r="B10284" s="3">
        <f t="shared" si="55"/>
        <v>25.374265815157973</v>
      </c>
      <c r="C10284" s="3">
        <f t="shared" si="56"/>
        <v>7.3844490282214714</v>
      </c>
      <c r="F10284" s="9">
        <f t="shared" si="57"/>
        <v>357.6</v>
      </c>
      <c r="G10284" s="9">
        <f t="shared" si="58"/>
        <v>24.997368490296576</v>
      </c>
      <c r="H10284" s="9">
        <f t="shared" si="59"/>
        <v>21.874373038812404</v>
      </c>
      <c r="I10284" s="9">
        <f t="shared" si="60"/>
        <v>20.5</v>
      </c>
      <c r="J10284" s="9">
        <f t="shared" si="61"/>
        <v>28.322537277426683</v>
      </c>
      <c r="K10284" s="9">
        <f t="shared" si="62"/>
        <v>24.363899823501406</v>
      </c>
    </row>
    <row r="10285" spans="1:11" x14ac:dyDescent="0.15">
      <c r="A10285" s="3">
        <f t="shared" si="63"/>
        <v>284</v>
      </c>
      <c r="B10285" s="3">
        <f t="shared" si="55"/>
        <v>25.628828433995011</v>
      </c>
      <c r="C10285" s="3">
        <f t="shared" si="56"/>
        <v>7.4455641058600506</v>
      </c>
      <c r="F10285" s="9">
        <f t="shared" si="57"/>
        <v>357.6</v>
      </c>
      <c r="G10285" s="9">
        <f t="shared" si="58"/>
        <v>24.997368490296576</v>
      </c>
      <c r="H10285" s="9">
        <f t="shared" si="59"/>
        <v>21.874373038812404</v>
      </c>
      <c r="I10285" s="9">
        <f t="shared" si="60"/>
        <v>20.5</v>
      </c>
      <c r="J10285" s="9">
        <f t="shared" si="61"/>
        <v>28.322537277426683</v>
      </c>
      <c r="K10285" s="9">
        <f t="shared" si="62"/>
        <v>24.363899823501406</v>
      </c>
    </row>
    <row r="10286" spans="1:11" x14ac:dyDescent="0.15">
      <c r="A10286" s="3">
        <f t="shared" si="63"/>
        <v>285</v>
      </c>
      <c r="B10286" s="3">
        <f t="shared" si="55"/>
        <v>25.882285676537805</v>
      </c>
      <c r="C10286" s="3">
        <f t="shared" si="56"/>
        <v>7.511112605663973</v>
      </c>
      <c r="F10286" s="9">
        <f t="shared" si="57"/>
        <v>357.6</v>
      </c>
      <c r="G10286" s="9">
        <f t="shared" si="58"/>
        <v>24.997368490296576</v>
      </c>
      <c r="H10286" s="9">
        <f t="shared" si="59"/>
        <v>21.874373038812404</v>
      </c>
      <c r="I10286" s="9">
        <f t="shared" si="60"/>
        <v>20.5</v>
      </c>
      <c r="J10286" s="9">
        <f t="shared" si="61"/>
        <v>28.322537277426683</v>
      </c>
      <c r="K10286" s="9">
        <f t="shared" si="62"/>
        <v>24.363899823501406</v>
      </c>
    </row>
    <row r="10287" spans="1:11" x14ac:dyDescent="0.15">
      <c r="A10287" s="3">
        <f t="shared" si="63"/>
        <v>286</v>
      </c>
      <c r="B10287" s="3">
        <f t="shared" si="55"/>
        <v>26.134560337254978</v>
      </c>
      <c r="C10287" s="3">
        <f t="shared" si="56"/>
        <v>7.5810745609252148</v>
      </c>
      <c r="F10287" s="9">
        <f t="shared" si="57"/>
        <v>357.6</v>
      </c>
      <c r="G10287" s="9">
        <f t="shared" si="58"/>
        <v>24.997368490296576</v>
      </c>
      <c r="H10287" s="9">
        <f t="shared" si="59"/>
        <v>21.874373038812404</v>
      </c>
      <c r="I10287" s="9">
        <f t="shared" si="60"/>
        <v>20.5</v>
      </c>
      <c r="J10287" s="9">
        <f t="shared" si="61"/>
        <v>28.322537277426683</v>
      </c>
      <c r="K10287" s="9">
        <f t="shared" si="62"/>
        <v>24.363899823501406</v>
      </c>
    </row>
    <row r="10288" spans="1:11" x14ac:dyDescent="0.15">
      <c r="A10288" s="3">
        <f t="shared" si="63"/>
        <v>287</v>
      </c>
      <c r="B10288" s="3">
        <f t="shared" si="55"/>
        <v>26.385575570841052</v>
      </c>
      <c r="C10288" s="3">
        <f t="shared" si="56"/>
        <v>7.6554286605544686</v>
      </c>
      <c r="F10288" s="9">
        <f t="shared" si="57"/>
        <v>357.6</v>
      </c>
      <c r="G10288" s="9">
        <f t="shared" si="58"/>
        <v>24.997368490296576</v>
      </c>
      <c r="H10288" s="9">
        <f t="shared" si="59"/>
        <v>21.874373038812404</v>
      </c>
      <c r="I10288" s="9">
        <f t="shared" si="60"/>
        <v>20.5</v>
      </c>
      <c r="J10288" s="9">
        <f t="shared" si="61"/>
        <v>28.322537277426683</v>
      </c>
      <c r="K10288" s="9">
        <f t="shared" si="62"/>
        <v>24.363899823501406</v>
      </c>
    </row>
    <row r="10289" spans="1:11" x14ac:dyDescent="0.15">
      <c r="A10289" s="3">
        <f t="shared" si="63"/>
        <v>288</v>
      </c>
      <c r="B10289" s="3">
        <f t="shared" si="55"/>
        <v>26.635254915624209</v>
      </c>
      <c r="C10289" s="3">
        <f t="shared" si="56"/>
        <v>7.7341522555726954</v>
      </c>
      <c r="F10289" s="9">
        <f t="shared" si="57"/>
        <v>357.6</v>
      </c>
      <c r="G10289" s="9">
        <f t="shared" si="58"/>
        <v>24.997368490296576</v>
      </c>
      <c r="H10289" s="9">
        <f t="shared" si="59"/>
        <v>21.874373038812404</v>
      </c>
      <c r="I10289" s="9">
        <f t="shared" si="60"/>
        <v>20.5</v>
      </c>
      <c r="J10289" s="9">
        <f t="shared" si="61"/>
        <v>28.322537277426683</v>
      </c>
      <c r="K10289" s="9">
        <f t="shared" si="62"/>
        <v>24.363899823501406</v>
      </c>
    </row>
    <row r="10290" spans="1:11" x14ac:dyDescent="0.15">
      <c r="A10290" s="3">
        <f t="shared" si="63"/>
        <v>289</v>
      </c>
      <c r="B10290" s="3">
        <f t="shared" si="55"/>
        <v>26.883522316857345</v>
      </c>
      <c r="C10290" s="3">
        <f t="shared" si="56"/>
        <v>7.8172213660102461</v>
      </c>
      <c r="F10290" s="9">
        <f t="shared" si="57"/>
        <v>357.6</v>
      </c>
      <c r="G10290" s="9">
        <f t="shared" si="58"/>
        <v>24.997368490296576</v>
      </c>
      <c r="H10290" s="9">
        <f t="shared" si="59"/>
        <v>21.874373038812404</v>
      </c>
      <c r="I10290" s="9">
        <f t="shared" si="60"/>
        <v>20.5</v>
      </c>
      <c r="J10290" s="9">
        <f t="shared" si="61"/>
        <v>28.322537277426683</v>
      </c>
      <c r="K10290" s="9">
        <f t="shared" si="62"/>
        <v>24.363899823501406</v>
      </c>
    </row>
    <row r="10291" spans="1:11" x14ac:dyDescent="0.15">
      <c r="A10291" s="3">
        <f t="shared" si="63"/>
        <v>290</v>
      </c>
      <c r="B10291" s="3">
        <f t="shared" si="55"/>
        <v>27.130302149885033</v>
      </c>
      <c r="C10291" s="3">
        <f t="shared" si="56"/>
        <v>7.9046106882113758</v>
      </c>
      <c r="F10291" s="9">
        <f t="shared" si="57"/>
        <v>357.6</v>
      </c>
      <c r="G10291" s="9">
        <f t="shared" si="58"/>
        <v>24.997368490296576</v>
      </c>
      <c r="H10291" s="9">
        <f t="shared" si="59"/>
        <v>21.874373038812404</v>
      </c>
      <c r="I10291" s="9">
        <f t="shared" si="60"/>
        <v>20.5</v>
      </c>
      <c r="J10291" s="9">
        <f t="shared" si="61"/>
        <v>28.322537277426683</v>
      </c>
      <c r="K10291" s="9">
        <f t="shared" si="62"/>
        <v>24.363899823501406</v>
      </c>
    </row>
    <row r="10292" spans="1:11" x14ac:dyDescent="0.15">
      <c r="A10292" s="3">
        <f t="shared" si="63"/>
        <v>291</v>
      </c>
      <c r="B10292" s="3">
        <f t="shared" si="55"/>
        <v>27.375519243179504</v>
      </c>
      <c r="C10292" s="3">
        <f t="shared" si="56"/>
        <v>7.9962936025419733</v>
      </c>
      <c r="F10292" s="9">
        <f t="shared" si="57"/>
        <v>357.6</v>
      </c>
      <c r="G10292" s="9">
        <f t="shared" si="58"/>
        <v>24.997368490296576</v>
      </c>
      <c r="H10292" s="9">
        <f t="shared" si="59"/>
        <v>21.874373038812404</v>
      </c>
      <c r="I10292" s="9">
        <f t="shared" si="60"/>
        <v>20.5</v>
      </c>
      <c r="J10292" s="9">
        <f t="shared" si="61"/>
        <v>28.322537277426683</v>
      </c>
      <c r="K10292" s="9">
        <f t="shared" si="62"/>
        <v>24.363899823501406</v>
      </c>
    </row>
    <row r="10293" spans="1:11" x14ac:dyDescent="0.15">
      <c r="A10293" s="3">
        <f t="shared" si="63"/>
        <v>292</v>
      </c>
      <c r="B10293" s="3">
        <f t="shared" si="55"/>
        <v>27.619098901238679</v>
      </c>
      <c r="C10293" s="3">
        <f t="shared" si="56"/>
        <v>8.0922421814981895</v>
      </c>
      <c r="F10293" s="9">
        <f t="shared" si="57"/>
        <v>357.6</v>
      </c>
      <c r="G10293" s="9">
        <f t="shared" si="58"/>
        <v>24.997368490296576</v>
      </c>
      <c r="H10293" s="9">
        <f t="shared" si="59"/>
        <v>21.874373038812404</v>
      </c>
      <c r="I10293" s="9">
        <f t="shared" si="60"/>
        <v>20.5</v>
      </c>
      <c r="J10293" s="9">
        <f t="shared" si="61"/>
        <v>28.322537277426683</v>
      </c>
      <c r="K10293" s="9">
        <f t="shared" si="62"/>
        <v>24.363899823501406</v>
      </c>
    </row>
    <row r="10294" spans="1:11" x14ac:dyDescent="0.15">
      <c r="A10294" s="3">
        <f t="shared" si="63"/>
        <v>293</v>
      </c>
      <c r="B10294" s="3">
        <f t="shared" si="55"/>
        <v>27.860966927339103</v>
      </c>
      <c r="C10294" s="3">
        <f t="shared" si="56"/>
        <v>8.1924271982133927</v>
      </c>
      <c r="F10294" s="9">
        <f t="shared" si="57"/>
        <v>357.6</v>
      </c>
      <c r="G10294" s="9">
        <f t="shared" si="58"/>
        <v>24.997368490296576</v>
      </c>
      <c r="H10294" s="9">
        <f t="shared" si="59"/>
        <v>21.874373038812404</v>
      </c>
      <c r="I10294" s="9">
        <f t="shared" si="60"/>
        <v>20.5</v>
      </c>
      <c r="J10294" s="9">
        <f t="shared" si="61"/>
        <v>28.322537277426683</v>
      </c>
      <c r="K10294" s="9">
        <f t="shared" si="62"/>
        <v>24.363899823501406</v>
      </c>
    </row>
    <row r="10295" spans="1:11" x14ac:dyDescent="0.15">
      <c r="A10295" s="3">
        <f t="shared" si="63"/>
        <v>294</v>
      </c>
      <c r="B10295" s="3">
        <f t="shared" si="55"/>
        <v>28.101049646136996</v>
      </c>
      <c r="C10295" s="3">
        <f t="shared" si="56"/>
        <v>8.2968181353609829</v>
      </c>
      <c r="F10295" s="9">
        <f t="shared" si="57"/>
        <v>357.6</v>
      </c>
      <c r="G10295" s="9">
        <f t="shared" si="58"/>
        <v>24.997368490296576</v>
      </c>
      <c r="H10295" s="9">
        <f t="shared" si="59"/>
        <v>21.874373038812404</v>
      </c>
      <c r="I10295" s="9">
        <f t="shared" si="60"/>
        <v>20.5</v>
      </c>
      <c r="J10295" s="9">
        <f t="shared" si="61"/>
        <v>28.322537277426683</v>
      </c>
      <c r="K10295" s="9">
        <f t="shared" si="62"/>
        <v>24.363899823501406</v>
      </c>
    </row>
    <row r="10296" spans="1:11" x14ac:dyDescent="0.15">
      <c r="A10296" s="3">
        <f t="shared" si="63"/>
        <v>295</v>
      </c>
      <c r="B10296" s="3">
        <f t="shared" si="55"/>
        <v>28.339273926110483</v>
      </c>
      <c r="C10296" s="3">
        <f t="shared" si="56"/>
        <v>8.4053831944502466</v>
      </c>
      <c r="F10296" s="9">
        <f t="shared" si="57"/>
        <v>357.6</v>
      </c>
      <c r="G10296" s="9">
        <f t="shared" si="58"/>
        <v>24.997368490296576</v>
      </c>
      <c r="H10296" s="9">
        <f t="shared" si="59"/>
        <v>21.874373038812404</v>
      </c>
      <c r="I10296" s="9">
        <f t="shared" si="60"/>
        <v>20.5</v>
      </c>
      <c r="J10296" s="9">
        <f t="shared" si="61"/>
        <v>28.322537277426683</v>
      </c>
      <c r="K10296" s="9">
        <f t="shared" si="62"/>
        <v>24.363899823501406</v>
      </c>
    </row>
    <row r="10297" spans="1:11" x14ac:dyDescent="0.15">
      <c r="A10297" s="3">
        <f t="shared" si="63"/>
        <v>296</v>
      </c>
      <c r="B10297" s="3">
        <f t="shared" si="55"/>
        <v>28.575567201836162</v>
      </c>
      <c r="C10297" s="3">
        <f t="shared" si="56"/>
        <v>8.5180893055124951</v>
      </c>
      <c r="F10297" s="9">
        <f t="shared" si="57"/>
        <v>357.6</v>
      </c>
      <c r="G10297" s="9">
        <f t="shared" si="58"/>
        <v>24.997368490296576</v>
      </c>
      <c r="H10297" s="9">
        <f t="shared" si="59"/>
        <v>21.874373038812404</v>
      </c>
      <c r="I10297" s="9">
        <f t="shared" si="60"/>
        <v>20.5</v>
      </c>
      <c r="J10297" s="9">
        <f t="shared" si="61"/>
        <v>28.322537277426683</v>
      </c>
      <c r="K10297" s="9">
        <f t="shared" si="62"/>
        <v>24.363899823501406</v>
      </c>
    </row>
    <row r="10298" spans="1:11" x14ac:dyDescent="0.15">
      <c r="A10298" s="3">
        <f t="shared" si="63"/>
        <v>297</v>
      </c>
      <c r="B10298" s="3">
        <f t="shared" si="55"/>
        <v>28.809857496093201</v>
      </c>
      <c r="C10298" s="3">
        <f t="shared" si="56"/>
        <v>8.6349021371744819</v>
      </c>
      <c r="F10298" s="9">
        <f t="shared" si="57"/>
        <v>357.6</v>
      </c>
      <c r="G10298" s="9">
        <f t="shared" si="58"/>
        <v>24.997368490296576</v>
      </c>
      <c r="H10298" s="9">
        <f t="shared" si="59"/>
        <v>21.874373038812404</v>
      </c>
      <c r="I10298" s="9">
        <f t="shared" si="60"/>
        <v>20.5</v>
      </c>
      <c r="J10298" s="9">
        <f t="shared" si="61"/>
        <v>28.322537277426683</v>
      </c>
      <c r="K10298" s="9">
        <f t="shared" si="62"/>
        <v>24.363899823501406</v>
      </c>
    </row>
    <row r="10299" spans="1:11" x14ac:dyDescent="0.15">
      <c r="A10299" s="3">
        <f t="shared" si="63"/>
        <v>298</v>
      </c>
      <c r="B10299" s="3">
        <f t="shared" si="55"/>
        <v>29.042073441788357</v>
      </c>
      <c r="C10299" s="3">
        <f t="shared" si="56"/>
        <v>8.7557861071160943</v>
      </c>
      <c r="F10299" s="9">
        <f t="shared" si="57"/>
        <v>357.6</v>
      </c>
      <c r="G10299" s="9">
        <f t="shared" si="58"/>
        <v>24.997368490296576</v>
      </c>
      <c r="H10299" s="9">
        <f t="shared" si="59"/>
        <v>21.874373038812404</v>
      </c>
      <c r="I10299" s="9">
        <f t="shared" si="60"/>
        <v>20.5</v>
      </c>
      <c r="J10299" s="9">
        <f t="shared" si="61"/>
        <v>28.322537277426683</v>
      </c>
      <c r="K10299" s="9">
        <f t="shared" si="62"/>
        <v>24.363899823501406</v>
      </c>
    </row>
    <row r="10300" spans="1:11" x14ac:dyDescent="0.15">
      <c r="A10300" s="3">
        <f t="shared" si="63"/>
        <v>299</v>
      </c>
      <c r="B10300" s="3">
        <f t="shared" si="55"/>
        <v>29.272144303695057</v>
      </c>
      <c r="C10300" s="3">
        <f t="shared" si="56"/>
        <v>8.880704392909065</v>
      </c>
      <c r="F10300" s="9">
        <f t="shared" si="57"/>
        <v>357.6</v>
      </c>
      <c r="G10300" s="9">
        <f t="shared" si="58"/>
        <v>24.997368490296576</v>
      </c>
      <c r="H10300" s="9">
        <f t="shared" si="59"/>
        <v>21.874373038812404</v>
      </c>
      <c r="I10300" s="9">
        <f t="shared" si="60"/>
        <v>20.5</v>
      </c>
      <c r="J10300" s="9">
        <f t="shared" si="61"/>
        <v>28.322537277426683</v>
      </c>
      <c r="K10300" s="9">
        <f t="shared" si="62"/>
        <v>24.363899823501406</v>
      </c>
    </row>
    <row r="10301" spans="1:11" x14ac:dyDescent="0.15">
      <c r="A10301" s="3">
        <f t="shared" si="63"/>
        <v>300</v>
      </c>
      <c r="B10301" s="3">
        <f t="shared" si="55"/>
        <v>29.5</v>
      </c>
      <c r="C10301" s="3">
        <f t="shared" si="56"/>
        <v>9.0096189432334217</v>
      </c>
      <c r="F10301" s="9">
        <f t="shared" si="57"/>
        <v>357.6</v>
      </c>
      <c r="G10301" s="9">
        <f t="shared" si="58"/>
        <v>24.997368490296576</v>
      </c>
      <c r="H10301" s="9">
        <f t="shared" si="59"/>
        <v>21.874373038812404</v>
      </c>
      <c r="I10301" s="9">
        <f t="shared" si="60"/>
        <v>20.5</v>
      </c>
      <c r="J10301" s="9">
        <f t="shared" si="61"/>
        <v>28.322537277426683</v>
      </c>
      <c r="K10301" s="9">
        <f t="shared" si="62"/>
        <v>24.363899823501406</v>
      </c>
    </row>
    <row r="10302" spans="1:11" x14ac:dyDescent="0.15">
      <c r="A10302" s="3">
        <f t="shared" si="63"/>
        <v>301</v>
      </c>
      <c r="B10302" s="3">
        <f t="shared" si="55"/>
        <v>29.725571123650813</v>
      </c>
      <c r="C10302" s="3">
        <f t="shared" si="56"/>
        <v>9.1424904894683152</v>
      </c>
      <c r="F10302" s="9">
        <f t="shared" si="57"/>
        <v>357.6</v>
      </c>
      <c r="G10302" s="9">
        <f t="shared" si="58"/>
        <v>24.997368490296576</v>
      </c>
      <c r="H10302" s="9">
        <f t="shared" si="59"/>
        <v>21.874373038812404</v>
      </c>
      <c r="I10302" s="9">
        <f t="shared" si="60"/>
        <v>20.5</v>
      </c>
      <c r="J10302" s="9">
        <f t="shared" si="61"/>
        <v>28.322537277426683</v>
      </c>
      <c r="K10302" s="9">
        <f t="shared" si="62"/>
        <v>24.363899823501406</v>
      </c>
    </row>
    <row r="10303" spans="1:11" x14ac:dyDescent="0.15">
      <c r="A10303" s="3">
        <f t="shared" si="63"/>
        <v>302</v>
      </c>
      <c r="B10303" s="3">
        <f t="shared" si="55"/>
        <v>29.948788963498071</v>
      </c>
      <c r="C10303" s="3">
        <f t="shared" si="56"/>
        <v>9.2792785576536065</v>
      </c>
      <c r="F10303" s="9">
        <f t="shared" si="57"/>
        <v>357.6</v>
      </c>
      <c r="G10303" s="9">
        <f t="shared" si="58"/>
        <v>24.997368490296576</v>
      </c>
      <c r="H10303" s="9">
        <f t="shared" si="59"/>
        <v>21.874373038812404</v>
      </c>
      <c r="I10303" s="9">
        <f t="shared" si="60"/>
        <v>20.5</v>
      </c>
      <c r="J10303" s="9">
        <f t="shared" si="61"/>
        <v>28.322537277426683</v>
      </c>
      <c r="K10303" s="9">
        <f t="shared" si="62"/>
        <v>24.363899823501406</v>
      </c>
    </row>
    <row r="10304" spans="1:11" x14ac:dyDescent="0.15">
      <c r="A10304" s="3">
        <f t="shared" si="63"/>
        <v>303</v>
      </c>
      <c r="B10304" s="3">
        <f t="shared" si="55"/>
        <v>30.169585525225401</v>
      </c>
      <c r="C10304" s="3">
        <f t="shared" si="56"/>
        <v>9.4199414808186361</v>
      </c>
      <c r="F10304" s="9">
        <f t="shared" si="57"/>
        <v>357.6</v>
      </c>
      <c r="G10304" s="9">
        <f t="shared" si="58"/>
        <v>24.997368490296576</v>
      </c>
      <c r="H10304" s="9">
        <f t="shared" si="59"/>
        <v>21.874373038812404</v>
      </c>
      <c r="I10304" s="9">
        <f t="shared" si="60"/>
        <v>20.5</v>
      </c>
      <c r="J10304" s="9">
        <f t="shared" si="61"/>
        <v>28.322537277426683</v>
      </c>
      <c r="K10304" s="9">
        <f t="shared" si="62"/>
        <v>24.363899823501406</v>
      </c>
    </row>
    <row r="10305" spans="1:11" x14ac:dyDescent="0.15">
      <c r="A10305" s="3">
        <f t="shared" si="63"/>
        <v>304</v>
      </c>
      <c r="B10305" s="3">
        <f t="shared" si="55"/>
        <v>30.387893552061207</v>
      </c>
      <c r="C10305" s="3">
        <f t="shared" si="56"/>
        <v>9.5644364116743752</v>
      </c>
      <c r="F10305" s="9">
        <f t="shared" si="57"/>
        <v>357.6</v>
      </c>
      <c r="G10305" s="9">
        <f t="shared" si="58"/>
        <v>24.997368490296576</v>
      </c>
      <c r="H10305" s="9">
        <f t="shared" si="59"/>
        <v>21.874373038812404</v>
      </c>
      <c r="I10305" s="9">
        <f t="shared" si="60"/>
        <v>20.5</v>
      </c>
      <c r="J10305" s="9">
        <f t="shared" si="61"/>
        <v>28.322537277426683</v>
      </c>
      <c r="K10305" s="9">
        <f t="shared" si="62"/>
        <v>24.363899823501406</v>
      </c>
    </row>
    <row r="10306" spans="1:11" x14ac:dyDescent="0.15">
      <c r="A10306" s="3">
        <f t="shared" si="63"/>
        <v>305</v>
      </c>
      <c r="B10306" s="3">
        <f t="shared" si="55"/>
        <v>30.60364654526569</v>
      </c>
      <c r="C10306" s="3">
        <f t="shared" si="56"/>
        <v>9.7127193356651222</v>
      </c>
      <c r="F10306" s="9">
        <f t="shared" ref="F10306:F10337" si="64">MOD(F10305-$E$10006*$H$10207,360)</f>
        <v>357.6</v>
      </c>
      <c r="G10306" s="9">
        <f t="shared" si="58"/>
        <v>24.997368490296576</v>
      </c>
      <c r="H10306" s="9">
        <f t="shared" si="59"/>
        <v>21.874373038812404</v>
      </c>
      <c r="I10306" s="9">
        <f t="shared" ref="I10306:I10337" si="65">MOD(I10305-$E$10006*$K$10207,360)</f>
        <v>20.5</v>
      </c>
      <c r="J10306" s="9">
        <f t="shared" si="61"/>
        <v>28.322537277426683</v>
      </c>
      <c r="K10306" s="9">
        <f t="shared" si="62"/>
        <v>24.363899823501406</v>
      </c>
    </row>
    <row r="10307" spans="1:11" x14ac:dyDescent="0.15">
      <c r="A10307" s="3">
        <f t="shared" si="63"/>
        <v>306</v>
      </c>
      <c r="B10307" s="3">
        <f t="shared" si="55"/>
        <v>30.816778784387093</v>
      </c>
      <c r="C10307" s="3">
        <f t="shared" si="56"/>
        <v>9.8647450843757873</v>
      </c>
      <c r="F10307" s="9">
        <f t="shared" si="64"/>
        <v>357.6</v>
      </c>
      <c r="G10307" s="9">
        <f t="shared" si="58"/>
        <v>24.997368490296576</v>
      </c>
      <c r="H10307" s="9">
        <f t="shared" si="59"/>
        <v>21.874373038812404</v>
      </c>
      <c r="I10307" s="9">
        <f t="shared" si="65"/>
        <v>20.5</v>
      </c>
      <c r="J10307" s="9">
        <f t="shared" si="61"/>
        <v>28.322537277426683</v>
      </c>
      <c r="K10307" s="9">
        <f t="shared" si="62"/>
        <v>24.363899823501406</v>
      </c>
    </row>
    <row r="10308" spans="1:11" x14ac:dyDescent="0.15">
      <c r="A10308" s="3">
        <f t="shared" si="63"/>
        <v>307</v>
      </c>
      <c r="B10308" s="3">
        <f t="shared" si="55"/>
        <v>31.027225347280719</v>
      </c>
      <c r="C10308" s="3">
        <f t="shared" si="56"/>
        <v>10.020467349290604</v>
      </c>
      <c r="F10308" s="9">
        <f t="shared" si="64"/>
        <v>357.6</v>
      </c>
      <c r="G10308" s="9">
        <f t="shared" si="58"/>
        <v>24.997368490296576</v>
      </c>
      <c r="H10308" s="9">
        <f t="shared" si="59"/>
        <v>21.874373038812404</v>
      </c>
      <c r="I10308" s="9">
        <f t="shared" si="65"/>
        <v>20.5</v>
      </c>
      <c r="J10308" s="9">
        <f t="shared" si="61"/>
        <v>28.322537277426683</v>
      </c>
      <c r="K10308" s="9">
        <f t="shared" si="62"/>
        <v>24.363899823501406</v>
      </c>
    </row>
    <row r="10309" spans="1:11" x14ac:dyDescent="0.15">
      <c r="A10309" s="3">
        <f t="shared" si="63"/>
        <v>308</v>
      </c>
      <c r="B10309" s="3">
        <f t="shared" si="55"/>
        <v>31.234922129884868</v>
      </c>
      <c r="C10309" s="3">
        <f t="shared" si="56"/>
        <v>10.179838695899164</v>
      </c>
      <c r="F10309" s="9">
        <f t="shared" si="64"/>
        <v>357.6</v>
      </c>
      <c r="G10309" s="9">
        <f t="shared" si="58"/>
        <v>24.997368490296576</v>
      </c>
      <c r="H10309" s="9">
        <f t="shared" si="59"/>
        <v>21.874373038812404</v>
      </c>
      <c r="I10309" s="9">
        <f t="shared" si="65"/>
        <v>20.5</v>
      </c>
      <c r="J10309" s="9">
        <f t="shared" si="61"/>
        <v>28.322537277426683</v>
      </c>
      <c r="K10309" s="9">
        <f t="shared" si="62"/>
        <v>24.363899823501406</v>
      </c>
    </row>
    <row r="10310" spans="1:11" x14ac:dyDescent="0.15">
      <c r="A10310" s="3">
        <f t="shared" si="63"/>
        <v>309</v>
      </c>
      <c r="B10310" s="3">
        <f t="shared" si="55"/>
        <v>31.439805865747552</v>
      </c>
      <c r="C10310" s="3">
        <f t="shared" si="56"/>
        <v>10.34281057814543</v>
      </c>
      <c r="F10310" s="9">
        <f t="shared" si="64"/>
        <v>357.6</v>
      </c>
      <c r="G10310" s="9">
        <f t="shared" si="58"/>
        <v>24.997368490296576</v>
      </c>
      <c r="H10310" s="9">
        <f t="shared" si="59"/>
        <v>21.874373038812404</v>
      </c>
      <c r="I10310" s="9">
        <f t="shared" si="65"/>
        <v>20.5</v>
      </c>
      <c r="J10310" s="9">
        <f t="shared" si="61"/>
        <v>28.322537277426683</v>
      </c>
      <c r="K10310" s="9">
        <f t="shared" si="62"/>
        <v>24.363899823501406</v>
      </c>
    </row>
    <row r="10311" spans="1:11" x14ac:dyDescent="0.15">
      <c r="A10311" s="3">
        <f t="shared" si="63"/>
        <v>310</v>
      </c>
      <c r="B10311" s="3">
        <f t="shared" si="55"/>
        <v>31.641814145298088</v>
      </c>
      <c r="C10311" s="3">
        <f t="shared" si="56"/>
        <v>10.509333353215329</v>
      </c>
      <c r="F10311" s="9">
        <f t="shared" si="64"/>
        <v>357.6</v>
      </c>
      <c r="G10311" s="9">
        <f t="shared" si="58"/>
        <v>24.997368490296576</v>
      </c>
      <c r="H10311" s="9">
        <f t="shared" si="59"/>
        <v>21.874373038812404</v>
      </c>
      <c r="I10311" s="9">
        <f t="shared" si="65"/>
        <v>20.5</v>
      </c>
      <c r="J10311" s="9">
        <f t="shared" si="61"/>
        <v>28.322537277426683</v>
      </c>
      <c r="K10311" s="9">
        <f t="shared" si="62"/>
        <v>24.363899823501406</v>
      </c>
    </row>
    <row r="10312" spans="1:11" x14ac:dyDescent="0.15">
      <c r="A10312" s="3">
        <f t="shared" si="63"/>
        <v>311</v>
      </c>
      <c r="B10312" s="3">
        <f t="shared" si="55"/>
        <v>31.840885434857604</v>
      </c>
      <c r="C10312" s="3">
        <f t="shared" si="56"/>
        <v>10.679356296658417</v>
      </c>
      <c r="F10312" s="9">
        <f t="shared" si="64"/>
        <v>357.6</v>
      </c>
      <c r="G10312" s="9">
        <f t="shared" si="58"/>
        <v>24.997368490296576</v>
      </c>
      <c r="H10312" s="9">
        <f t="shared" si="59"/>
        <v>21.874373038812404</v>
      </c>
      <c r="I10312" s="9">
        <f t="shared" si="65"/>
        <v>20.5</v>
      </c>
      <c r="J10312" s="9">
        <f t="shared" si="61"/>
        <v>28.322537277426683</v>
      </c>
      <c r="K10312" s="9">
        <f t="shared" si="62"/>
        <v>24.363899823501406</v>
      </c>
    </row>
    <row r="10313" spans="1:11" x14ac:dyDescent="0.15">
      <c r="A10313" s="3">
        <f t="shared" si="63"/>
        <v>312</v>
      </c>
      <c r="B10313" s="3">
        <f t="shared" si="55"/>
        <v>32.036959095382876</v>
      </c>
      <c r="C10313" s="3">
        <f t="shared" si="56"/>
        <v>10.85282761783909</v>
      </c>
      <c r="F10313" s="9">
        <f t="shared" si="64"/>
        <v>357.6</v>
      </c>
      <c r="G10313" s="9">
        <f t="shared" si="58"/>
        <v>24.997368490296576</v>
      </c>
      <c r="H10313" s="9">
        <f t="shared" si="59"/>
        <v>21.874373038812404</v>
      </c>
      <c r="I10313" s="9">
        <f t="shared" si="65"/>
        <v>20.5</v>
      </c>
      <c r="J10313" s="9">
        <f t="shared" si="61"/>
        <v>28.322537277426683</v>
      </c>
      <c r="K10313" s="9">
        <f t="shared" si="62"/>
        <v>24.363899823501406</v>
      </c>
    </row>
    <row r="10314" spans="1:11" x14ac:dyDescent="0.15">
      <c r="A10314" s="3">
        <f t="shared" si="63"/>
        <v>313</v>
      </c>
      <c r="B10314" s="3">
        <f t="shared" si="55"/>
        <v>32.229975400937477</v>
      </c>
      <c r="C10314" s="3">
        <f t="shared" si="56"/>
        <v>11.029694475712445</v>
      </c>
      <c r="F10314" s="9">
        <f t="shared" si="64"/>
        <v>357.6</v>
      </c>
      <c r="G10314" s="9">
        <f t="shared" si="58"/>
        <v>24.997368490296576</v>
      </c>
      <c r="H10314" s="9">
        <f t="shared" si="59"/>
        <v>21.874373038812404</v>
      </c>
      <c r="I10314" s="9">
        <f t="shared" si="65"/>
        <v>20.5</v>
      </c>
      <c r="J10314" s="9">
        <f t="shared" si="61"/>
        <v>28.322537277426683</v>
      </c>
      <c r="K10314" s="9">
        <f t="shared" si="62"/>
        <v>24.363899823501406</v>
      </c>
    </row>
    <row r="10315" spans="1:11" x14ac:dyDescent="0.15">
      <c r="A10315" s="3">
        <f t="shared" si="63"/>
        <v>314</v>
      </c>
      <c r="B10315" s="3">
        <f t="shared" si="55"/>
        <v>32.419875556884961</v>
      </c>
      <c r="C10315" s="3">
        <f t="shared" si="56"/>
        <v>11.209902994920233</v>
      </c>
      <c r="F10315" s="9">
        <f t="shared" si="64"/>
        <v>357.6</v>
      </c>
      <c r="G10315" s="9">
        <f t="shared" si="58"/>
        <v>24.997368490296576</v>
      </c>
      <c r="H10315" s="9">
        <f t="shared" si="59"/>
        <v>21.874373038812404</v>
      </c>
      <c r="I10315" s="9">
        <f t="shared" si="65"/>
        <v>20.5</v>
      </c>
      <c r="J10315" s="9">
        <f t="shared" si="61"/>
        <v>28.322537277426683</v>
      </c>
      <c r="K10315" s="9">
        <f t="shared" si="62"/>
        <v>24.363899823501406</v>
      </c>
    </row>
    <row r="10316" spans="1:11" x14ac:dyDescent="0.15">
      <c r="A10316" s="3">
        <f t="shared" si="63"/>
        <v>315</v>
      </c>
      <c r="B10316" s="3">
        <f t="shared" si="55"/>
        <v>32.606601717798213</v>
      </c>
      <c r="C10316" s="3">
        <f t="shared" si="56"/>
        <v>11.393398282201785</v>
      </c>
      <c r="F10316" s="9">
        <f t="shared" si="64"/>
        <v>357.6</v>
      </c>
      <c r="G10316" s="9">
        <f t="shared" si="58"/>
        <v>24.997368490296576</v>
      </c>
      <c r="H10316" s="9">
        <f t="shared" si="59"/>
        <v>21.874373038812404</v>
      </c>
      <c r="I10316" s="9">
        <f t="shared" si="65"/>
        <v>20.5</v>
      </c>
      <c r="J10316" s="9">
        <f t="shared" si="61"/>
        <v>28.322537277426683</v>
      </c>
      <c r="K10316" s="9">
        <f t="shared" si="62"/>
        <v>24.363899823501406</v>
      </c>
    </row>
    <row r="10317" spans="1:11" x14ac:dyDescent="0.15">
      <c r="A10317" s="3">
        <f t="shared" si="63"/>
        <v>316</v>
      </c>
      <c r="B10317" s="3">
        <f t="shared" si="55"/>
        <v>32.790097005079765</v>
      </c>
      <c r="C10317" s="3">
        <f t="shared" si="56"/>
        <v>11.580124443115036</v>
      </c>
      <c r="F10317" s="9">
        <f t="shared" si="64"/>
        <v>357.6</v>
      </c>
      <c r="G10317" s="9">
        <f t="shared" si="58"/>
        <v>24.997368490296576</v>
      </c>
      <c r="H10317" s="9">
        <f t="shared" si="59"/>
        <v>21.874373038812404</v>
      </c>
      <c r="I10317" s="9">
        <f t="shared" si="65"/>
        <v>20.5</v>
      </c>
      <c r="J10317" s="9">
        <f t="shared" si="61"/>
        <v>28.322537277426683</v>
      </c>
      <c r="K10317" s="9">
        <f t="shared" si="62"/>
        <v>24.363899823501406</v>
      </c>
    </row>
    <row r="10318" spans="1:11" x14ac:dyDescent="0.15">
      <c r="A10318" s="3">
        <f t="shared" si="63"/>
        <v>317</v>
      </c>
      <c r="B10318" s="3">
        <f t="shared" si="55"/>
        <v>32.970305524287554</v>
      </c>
      <c r="C10318" s="3">
        <f t="shared" si="56"/>
        <v>11.770024599062516</v>
      </c>
      <c r="F10318" s="9">
        <f t="shared" si="64"/>
        <v>357.6</v>
      </c>
      <c r="G10318" s="9">
        <f t="shared" si="58"/>
        <v>24.997368490296576</v>
      </c>
      <c r="H10318" s="9">
        <f t="shared" si="59"/>
        <v>21.874373038812404</v>
      </c>
      <c r="I10318" s="9">
        <f t="shared" si="65"/>
        <v>20.5</v>
      </c>
      <c r="J10318" s="9">
        <f t="shared" si="61"/>
        <v>28.322537277426683</v>
      </c>
      <c r="K10318" s="9">
        <f t="shared" si="62"/>
        <v>24.363899823501406</v>
      </c>
    </row>
    <row r="10319" spans="1:11" x14ac:dyDescent="0.15">
      <c r="A10319" s="3">
        <f t="shared" si="63"/>
        <v>318</v>
      </c>
      <c r="B10319" s="3">
        <f t="shared" si="55"/>
        <v>33.147172382160903</v>
      </c>
      <c r="C10319" s="3">
        <f t="shared" si="56"/>
        <v>11.963040904617118</v>
      </c>
      <c r="F10319" s="9">
        <f t="shared" si="64"/>
        <v>357.6</v>
      </c>
      <c r="G10319" s="9">
        <f t="shared" si="58"/>
        <v>24.997368490296576</v>
      </c>
      <c r="H10319" s="9">
        <f t="shared" si="59"/>
        <v>21.874373038812404</v>
      </c>
      <c r="I10319" s="9">
        <f t="shared" si="65"/>
        <v>20.5</v>
      </c>
      <c r="J10319" s="9">
        <f t="shared" si="61"/>
        <v>28.322537277426683</v>
      </c>
      <c r="K10319" s="9">
        <f t="shared" si="62"/>
        <v>24.363899823501406</v>
      </c>
    </row>
    <row r="10320" spans="1:11" x14ac:dyDescent="0.15">
      <c r="A10320" s="3">
        <f t="shared" si="63"/>
        <v>319</v>
      </c>
      <c r="B10320" s="3">
        <f t="shared" si="55"/>
        <v>33.320643703341581</v>
      </c>
      <c r="C10320" s="3">
        <f t="shared" si="56"/>
        <v>12.159114565142389</v>
      </c>
      <c r="F10320" s="9">
        <f t="shared" si="64"/>
        <v>357.6</v>
      </c>
      <c r="G10320" s="9">
        <f t="shared" si="58"/>
        <v>24.997368490296576</v>
      </c>
      <c r="H10320" s="9">
        <f t="shared" si="59"/>
        <v>21.874373038812404</v>
      </c>
      <c r="I10320" s="9">
        <f t="shared" si="65"/>
        <v>20.5</v>
      </c>
      <c r="J10320" s="9">
        <f t="shared" si="61"/>
        <v>28.322537277426683</v>
      </c>
      <c r="K10320" s="9">
        <f t="shared" si="62"/>
        <v>24.363899823501406</v>
      </c>
    </row>
    <row r="10321" spans="1:11" x14ac:dyDescent="0.15">
      <c r="A10321" s="3">
        <f t="shared" si="63"/>
        <v>320</v>
      </c>
      <c r="B10321" s="3">
        <f t="shared" ref="B10321:B10361" si="66">COS(A10321/180*PI())*$E$10001+$E$10002</f>
        <v>33.490666646784668</v>
      </c>
      <c r="C10321" s="3">
        <f t="shared" ref="C10321:C10361" si="67">SIN(A10321/180*PI())*$E$10001+$E$10003</f>
        <v>12.358185854701906</v>
      </c>
      <c r="F10321" s="9">
        <f t="shared" si="64"/>
        <v>357.6</v>
      </c>
      <c r="G10321" s="9">
        <f t="shared" si="58"/>
        <v>24.997368490296576</v>
      </c>
      <c r="H10321" s="9">
        <f t="shared" si="59"/>
        <v>21.874373038812404</v>
      </c>
      <c r="I10321" s="9">
        <f t="shared" si="65"/>
        <v>20.5</v>
      </c>
      <c r="J10321" s="9">
        <f t="shared" si="61"/>
        <v>28.322537277426683</v>
      </c>
      <c r="K10321" s="9">
        <f t="shared" si="62"/>
        <v>24.363899823501406</v>
      </c>
    </row>
    <row r="10322" spans="1:11" x14ac:dyDescent="0.15">
      <c r="A10322" s="3">
        <f t="shared" si="63"/>
        <v>321</v>
      </c>
      <c r="B10322" s="3">
        <f t="shared" si="66"/>
        <v>33.657189421854568</v>
      </c>
      <c r="C10322" s="3">
        <f t="shared" si="67"/>
        <v>12.560194134252443</v>
      </c>
      <c r="F10322" s="9">
        <f t="shared" si="64"/>
        <v>357.6</v>
      </c>
      <c r="G10322" s="9">
        <f t="shared" si="58"/>
        <v>24.997368490296576</v>
      </c>
      <c r="H10322" s="9">
        <f t="shared" si="59"/>
        <v>21.874373038812404</v>
      </c>
      <c r="I10322" s="9">
        <f t="shared" si="65"/>
        <v>20.5</v>
      </c>
      <c r="J10322" s="9">
        <f t="shared" si="61"/>
        <v>28.322537277426683</v>
      </c>
      <c r="K10322" s="9">
        <f t="shared" si="62"/>
        <v>24.363899823501406</v>
      </c>
    </row>
    <row r="10323" spans="1:11" x14ac:dyDescent="0.15">
      <c r="A10323" s="3">
        <f t="shared" si="63"/>
        <v>322</v>
      </c>
      <c r="B10323" s="3">
        <f t="shared" si="66"/>
        <v>33.820161304100829</v>
      </c>
      <c r="C10323" s="3">
        <f t="shared" si="67"/>
        <v>12.765077870115128</v>
      </c>
      <c r="F10323" s="9">
        <f t="shared" si="64"/>
        <v>357.6</v>
      </c>
      <c r="G10323" s="9">
        <f t="shared" si="58"/>
        <v>24.997368490296576</v>
      </c>
      <c r="H10323" s="9">
        <f t="shared" si="59"/>
        <v>21.874373038812404</v>
      </c>
      <c r="I10323" s="9">
        <f t="shared" si="65"/>
        <v>20.5</v>
      </c>
      <c r="J10323" s="9">
        <f t="shared" si="61"/>
        <v>28.322537277426683</v>
      </c>
      <c r="K10323" s="9">
        <f t="shared" si="62"/>
        <v>24.363899823501406</v>
      </c>
    </row>
    <row r="10324" spans="1:11" x14ac:dyDescent="0.15">
      <c r="A10324" s="3">
        <f t="shared" si="63"/>
        <v>323</v>
      </c>
      <c r="B10324" s="3">
        <f t="shared" si="66"/>
        <v>33.979532650709395</v>
      </c>
      <c r="C10324" s="3">
        <f t="shared" si="67"/>
        <v>12.972774652719275</v>
      </c>
      <c r="F10324" s="9">
        <f t="shared" si="64"/>
        <v>357.6</v>
      </c>
      <c r="G10324" s="9">
        <f t="shared" si="58"/>
        <v>24.997368490296576</v>
      </c>
      <c r="H10324" s="9">
        <f t="shared" si="59"/>
        <v>21.874373038812404</v>
      </c>
      <c r="I10324" s="9">
        <f t="shared" si="65"/>
        <v>20.5</v>
      </c>
      <c r="J10324" s="9">
        <f t="shared" si="61"/>
        <v>28.322537277426683</v>
      </c>
      <c r="K10324" s="9">
        <f t="shared" si="62"/>
        <v>24.363899823501406</v>
      </c>
    </row>
    <row r="10325" spans="1:11" x14ac:dyDescent="0.15">
      <c r="A10325" s="3">
        <f t="shared" si="63"/>
        <v>324</v>
      </c>
      <c r="B10325" s="3">
        <f t="shared" si="66"/>
        <v>34.135254915624209</v>
      </c>
      <c r="C10325" s="3">
        <f t="shared" si="67"/>
        <v>13.1832212156129</v>
      </c>
      <c r="F10325" s="9">
        <f t="shared" si="64"/>
        <v>357.6</v>
      </c>
      <c r="G10325" s="9">
        <f t="shared" si="58"/>
        <v>24.997368490296576</v>
      </c>
      <c r="H10325" s="9">
        <f t="shared" si="59"/>
        <v>21.874373038812404</v>
      </c>
      <c r="I10325" s="9">
        <f t="shared" si="65"/>
        <v>20.5</v>
      </c>
      <c r="J10325" s="9">
        <f t="shared" si="61"/>
        <v>28.322537277426683</v>
      </c>
      <c r="K10325" s="9">
        <f t="shared" si="62"/>
        <v>24.363899823501406</v>
      </c>
    </row>
    <row r="10326" spans="1:11" x14ac:dyDescent="0.15">
      <c r="A10326" s="3">
        <f t="shared" si="63"/>
        <v>325</v>
      </c>
      <c r="B10326" s="3">
        <f t="shared" si="66"/>
        <v>34.287280664334872</v>
      </c>
      <c r="C10326" s="3">
        <f t="shared" si="67"/>
        <v>13.396353454734303</v>
      </c>
      <c r="F10326" s="9">
        <f t="shared" si="64"/>
        <v>357.6</v>
      </c>
      <c r="G10326" s="9">
        <f t="shared" si="58"/>
        <v>24.997368490296576</v>
      </c>
      <c r="H10326" s="9">
        <f t="shared" si="59"/>
        <v>21.874373038812404</v>
      </c>
      <c r="I10326" s="9">
        <f t="shared" si="65"/>
        <v>20.5</v>
      </c>
      <c r="J10326" s="9">
        <f t="shared" si="61"/>
        <v>28.322537277426683</v>
      </c>
      <c r="K10326" s="9">
        <f t="shared" si="62"/>
        <v>24.363899823501406</v>
      </c>
    </row>
    <row r="10327" spans="1:11" x14ac:dyDescent="0.15">
      <c r="A10327" s="3">
        <f t="shared" si="63"/>
        <v>326</v>
      </c>
      <c r="B10327" s="3">
        <f t="shared" si="66"/>
        <v>34.435563588325621</v>
      </c>
      <c r="C10327" s="3">
        <f t="shared" si="67"/>
        <v>13.612106447938789</v>
      </c>
      <c r="F10327" s="9">
        <f t="shared" si="64"/>
        <v>357.6</v>
      </c>
      <c r="G10327" s="9">
        <f t="shared" si="58"/>
        <v>24.997368490296576</v>
      </c>
      <c r="H10327" s="9">
        <f t="shared" si="59"/>
        <v>21.874373038812404</v>
      </c>
      <c r="I10327" s="9">
        <f t="shared" si="65"/>
        <v>20.5</v>
      </c>
      <c r="J10327" s="9">
        <f t="shared" si="61"/>
        <v>28.322537277426683</v>
      </c>
      <c r="K10327" s="9">
        <f t="shared" si="62"/>
        <v>24.363899823501406</v>
      </c>
    </row>
    <row r="10328" spans="1:11" x14ac:dyDescent="0.15">
      <c r="A10328" s="3">
        <f t="shared" si="63"/>
        <v>327</v>
      </c>
      <c r="B10328" s="3">
        <f t="shared" si="66"/>
        <v>34.580058519181364</v>
      </c>
      <c r="C10328" s="3">
        <f t="shared" si="67"/>
        <v>13.830414474774596</v>
      </c>
      <c r="F10328" s="9">
        <f t="shared" si="64"/>
        <v>357.6</v>
      </c>
      <c r="G10328" s="9">
        <f t="shared" si="58"/>
        <v>24.997368490296576</v>
      </c>
      <c r="H10328" s="9">
        <f t="shared" si="59"/>
        <v>21.874373038812404</v>
      </c>
      <c r="I10328" s="9">
        <f t="shared" si="65"/>
        <v>20.5</v>
      </c>
      <c r="J10328" s="9">
        <f t="shared" si="61"/>
        <v>28.322537277426683</v>
      </c>
      <c r="K10328" s="9">
        <f t="shared" si="62"/>
        <v>24.363899823501406</v>
      </c>
    </row>
    <row r="10329" spans="1:11" x14ac:dyDescent="0.15">
      <c r="A10329" s="3">
        <f t="shared" si="63"/>
        <v>328</v>
      </c>
      <c r="B10329" s="3">
        <f t="shared" si="66"/>
        <v>34.720721442346388</v>
      </c>
      <c r="C10329" s="3">
        <f t="shared" si="67"/>
        <v>14.051211036501925</v>
      </c>
      <c r="F10329" s="9">
        <f t="shared" si="64"/>
        <v>357.6</v>
      </c>
      <c r="G10329" s="9">
        <f t="shared" si="58"/>
        <v>24.997368490296576</v>
      </c>
      <c r="H10329" s="9">
        <f t="shared" si="59"/>
        <v>21.874373038812404</v>
      </c>
      <c r="I10329" s="9">
        <f t="shared" si="65"/>
        <v>20.5</v>
      </c>
      <c r="J10329" s="9">
        <f t="shared" si="61"/>
        <v>28.322537277426683</v>
      </c>
      <c r="K10329" s="9">
        <f t="shared" si="62"/>
        <v>24.363899823501406</v>
      </c>
    </row>
    <row r="10330" spans="1:11" x14ac:dyDescent="0.15">
      <c r="A10330" s="3">
        <f t="shared" si="63"/>
        <v>329</v>
      </c>
      <c r="B10330" s="3">
        <f t="shared" si="66"/>
        <v>34.857509510531685</v>
      </c>
      <c r="C10330" s="3">
        <f t="shared" si="67"/>
        <v>14.274428876349184</v>
      </c>
      <c r="F10330" s="9">
        <f t="shared" si="64"/>
        <v>357.6</v>
      </c>
      <c r="G10330" s="9">
        <f t="shared" si="58"/>
        <v>24.997368490296576</v>
      </c>
      <c r="H10330" s="9">
        <f t="shared" si="59"/>
        <v>21.874373038812404</v>
      </c>
      <c r="I10330" s="9">
        <f t="shared" si="65"/>
        <v>20.5</v>
      </c>
      <c r="J10330" s="9">
        <f t="shared" si="61"/>
        <v>28.322537277426683</v>
      </c>
      <c r="K10330" s="9">
        <f t="shared" si="62"/>
        <v>24.363899823501406</v>
      </c>
    </row>
    <row r="10331" spans="1:11" x14ac:dyDescent="0.15">
      <c r="A10331" s="3">
        <f t="shared" si="63"/>
        <v>330</v>
      </c>
      <c r="B10331" s="3">
        <f t="shared" si="66"/>
        <v>34.99038105676658</v>
      </c>
      <c r="C10331" s="3">
        <f t="shared" si="67"/>
        <v>14.499999999999993</v>
      </c>
      <c r="F10331" s="9">
        <f t="shared" si="64"/>
        <v>357.6</v>
      </c>
      <c r="G10331" s="9">
        <f t="shared" si="58"/>
        <v>24.997368490296576</v>
      </c>
      <c r="H10331" s="9">
        <f t="shared" si="59"/>
        <v>21.874373038812404</v>
      </c>
      <c r="I10331" s="9">
        <f t="shared" si="65"/>
        <v>20.5</v>
      </c>
      <c r="J10331" s="9">
        <f t="shared" si="61"/>
        <v>28.322537277426683</v>
      </c>
      <c r="K10331" s="9">
        <f t="shared" si="62"/>
        <v>24.363899823501406</v>
      </c>
    </row>
    <row r="10332" spans="1:11" x14ac:dyDescent="0.15">
      <c r="A10332" s="3">
        <f t="shared" si="63"/>
        <v>331</v>
      </c>
      <c r="B10332" s="3">
        <f t="shared" si="66"/>
        <v>35.119295607090933</v>
      </c>
      <c r="C10332" s="3">
        <f t="shared" si="67"/>
        <v>14.727855696304935</v>
      </c>
      <c r="F10332" s="9">
        <f t="shared" si="64"/>
        <v>357.6</v>
      </c>
      <c r="G10332" s="9">
        <f t="shared" si="58"/>
        <v>24.997368490296576</v>
      </c>
      <c r="H10332" s="9">
        <f t="shared" si="59"/>
        <v>21.874373038812404</v>
      </c>
      <c r="I10332" s="9">
        <f t="shared" si="65"/>
        <v>20.5</v>
      </c>
      <c r="J10332" s="9">
        <f t="shared" si="61"/>
        <v>28.322537277426683</v>
      </c>
      <c r="K10332" s="9">
        <f t="shared" si="62"/>
        <v>24.363899823501406</v>
      </c>
    </row>
    <row r="10333" spans="1:11" x14ac:dyDescent="0.15">
      <c r="A10333" s="3">
        <f t="shared" si="63"/>
        <v>332</v>
      </c>
      <c r="B10333" s="3">
        <f t="shared" si="66"/>
        <v>35.244213892883906</v>
      </c>
      <c r="C10333" s="3">
        <f t="shared" si="67"/>
        <v>14.957926558211639</v>
      </c>
      <c r="F10333" s="9">
        <f t="shared" si="64"/>
        <v>357.6</v>
      </c>
      <c r="G10333" s="9">
        <f t="shared" si="58"/>
        <v>24.997368490296576</v>
      </c>
      <c r="H10333" s="9">
        <f t="shared" si="59"/>
        <v>21.874373038812404</v>
      </c>
      <c r="I10333" s="9">
        <f t="shared" si="65"/>
        <v>20.5</v>
      </c>
      <c r="J10333" s="9">
        <f t="shared" si="61"/>
        <v>28.322537277426683</v>
      </c>
      <c r="K10333" s="9">
        <f t="shared" si="62"/>
        <v>24.363899823501406</v>
      </c>
    </row>
    <row r="10334" spans="1:11" x14ac:dyDescent="0.15">
      <c r="A10334" s="3">
        <f t="shared" si="63"/>
        <v>333</v>
      </c>
      <c r="B10334" s="3">
        <f t="shared" si="66"/>
        <v>35.365097862825515</v>
      </c>
      <c r="C10334" s="3">
        <f t="shared" si="67"/>
        <v>15.190142503906795</v>
      </c>
      <c r="F10334" s="9">
        <f t="shared" si="64"/>
        <v>357.6</v>
      </c>
      <c r="G10334" s="9">
        <f t="shared" si="58"/>
        <v>24.997368490296576</v>
      </c>
      <c r="H10334" s="9">
        <f t="shared" si="59"/>
        <v>21.874373038812404</v>
      </c>
      <c r="I10334" s="9">
        <f t="shared" si="65"/>
        <v>20.5</v>
      </c>
      <c r="J10334" s="9">
        <f t="shared" si="61"/>
        <v>28.322537277426683</v>
      </c>
      <c r="K10334" s="9">
        <f t="shared" si="62"/>
        <v>24.363899823501406</v>
      </c>
    </row>
    <row r="10335" spans="1:11" x14ac:dyDescent="0.15">
      <c r="A10335" s="3">
        <f t="shared" si="63"/>
        <v>334</v>
      </c>
      <c r="B10335" s="3">
        <f t="shared" si="66"/>
        <v>35.481910694487503</v>
      </c>
      <c r="C10335" s="3">
        <f t="shared" si="67"/>
        <v>15.424432798163833</v>
      </c>
      <c r="F10335" s="9">
        <f t="shared" si="64"/>
        <v>357.6</v>
      </c>
      <c r="G10335" s="9">
        <f t="shared" si="58"/>
        <v>24.997368490296576</v>
      </c>
      <c r="H10335" s="9">
        <f t="shared" si="59"/>
        <v>21.874373038812404</v>
      </c>
      <c r="I10335" s="9">
        <f t="shared" si="65"/>
        <v>20.5</v>
      </c>
      <c r="J10335" s="9">
        <f t="shared" si="61"/>
        <v>28.322537277426683</v>
      </c>
      <c r="K10335" s="9">
        <f t="shared" si="62"/>
        <v>24.363899823501406</v>
      </c>
    </row>
    <row r="10336" spans="1:11" x14ac:dyDescent="0.15">
      <c r="A10336" s="3">
        <f t="shared" si="63"/>
        <v>335</v>
      </c>
      <c r="B10336" s="3">
        <f t="shared" si="66"/>
        <v>35.594616805549748</v>
      </c>
      <c r="C10336" s="3">
        <f t="shared" si="67"/>
        <v>15.660726073889512</v>
      </c>
      <c r="F10336" s="9">
        <f t="shared" si="64"/>
        <v>357.6</v>
      </c>
      <c r="G10336" s="9">
        <f t="shared" si="58"/>
        <v>24.997368490296576</v>
      </c>
      <c r="H10336" s="9">
        <f t="shared" si="59"/>
        <v>21.874373038812404</v>
      </c>
      <c r="I10336" s="9">
        <f t="shared" si="65"/>
        <v>20.5</v>
      </c>
      <c r="J10336" s="9">
        <f t="shared" si="61"/>
        <v>28.322537277426683</v>
      </c>
      <c r="K10336" s="9">
        <f t="shared" si="62"/>
        <v>24.363899823501406</v>
      </c>
    </row>
    <row r="10337" spans="1:11" x14ac:dyDescent="0.15">
      <c r="A10337" s="3">
        <f t="shared" si="63"/>
        <v>336</v>
      </c>
      <c r="B10337" s="3">
        <f t="shared" si="66"/>
        <v>35.703181864639014</v>
      </c>
      <c r="C10337" s="3">
        <f t="shared" si="67"/>
        <v>15.898950353862997</v>
      </c>
      <c r="F10337" s="9">
        <f t="shared" si="64"/>
        <v>357.6</v>
      </c>
      <c r="G10337" s="9">
        <f t="shared" si="58"/>
        <v>24.997368490296576</v>
      </c>
      <c r="H10337" s="9">
        <f t="shared" si="59"/>
        <v>21.874373038812404</v>
      </c>
      <c r="I10337" s="9">
        <f t="shared" si="65"/>
        <v>20.5</v>
      </c>
      <c r="J10337" s="9">
        <f t="shared" si="61"/>
        <v>28.322537277426683</v>
      </c>
      <c r="K10337" s="9">
        <f t="shared" si="62"/>
        <v>24.363899823501406</v>
      </c>
    </row>
    <row r="10338" spans="1:11" x14ac:dyDescent="0.15">
      <c r="A10338" s="3">
        <f t="shared" si="63"/>
        <v>337</v>
      </c>
      <c r="B10338" s="3">
        <f t="shared" si="66"/>
        <v>35.807572801786606</v>
      </c>
      <c r="C10338" s="3">
        <f t="shared" si="67"/>
        <v>16.139033072660894</v>
      </c>
      <c r="F10338" s="9">
        <f t="shared" ref="F10338:F10369" si="68">MOD(F10337-$E$10006*$H$10207,360)</f>
        <v>357.6</v>
      </c>
      <c r="G10338" s="9">
        <f t="shared" ref="G10338:G10401" si="69">COS(F10338/180*PI())*$E$10001*$R$10017+$E$10002</f>
        <v>24.997368490296576</v>
      </c>
      <c r="H10338" s="9">
        <f t="shared" ref="H10338:H10401" si="70">SIN(F10338/180*PI())*$E$10001*$R$10017+$E$10003</f>
        <v>21.874373038812404</v>
      </c>
      <c r="I10338" s="9">
        <f t="shared" ref="I10338:I10369" si="71">MOD(I10337-$E$10006*$K$10207,360)</f>
        <v>20.5</v>
      </c>
      <c r="J10338" s="9">
        <f t="shared" ref="J10338:J10401" si="72">COS(I10338/180*PI())*$E$10001*$R$10021+$E$10002</f>
        <v>28.322537277426683</v>
      </c>
      <c r="K10338" s="9">
        <f t="shared" ref="K10338:K10401" si="73">SIN(I10338/180*PI())*$E$10001*$R$10021+$E$10003</f>
        <v>24.363899823501406</v>
      </c>
    </row>
    <row r="10339" spans="1:11" x14ac:dyDescent="0.15">
      <c r="A10339" s="3">
        <f t="shared" si="63"/>
        <v>338</v>
      </c>
      <c r="B10339" s="3">
        <f t="shared" si="66"/>
        <v>35.907757818501807</v>
      </c>
      <c r="C10339" s="3">
        <f t="shared" si="67"/>
        <v>16.380901098761314</v>
      </c>
      <c r="F10339" s="9">
        <f t="shared" si="68"/>
        <v>357.6</v>
      </c>
      <c r="G10339" s="9">
        <f t="shared" si="69"/>
        <v>24.997368490296576</v>
      </c>
      <c r="H10339" s="9">
        <f t="shared" si="70"/>
        <v>21.874373038812404</v>
      </c>
      <c r="I10339" s="9">
        <f t="shared" si="71"/>
        <v>20.5</v>
      </c>
      <c r="J10339" s="9">
        <f t="shared" si="72"/>
        <v>28.322537277426683</v>
      </c>
      <c r="K10339" s="9">
        <f t="shared" si="73"/>
        <v>24.363899823501406</v>
      </c>
    </row>
    <row r="10340" spans="1:11" x14ac:dyDescent="0.15">
      <c r="A10340" s="3">
        <f t="shared" si="63"/>
        <v>339</v>
      </c>
      <c r="B10340" s="3">
        <f t="shared" si="66"/>
        <v>36.003706397458025</v>
      </c>
      <c r="C10340" s="3">
        <f t="shared" si="67"/>
        <v>16.624480756820489</v>
      </c>
      <c r="F10340" s="9">
        <f t="shared" si="68"/>
        <v>357.6</v>
      </c>
      <c r="G10340" s="9">
        <f t="shared" si="69"/>
        <v>24.997368490296576</v>
      </c>
      <c r="H10340" s="9">
        <f t="shared" si="70"/>
        <v>21.874373038812404</v>
      </c>
      <c r="I10340" s="9">
        <f t="shared" si="71"/>
        <v>20.5</v>
      </c>
      <c r="J10340" s="9">
        <f t="shared" si="72"/>
        <v>28.322537277426683</v>
      </c>
      <c r="K10340" s="9">
        <f t="shared" si="73"/>
        <v>24.363899823501406</v>
      </c>
    </row>
    <row r="10341" spans="1:11" x14ac:dyDescent="0.15">
      <c r="A10341" s="3">
        <f t="shared" si="63"/>
        <v>340</v>
      </c>
      <c r="B10341" s="3">
        <f t="shared" si="66"/>
        <v>36.095389311788622</v>
      </c>
      <c r="C10341" s="3">
        <f t="shared" si="67"/>
        <v>16.86969785011496</v>
      </c>
      <c r="F10341" s="9">
        <f t="shared" si="68"/>
        <v>357.6</v>
      </c>
      <c r="G10341" s="9">
        <f t="shared" si="69"/>
        <v>24.997368490296576</v>
      </c>
      <c r="H10341" s="9">
        <f t="shared" si="70"/>
        <v>21.874373038812404</v>
      </c>
      <c r="I10341" s="9">
        <f t="shared" si="71"/>
        <v>20.5</v>
      </c>
      <c r="J10341" s="9">
        <f t="shared" si="72"/>
        <v>28.322537277426683</v>
      </c>
      <c r="K10341" s="9">
        <f t="shared" si="73"/>
        <v>24.363899823501406</v>
      </c>
    </row>
    <row r="10342" spans="1:11" x14ac:dyDescent="0.15">
      <c r="A10342" s="3">
        <f t="shared" si="63"/>
        <v>341</v>
      </c>
      <c r="B10342" s="3">
        <f t="shared" si="66"/>
        <v>36.182778633989756</v>
      </c>
      <c r="C10342" s="3">
        <f t="shared" si="67"/>
        <v>17.116477683142648</v>
      </c>
      <c r="F10342" s="9">
        <f t="shared" si="68"/>
        <v>357.6</v>
      </c>
      <c r="G10342" s="9">
        <f t="shared" si="69"/>
        <v>24.997368490296576</v>
      </c>
      <c r="H10342" s="9">
        <f t="shared" si="70"/>
        <v>21.874373038812404</v>
      </c>
      <c r="I10342" s="9">
        <f t="shared" si="71"/>
        <v>20.5</v>
      </c>
      <c r="J10342" s="9">
        <f t="shared" si="72"/>
        <v>28.322537277426683</v>
      </c>
      <c r="K10342" s="9">
        <f t="shared" si="73"/>
        <v>24.363899823501406</v>
      </c>
    </row>
    <row r="10343" spans="1:11" x14ac:dyDescent="0.15">
      <c r="A10343" s="3">
        <f t="shared" ref="A10343:A10361" si="74">A10342+1</f>
        <v>342</v>
      </c>
      <c r="B10343" s="3">
        <f t="shared" si="66"/>
        <v>36.265847744427305</v>
      </c>
      <c r="C10343" s="3">
        <f t="shared" si="67"/>
        <v>17.364745084375784</v>
      </c>
      <c r="F10343" s="9">
        <f t="shared" si="68"/>
        <v>357.6</v>
      </c>
      <c r="G10343" s="9">
        <f t="shared" si="69"/>
        <v>24.997368490296576</v>
      </c>
      <c r="H10343" s="9">
        <f t="shared" si="70"/>
        <v>21.874373038812404</v>
      </c>
      <c r="I10343" s="9">
        <f t="shared" si="71"/>
        <v>20.5</v>
      </c>
      <c r="J10343" s="9">
        <f t="shared" si="72"/>
        <v>28.322537277426683</v>
      </c>
      <c r="K10343" s="9">
        <f t="shared" si="73"/>
        <v>24.363899823501406</v>
      </c>
    </row>
    <row r="10344" spans="1:11" x14ac:dyDescent="0.15">
      <c r="A10344" s="3">
        <f t="shared" si="74"/>
        <v>343</v>
      </c>
      <c r="B10344" s="3">
        <f t="shared" si="66"/>
        <v>36.34457133944553</v>
      </c>
      <c r="C10344" s="3">
        <f t="shared" si="67"/>
        <v>17.614424429158944</v>
      </c>
      <c r="F10344" s="9">
        <f t="shared" si="68"/>
        <v>357.6</v>
      </c>
      <c r="G10344" s="9">
        <f t="shared" si="69"/>
        <v>24.997368490296576</v>
      </c>
      <c r="H10344" s="9">
        <f t="shared" si="70"/>
        <v>21.874373038812404</v>
      </c>
      <c r="I10344" s="9">
        <f t="shared" si="71"/>
        <v>20.5</v>
      </c>
      <c r="J10344" s="9">
        <f t="shared" si="72"/>
        <v>28.322537277426683</v>
      </c>
      <c r="K10344" s="9">
        <f t="shared" si="73"/>
        <v>24.363899823501406</v>
      </c>
    </row>
    <row r="10345" spans="1:11" x14ac:dyDescent="0.15">
      <c r="A10345" s="3">
        <f t="shared" si="74"/>
        <v>344</v>
      </c>
      <c r="B10345" s="3">
        <f t="shared" si="66"/>
        <v>36.418925439074783</v>
      </c>
      <c r="C10345" s="3">
        <f t="shared" si="67"/>
        <v>17.865439662745015</v>
      </c>
      <c r="F10345" s="9">
        <f t="shared" si="68"/>
        <v>357.6</v>
      </c>
      <c r="G10345" s="9">
        <f t="shared" si="69"/>
        <v>24.997368490296576</v>
      </c>
      <c r="H10345" s="9">
        <f t="shared" si="70"/>
        <v>21.874373038812404</v>
      </c>
      <c r="I10345" s="9">
        <f t="shared" si="71"/>
        <v>20.5</v>
      </c>
      <c r="J10345" s="9">
        <f t="shared" si="72"/>
        <v>28.322537277426683</v>
      </c>
      <c r="K10345" s="9">
        <f t="shared" si="73"/>
        <v>24.363899823501406</v>
      </c>
    </row>
    <row r="10346" spans="1:11" x14ac:dyDescent="0.15">
      <c r="A10346" s="3">
        <f t="shared" si="74"/>
        <v>345</v>
      </c>
      <c r="B10346" s="3">
        <f t="shared" si="66"/>
        <v>36.488887394336025</v>
      </c>
      <c r="C10346" s="3">
        <f t="shared" si="67"/>
        <v>18.117714323462188</v>
      </c>
      <c r="F10346" s="9">
        <f t="shared" si="68"/>
        <v>357.6</v>
      </c>
      <c r="G10346" s="9">
        <f t="shared" si="69"/>
        <v>24.997368490296576</v>
      </c>
      <c r="H10346" s="9">
        <f t="shared" si="70"/>
        <v>21.874373038812404</v>
      </c>
      <c r="I10346" s="9">
        <f t="shared" si="71"/>
        <v>20.5</v>
      </c>
      <c r="J10346" s="9">
        <f t="shared" si="72"/>
        <v>28.322537277426683</v>
      </c>
      <c r="K10346" s="9">
        <f t="shared" si="73"/>
        <v>24.363899823501406</v>
      </c>
    </row>
    <row r="10347" spans="1:11" x14ac:dyDescent="0.15">
      <c r="A10347" s="3">
        <f t="shared" si="74"/>
        <v>346</v>
      </c>
      <c r="B10347" s="3">
        <f t="shared" si="66"/>
        <v>36.554435894139949</v>
      </c>
      <c r="C10347" s="3">
        <f t="shared" si="67"/>
        <v>18.371171566004982</v>
      </c>
      <c r="F10347" s="9">
        <f t="shared" si="68"/>
        <v>357.6</v>
      </c>
      <c r="G10347" s="9">
        <f t="shared" si="69"/>
        <v>24.997368490296576</v>
      </c>
      <c r="H10347" s="9">
        <f t="shared" si="70"/>
        <v>21.874373038812404</v>
      </c>
      <c r="I10347" s="9">
        <f t="shared" si="71"/>
        <v>20.5</v>
      </c>
      <c r="J10347" s="9">
        <f t="shared" si="72"/>
        <v>28.322537277426683</v>
      </c>
      <c r="K10347" s="9">
        <f t="shared" si="73"/>
        <v>24.363899823501406</v>
      </c>
    </row>
    <row r="10348" spans="1:11" x14ac:dyDescent="0.15">
      <c r="A10348" s="3">
        <f t="shared" si="74"/>
        <v>347</v>
      </c>
      <c r="B10348" s="3">
        <f t="shared" si="66"/>
        <v>36.615550971778525</v>
      </c>
      <c r="C10348" s="3">
        <f t="shared" si="67"/>
        <v>18.62573418484202</v>
      </c>
      <c r="F10348" s="9">
        <f t="shared" si="68"/>
        <v>357.6</v>
      </c>
      <c r="G10348" s="9">
        <f t="shared" si="69"/>
        <v>24.997368490296576</v>
      </c>
      <c r="H10348" s="9">
        <f t="shared" si="70"/>
        <v>21.874373038812404</v>
      </c>
      <c r="I10348" s="9">
        <f t="shared" si="71"/>
        <v>20.5</v>
      </c>
      <c r="J10348" s="9">
        <f t="shared" si="72"/>
        <v>28.322537277426683</v>
      </c>
      <c r="K10348" s="9">
        <f t="shared" si="73"/>
        <v>24.363899823501406</v>
      </c>
    </row>
    <row r="10349" spans="1:11" x14ac:dyDescent="0.15">
      <c r="A10349" s="3">
        <f t="shared" si="74"/>
        <v>348</v>
      </c>
      <c r="B10349" s="3">
        <f t="shared" si="66"/>
        <v>36.672214011007085</v>
      </c>
      <c r="C10349" s="3">
        <f t="shared" si="67"/>
        <v>18.881324637733602</v>
      </c>
      <c r="F10349" s="9">
        <f t="shared" si="68"/>
        <v>357.6</v>
      </c>
      <c r="G10349" s="9">
        <f t="shared" si="69"/>
        <v>24.997368490296576</v>
      </c>
      <c r="H10349" s="9">
        <f t="shared" si="70"/>
        <v>21.874373038812404</v>
      </c>
      <c r="I10349" s="9">
        <f t="shared" si="71"/>
        <v>20.5</v>
      </c>
      <c r="J10349" s="9">
        <f t="shared" si="72"/>
        <v>28.322537277426683</v>
      </c>
      <c r="K10349" s="9">
        <f t="shared" si="73"/>
        <v>24.363899823501406</v>
      </c>
    </row>
    <row r="10350" spans="1:11" x14ac:dyDescent="0.15">
      <c r="A10350" s="3">
        <f t="shared" si="74"/>
        <v>349</v>
      </c>
      <c r="B10350" s="3">
        <f t="shared" si="66"/>
        <v>36.724407751714963</v>
      </c>
      <c r="C10350" s="3">
        <f t="shared" si="67"/>
        <v>19.137865069351829</v>
      </c>
      <c r="F10350" s="9">
        <f t="shared" si="68"/>
        <v>357.6</v>
      </c>
      <c r="G10350" s="9">
        <f t="shared" si="69"/>
        <v>24.997368490296576</v>
      </c>
      <c r="H10350" s="9">
        <f t="shared" si="70"/>
        <v>21.874373038812404</v>
      </c>
      <c r="I10350" s="9">
        <f t="shared" si="71"/>
        <v>20.5</v>
      </c>
      <c r="J10350" s="9">
        <f t="shared" si="72"/>
        <v>28.322537277426683</v>
      </c>
      <c r="K10350" s="9">
        <f t="shared" si="73"/>
        <v>24.363899823501406</v>
      </c>
    </row>
    <row r="10351" spans="1:11" x14ac:dyDescent="0.15">
      <c r="A10351" s="3">
        <f t="shared" si="74"/>
        <v>350</v>
      </c>
      <c r="B10351" s="3">
        <f t="shared" si="66"/>
        <v>36.772116295183125</v>
      </c>
      <c r="C10351" s="3">
        <f t="shared" si="67"/>
        <v>19.395277334996045</v>
      </c>
      <c r="F10351" s="9">
        <f t="shared" si="68"/>
        <v>357.6</v>
      </c>
      <c r="G10351" s="9">
        <f t="shared" si="69"/>
        <v>24.997368490296576</v>
      </c>
      <c r="H10351" s="9">
        <f t="shared" si="70"/>
        <v>21.874373038812404</v>
      </c>
      <c r="I10351" s="9">
        <f t="shared" si="71"/>
        <v>20.5</v>
      </c>
      <c r="J10351" s="9">
        <f t="shared" si="72"/>
        <v>28.322537277426683</v>
      </c>
      <c r="K10351" s="9">
        <f t="shared" si="73"/>
        <v>24.363899823501406</v>
      </c>
    </row>
    <row r="10352" spans="1:11" x14ac:dyDescent="0.15">
      <c r="A10352" s="3">
        <f t="shared" si="74"/>
        <v>351</v>
      </c>
      <c r="B10352" s="3">
        <f t="shared" si="66"/>
        <v>36.815325108927063</v>
      </c>
      <c r="C10352" s="3">
        <f t="shared" si="67"/>
        <v>19.653483024396532</v>
      </c>
      <c r="F10352" s="9">
        <f t="shared" si="68"/>
        <v>357.6</v>
      </c>
      <c r="G10352" s="9">
        <f t="shared" si="69"/>
        <v>24.997368490296576</v>
      </c>
      <c r="H10352" s="9">
        <f t="shared" si="70"/>
        <v>21.874373038812404</v>
      </c>
      <c r="I10352" s="9">
        <f t="shared" si="71"/>
        <v>20.5</v>
      </c>
      <c r="J10352" s="9">
        <f t="shared" si="72"/>
        <v>28.322537277426683</v>
      </c>
      <c r="K10352" s="9">
        <f t="shared" si="73"/>
        <v>24.363899823501406</v>
      </c>
    </row>
    <row r="10353" spans="1:11" x14ac:dyDescent="0.15">
      <c r="A10353" s="3">
        <f t="shared" si="74"/>
        <v>352</v>
      </c>
      <c r="B10353" s="3">
        <f t="shared" si="66"/>
        <v>36.854021031123551</v>
      </c>
      <c r="C10353" s="3">
        <f t="shared" si="67"/>
        <v>19.912403485599011</v>
      </c>
      <c r="F10353" s="9">
        <f t="shared" si="68"/>
        <v>357.6</v>
      </c>
      <c r="G10353" s="9">
        <f t="shared" si="69"/>
        <v>24.997368490296576</v>
      </c>
      <c r="H10353" s="9">
        <f t="shared" si="70"/>
        <v>21.874373038812404</v>
      </c>
      <c r="I10353" s="9">
        <f t="shared" si="71"/>
        <v>20.5</v>
      </c>
      <c r="J10353" s="9">
        <f t="shared" si="72"/>
        <v>28.322537277426683</v>
      </c>
      <c r="K10353" s="9">
        <f t="shared" si="73"/>
        <v>24.363899823501406</v>
      </c>
    </row>
    <row r="10354" spans="1:11" x14ac:dyDescent="0.15">
      <c r="A10354" s="3">
        <f t="shared" si="74"/>
        <v>353</v>
      </c>
      <c r="B10354" s="3">
        <f t="shared" si="66"/>
        <v>36.888192274619826</v>
      </c>
      <c r="C10354" s="3">
        <f t="shared" si="67"/>
        <v>20.171959848922778</v>
      </c>
      <c r="F10354" s="9">
        <f t="shared" si="68"/>
        <v>357.6</v>
      </c>
      <c r="G10354" s="9">
        <f t="shared" si="69"/>
        <v>24.997368490296576</v>
      </c>
      <c r="H10354" s="9">
        <f t="shared" si="70"/>
        <v>21.874373038812404</v>
      </c>
      <c r="I10354" s="9">
        <f t="shared" si="71"/>
        <v>20.5</v>
      </c>
      <c r="J10354" s="9">
        <f t="shared" si="72"/>
        <v>28.322537277426683</v>
      </c>
      <c r="K10354" s="9">
        <f t="shared" si="73"/>
        <v>24.363899823501406</v>
      </c>
    </row>
    <row r="10355" spans="1:11" x14ac:dyDescent="0.15">
      <c r="A10355" s="3">
        <f t="shared" si="74"/>
        <v>354</v>
      </c>
      <c r="B10355" s="3">
        <f t="shared" si="66"/>
        <v>36.917828430524096</v>
      </c>
      <c r="C10355" s="3">
        <f t="shared" si="67"/>
        <v>20.432073050985185</v>
      </c>
      <c r="F10355" s="9">
        <f t="shared" si="68"/>
        <v>357.6</v>
      </c>
      <c r="G10355" s="9">
        <f t="shared" si="69"/>
        <v>24.997368490296576</v>
      </c>
      <c r="H10355" s="9">
        <f t="shared" si="70"/>
        <v>21.874373038812404</v>
      </c>
      <c r="I10355" s="9">
        <f t="shared" si="71"/>
        <v>20.5</v>
      </c>
      <c r="J10355" s="9">
        <f t="shared" si="72"/>
        <v>28.322537277426683</v>
      </c>
      <c r="K10355" s="9">
        <f t="shared" si="73"/>
        <v>24.363899823501406</v>
      </c>
    </row>
    <row r="10356" spans="1:11" x14ac:dyDescent="0.15">
      <c r="A10356" s="3">
        <f t="shared" si="74"/>
        <v>355</v>
      </c>
      <c r="B10356" s="3">
        <f t="shared" si="66"/>
        <v>36.942920471376183</v>
      </c>
      <c r="C10356" s="3">
        <f t="shared" si="67"/>
        <v>20.692663858785124</v>
      </c>
      <c r="F10356" s="9">
        <f t="shared" si="68"/>
        <v>357.6</v>
      </c>
      <c r="G10356" s="9">
        <f t="shared" si="69"/>
        <v>24.997368490296576</v>
      </c>
      <c r="H10356" s="9">
        <f t="shared" si="70"/>
        <v>21.874373038812404</v>
      </c>
      <c r="I10356" s="9">
        <f t="shared" si="71"/>
        <v>20.5</v>
      </c>
      <c r="J10356" s="9">
        <f t="shared" si="72"/>
        <v>28.322537277426683</v>
      </c>
      <c r="K10356" s="9">
        <f t="shared" si="73"/>
        <v>24.363899823501406</v>
      </c>
    </row>
    <row r="10357" spans="1:11" x14ac:dyDescent="0.15">
      <c r="A10357" s="3">
        <f t="shared" si="74"/>
        <v>356</v>
      </c>
      <c r="B10357" s="3">
        <f t="shared" si="66"/>
        <v>36.963460753897365</v>
      </c>
      <c r="C10357" s="3">
        <f t="shared" si="67"/>
        <v>20.953652893838115</v>
      </c>
      <c r="F10357" s="9">
        <f t="shared" si="68"/>
        <v>357.6</v>
      </c>
      <c r="G10357" s="9">
        <f t="shared" si="69"/>
        <v>24.997368490296576</v>
      </c>
      <c r="H10357" s="9">
        <f t="shared" si="70"/>
        <v>21.874373038812404</v>
      </c>
      <c r="I10357" s="9">
        <f t="shared" si="71"/>
        <v>20.5</v>
      </c>
      <c r="J10357" s="9">
        <f t="shared" si="72"/>
        <v>28.322537277426683</v>
      </c>
      <c r="K10357" s="9">
        <f t="shared" si="73"/>
        <v>24.363899823501406</v>
      </c>
    </row>
    <row r="10358" spans="1:11" x14ac:dyDescent="0.15">
      <c r="A10358" s="3">
        <f t="shared" si="74"/>
        <v>357</v>
      </c>
      <c r="B10358" s="3">
        <f t="shared" si="66"/>
        <v>36.979443021318609</v>
      </c>
      <c r="C10358" s="3">
        <f t="shared" si="67"/>
        <v>21.214960656355849</v>
      </c>
      <c r="F10358" s="9">
        <f t="shared" si="68"/>
        <v>357.6</v>
      </c>
      <c r="G10358" s="9">
        <f t="shared" si="69"/>
        <v>24.997368490296576</v>
      </c>
      <c r="H10358" s="9">
        <f t="shared" si="70"/>
        <v>21.874373038812404</v>
      </c>
      <c r="I10358" s="9">
        <f t="shared" si="71"/>
        <v>20.5</v>
      </c>
      <c r="J10358" s="9">
        <f t="shared" si="72"/>
        <v>28.322537277426683</v>
      </c>
      <c r="K10358" s="9">
        <f t="shared" si="73"/>
        <v>24.363899823501406</v>
      </c>
    </row>
    <row r="10359" spans="1:11" x14ac:dyDescent="0.15">
      <c r="A10359" s="3">
        <f t="shared" si="74"/>
        <v>358</v>
      </c>
      <c r="B10359" s="3">
        <f t="shared" si="66"/>
        <v>36.990862405286435</v>
      </c>
      <c r="C10359" s="3">
        <f t="shared" si="67"/>
        <v>21.476507549462486</v>
      </c>
      <c r="F10359" s="9">
        <f t="shared" si="68"/>
        <v>357.6</v>
      </c>
      <c r="G10359" s="9">
        <f t="shared" si="69"/>
        <v>24.997368490296576</v>
      </c>
      <c r="H10359" s="9">
        <f t="shared" si="70"/>
        <v>21.874373038812404</v>
      </c>
      <c r="I10359" s="9">
        <f t="shared" si="71"/>
        <v>20.5</v>
      </c>
      <c r="J10359" s="9">
        <f t="shared" si="72"/>
        <v>28.322537277426683</v>
      </c>
      <c r="K10359" s="9">
        <f t="shared" si="73"/>
        <v>24.363899823501406</v>
      </c>
    </row>
    <row r="10360" spans="1:11" x14ac:dyDescent="0.15">
      <c r="A10360" s="3">
        <f t="shared" si="74"/>
        <v>359</v>
      </c>
      <c r="B10360" s="3">
        <f t="shared" si="66"/>
        <v>36.997715427345867</v>
      </c>
      <c r="C10360" s="3">
        <f t="shared" si="67"/>
        <v>21.738213903440748</v>
      </c>
      <c r="F10360" s="9">
        <f t="shared" si="68"/>
        <v>357.6</v>
      </c>
      <c r="G10360" s="9">
        <f t="shared" si="69"/>
        <v>24.997368490296576</v>
      </c>
      <c r="H10360" s="9">
        <f t="shared" si="70"/>
        <v>21.874373038812404</v>
      </c>
      <c r="I10360" s="9">
        <f t="shared" si="71"/>
        <v>20.5</v>
      </c>
      <c r="J10360" s="9">
        <f t="shared" si="72"/>
        <v>28.322537277426683</v>
      </c>
      <c r="K10360" s="9">
        <f t="shared" si="73"/>
        <v>24.363899823501406</v>
      </c>
    </row>
    <row r="10361" spans="1:11" x14ac:dyDescent="0.15">
      <c r="A10361" s="3">
        <f t="shared" si="74"/>
        <v>360</v>
      </c>
      <c r="B10361" s="3">
        <f t="shared" si="66"/>
        <v>37</v>
      </c>
      <c r="C10361" s="3">
        <f t="shared" si="67"/>
        <v>21.999999999999996</v>
      </c>
      <c r="F10361" s="9">
        <f t="shared" si="68"/>
        <v>357.6</v>
      </c>
      <c r="G10361" s="9">
        <f t="shared" si="69"/>
        <v>24.997368490296576</v>
      </c>
      <c r="H10361" s="9">
        <f t="shared" si="70"/>
        <v>21.874373038812404</v>
      </c>
      <c r="I10361" s="9">
        <f t="shared" si="71"/>
        <v>20.5</v>
      </c>
      <c r="J10361" s="9">
        <f t="shared" si="72"/>
        <v>28.322537277426683</v>
      </c>
      <c r="K10361" s="9">
        <f t="shared" si="73"/>
        <v>24.363899823501406</v>
      </c>
    </row>
    <row r="10362" spans="1:11" x14ac:dyDescent="0.15">
      <c r="F10362" s="9">
        <f t="shared" si="68"/>
        <v>357.6</v>
      </c>
      <c r="G10362" s="9">
        <f t="shared" si="69"/>
        <v>24.997368490296576</v>
      </c>
      <c r="H10362" s="9">
        <f t="shared" si="70"/>
        <v>21.874373038812404</v>
      </c>
      <c r="I10362" s="9">
        <f t="shared" si="71"/>
        <v>20.5</v>
      </c>
      <c r="J10362" s="9">
        <f t="shared" si="72"/>
        <v>28.322537277426683</v>
      </c>
      <c r="K10362" s="9">
        <f t="shared" si="73"/>
        <v>24.363899823501406</v>
      </c>
    </row>
    <row r="10363" spans="1:11" x14ac:dyDescent="0.15">
      <c r="F10363" s="9">
        <f t="shared" si="68"/>
        <v>357.6</v>
      </c>
      <c r="G10363" s="9">
        <f t="shared" si="69"/>
        <v>24.997368490296576</v>
      </c>
      <c r="H10363" s="9">
        <f t="shared" si="70"/>
        <v>21.874373038812404</v>
      </c>
      <c r="I10363" s="9">
        <f t="shared" si="71"/>
        <v>20.5</v>
      </c>
      <c r="J10363" s="9">
        <f t="shared" si="72"/>
        <v>28.322537277426683</v>
      </c>
      <c r="K10363" s="9">
        <f t="shared" si="73"/>
        <v>24.363899823501406</v>
      </c>
    </row>
    <row r="10364" spans="1:11" x14ac:dyDescent="0.15">
      <c r="F10364" s="9">
        <f t="shared" si="68"/>
        <v>357.6</v>
      </c>
      <c r="G10364" s="9">
        <f t="shared" si="69"/>
        <v>24.997368490296576</v>
      </c>
      <c r="H10364" s="9">
        <f t="shared" si="70"/>
        <v>21.874373038812404</v>
      </c>
      <c r="I10364" s="9">
        <f t="shared" si="71"/>
        <v>20.5</v>
      </c>
      <c r="J10364" s="9">
        <f t="shared" si="72"/>
        <v>28.322537277426683</v>
      </c>
      <c r="K10364" s="9">
        <f t="shared" si="73"/>
        <v>24.363899823501406</v>
      </c>
    </row>
    <row r="10365" spans="1:11" x14ac:dyDescent="0.15">
      <c r="F10365" s="9">
        <f t="shared" si="68"/>
        <v>357.6</v>
      </c>
      <c r="G10365" s="9">
        <f t="shared" si="69"/>
        <v>24.997368490296576</v>
      </c>
      <c r="H10365" s="9">
        <f t="shared" si="70"/>
        <v>21.874373038812404</v>
      </c>
      <c r="I10365" s="9">
        <f t="shared" si="71"/>
        <v>20.5</v>
      </c>
      <c r="J10365" s="9">
        <f t="shared" si="72"/>
        <v>28.322537277426683</v>
      </c>
      <c r="K10365" s="9">
        <f t="shared" si="73"/>
        <v>24.363899823501406</v>
      </c>
    </row>
    <row r="10366" spans="1:11" x14ac:dyDescent="0.15">
      <c r="F10366" s="9">
        <f t="shared" si="68"/>
        <v>357.6</v>
      </c>
      <c r="G10366" s="9">
        <f t="shared" si="69"/>
        <v>24.997368490296576</v>
      </c>
      <c r="H10366" s="9">
        <f t="shared" si="70"/>
        <v>21.874373038812404</v>
      </c>
      <c r="I10366" s="9">
        <f t="shared" si="71"/>
        <v>20.5</v>
      </c>
      <c r="J10366" s="9">
        <f t="shared" si="72"/>
        <v>28.322537277426683</v>
      </c>
      <c r="K10366" s="9">
        <f t="shared" si="73"/>
        <v>24.363899823501406</v>
      </c>
    </row>
    <row r="10367" spans="1:11" x14ac:dyDescent="0.15">
      <c r="F10367" s="9">
        <f t="shared" si="68"/>
        <v>357.6</v>
      </c>
      <c r="G10367" s="9">
        <f t="shared" si="69"/>
        <v>24.997368490296576</v>
      </c>
      <c r="H10367" s="9">
        <f t="shared" si="70"/>
        <v>21.874373038812404</v>
      </c>
      <c r="I10367" s="9">
        <f t="shared" si="71"/>
        <v>20.5</v>
      </c>
      <c r="J10367" s="9">
        <f t="shared" si="72"/>
        <v>28.322537277426683</v>
      </c>
      <c r="K10367" s="9">
        <f t="shared" si="73"/>
        <v>24.363899823501406</v>
      </c>
    </row>
    <row r="10368" spans="1:11" x14ac:dyDescent="0.15">
      <c r="F10368" s="9">
        <f t="shared" si="68"/>
        <v>357.6</v>
      </c>
      <c r="G10368" s="9">
        <f t="shared" si="69"/>
        <v>24.997368490296576</v>
      </c>
      <c r="H10368" s="9">
        <f t="shared" si="70"/>
        <v>21.874373038812404</v>
      </c>
      <c r="I10368" s="9">
        <f t="shared" si="71"/>
        <v>20.5</v>
      </c>
      <c r="J10368" s="9">
        <f t="shared" si="72"/>
        <v>28.322537277426683</v>
      </c>
      <c r="K10368" s="9">
        <f t="shared" si="73"/>
        <v>24.363899823501406</v>
      </c>
    </row>
    <row r="10369" spans="6:11" x14ac:dyDescent="0.15">
      <c r="F10369" s="9">
        <f t="shared" si="68"/>
        <v>357.6</v>
      </c>
      <c r="G10369" s="9">
        <f t="shared" si="69"/>
        <v>24.997368490296576</v>
      </c>
      <c r="H10369" s="9">
        <f t="shared" si="70"/>
        <v>21.874373038812404</v>
      </c>
      <c r="I10369" s="9">
        <f t="shared" si="71"/>
        <v>20.5</v>
      </c>
      <c r="J10369" s="9">
        <f t="shared" si="72"/>
        <v>28.322537277426683</v>
      </c>
      <c r="K10369" s="9">
        <f t="shared" si="73"/>
        <v>24.363899823501406</v>
      </c>
    </row>
    <row r="10370" spans="6:11" x14ac:dyDescent="0.15">
      <c r="F10370" s="9">
        <f t="shared" ref="F10370:F10401" si="75">MOD(F10369-$E$10006*$H$10207,360)</f>
        <v>357.6</v>
      </c>
      <c r="G10370" s="9">
        <f t="shared" si="69"/>
        <v>24.997368490296576</v>
      </c>
      <c r="H10370" s="9">
        <f t="shared" si="70"/>
        <v>21.874373038812404</v>
      </c>
      <c r="I10370" s="9">
        <f t="shared" ref="I10370:I10401" si="76">MOD(I10369-$E$10006*$K$10207,360)</f>
        <v>20.5</v>
      </c>
      <c r="J10370" s="9">
        <f t="shared" si="72"/>
        <v>28.322537277426683</v>
      </c>
      <c r="K10370" s="9">
        <f t="shared" si="73"/>
        <v>24.363899823501406</v>
      </c>
    </row>
    <row r="10371" spans="6:11" x14ac:dyDescent="0.15">
      <c r="F10371" s="9">
        <f t="shared" si="75"/>
        <v>357.6</v>
      </c>
      <c r="G10371" s="9">
        <f t="shared" si="69"/>
        <v>24.997368490296576</v>
      </c>
      <c r="H10371" s="9">
        <f t="shared" si="70"/>
        <v>21.874373038812404</v>
      </c>
      <c r="I10371" s="9">
        <f t="shared" si="76"/>
        <v>20.5</v>
      </c>
      <c r="J10371" s="9">
        <f t="shared" si="72"/>
        <v>28.322537277426683</v>
      </c>
      <c r="K10371" s="9">
        <f t="shared" si="73"/>
        <v>24.363899823501406</v>
      </c>
    </row>
    <row r="10372" spans="6:11" x14ac:dyDescent="0.15">
      <c r="F10372" s="9">
        <f t="shared" si="75"/>
        <v>357.6</v>
      </c>
      <c r="G10372" s="9">
        <f t="shared" si="69"/>
        <v>24.997368490296576</v>
      </c>
      <c r="H10372" s="9">
        <f t="shared" si="70"/>
        <v>21.874373038812404</v>
      </c>
      <c r="I10372" s="9">
        <f t="shared" si="76"/>
        <v>20.5</v>
      </c>
      <c r="J10372" s="9">
        <f t="shared" si="72"/>
        <v>28.322537277426683</v>
      </c>
      <c r="K10372" s="9">
        <f t="shared" si="73"/>
        <v>24.363899823501406</v>
      </c>
    </row>
    <row r="10373" spans="6:11" x14ac:dyDescent="0.15">
      <c r="F10373" s="9">
        <f t="shared" si="75"/>
        <v>357.6</v>
      </c>
      <c r="G10373" s="9">
        <f t="shared" si="69"/>
        <v>24.997368490296576</v>
      </c>
      <c r="H10373" s="9">
        <f t="shared" si="70"/>
        <v>21.874373038812404</v>
      </c>
      <c r="I10373" s="9">
        <f t="shared" si="76"/>
        <v>20.5</v>
      </c>
      <c r="J10373" s="9">
        <f t="shared" si="72"/>
        <v>28.322537277426683</v>
      </c>
      <c r="K10373" s="9">
        <f t="shared" si="73"/>
        <v>24.363899823501406</v>
      </c>
    </row>
    <row r="10374" spans="6:11" x14ac:dyDescent="0.15">
      <c r="F10374" s="9">
        <f t="shared" si="75"/>
        <v>357.6</v>
      </c>
      <c r="G10374" s="9">
        <f t="shared" si="69"/>
        <v>24.997368490296576</v>
      </c>
      <c r="H10374" s="9">
        <f t="shared" si="70"/>
        <v>21.874373038812404</v>
      </c>
      <c r="I10374" s="9">
        <f t="shared" si="76"/>
        <v>20.5</v>
      </c>
      <c r="J10374" s="9">
        <f t="shared" si="72"/>
        <v>28.322537277426683</v>
      </c>
      <c r="K10374" s="9">
        <f t="shared" si="73"/>
        <v>24.363899823501406</v>
      </c>
    </row>
    <row r="10375" spans="6:11" x14ac:dyDescent="0.15">
      <c r="F10375" s="9">
        <f t="shared" si="75"/>
        <v>357.6</v>
      </c>
      <c r="G10375" s="9">
        <f t="shared" si="69"/>
        <v>24.997368490296576</v>
      </c>
      <c r="H10375" s="9">
        <f t="shared" si="70"/>
        <v>21.874373038812404</v>
      </c>
      <c r="I10375" s="9">
        <f t="shared" si="76"/>
        <v>20.5</v>
      </c>
      <c r="J10375" s="9">
        <f t="shared" si="72"/>
        <v>28.322537277426683</v>
      </c>
      <c r="K10375" s="9">
        <f t="shared" si="73"/>
        <v>24.363899823501406</v>
      </c>
    </row>
    <row r="10376" spans="6:11" x14ac:dyDescent="0.15">
      <c r="F10376" s="9">
        <f t="shared" si="75"/>
        <v>357.6</v>
      </c>
      <c r="G10376" s="9">
        <f t="shared" si="69"/>
        <v>24.997368490296576</v>
      </c>
      <c r="H10376" s="9">
        <f t="shared" si="70"/>
        <v>21.874373038812404</v>
      </c>
      <c r="I10376" s="9">
        <f t="shared" si="76"/>
        <v>20.5</v>
      </c>
      <c r="J10376" s="9">
        <f t="shared" si="72"/>
        <v>28.322537277426683</v>
      </c>
      <c r="K10376" s="9">
        <f t="shared" si="73"/>
        <v>24.363899823501406</v>
      </c>
    </row>
    <row r="10377" spans="6:11" x14ac:dyDescent="0.15">
      <c r="F10377" s="9">
        <f t="shared" si="75"/>
        <v>357.6</v>
      </c>
      <c r="G10377" s="9">
        <f t="shared" si="69"/>
        <v>24.997368490296576</v>
      </c>
      <c r="H10377" s="9">
        <f t="shared" si="70"/>
        <v>21.874373038812404</v>
      </c>
      <c r="I10377" s="9">
        <f t="shared" si="76"/>
        <v>20.5</v>
      </c>
      <c r="J10377" s="9">
        <f t="shared" si="72"/>
        <v>28.322537277426683</v>
      </c>
      <c r="K10377" s="9">
        <f t="shared" si="73"/>
        <v>24.363899823501406</v>
      </c>
    </row>
    <row r="10378" spans="6:11" x14ac:dyDescent="0.15">
      <c r="F10378" s="9">
        <f t="shared" si="75"/>
        <v>357.6</v>
      </c>
      <c r="G10378" s="9">
        <f t="shared" si="69"/>
        <v>24.997368490296576</v>
      </c>
      <c r="H10378" s="9">
        <f t="shared" si="70"/>
        <v>21.874373038812404</v>
      </c>
      <c r="I10378" s="9">
        <f t="shared" si="76"/>
        <v>20.5</v>
      </c>
      <c r="J10378" s="9">
        <f t="shared" si="72"/>
        <v>28.322537277426683</v>
      </c>
      <c r="K10378" s="9">
        <f t="shared" si="73"/>
        <v>24.363899823501406</v>
      </c>
    </row>
    <row r="10379" spans="6:11" x14ac:dyDescent="0.15">
      <c r="F10379" s="9">
        <f t="shared" si="75"/>
        <v>357.6</v>
      </c>
      <c r="G10379" s="9">
        <f t="shared" si="69"/>
        <v>24.997368490296576</v>
      </c>
      <c r="H10379" s="9">
        <f t="shared" si="70"/>
        <v>21.874373038812404</v>
      </c>
      <c r="I10379" s="9">
        <f t="shared" si="76"/>
        <v>20.5</v>
      </c>
      <c r="J10379" s="9">
        <f t="shared" si="72"/>
        <v>28.322537277426683</v>
      </c>
      <c r="K10379" s="9">
        <f t="shared" si="73"/>
        <v>24.363899823501406</v>
      </c>
    </row>
    <row r="10380" spans="6:11" x14ac:dyDescent="0.15">
      <c r="F10380" s="9">
        <f t="shared" si="75"/>
        <v>357.6</v>
      </c>
      <c r="G10380" s="9">
        <f t="shared" si="69"/>
        <v>24.997368490296576</v>
      </c>
      <c r="H10380" s="9">
        <f t="shared" si="70"/>
        <v>21.874373038812404</v>
      </c>
      <c r="I10380" s="9">
        <f t="shared" si="76"/>
        <v>20.5</v>
      </c>
      <c r="J10380" s="9">
        <f t="shared" si="72"/>
        <v>28.322537277426683</v>
      </c>
      <c r="K10380" s="9">
        <f t="shared" si="73"/>
        <v>24.363899823501406</v>
      </c>
    </row>
    <row r="10381" spans="6:11" x14ac:dyDescent="0.15">
      <c r="F10381" s="9">
        <f t="shared" si="75"/>
        <v>357.6</v>
      </c>
      <c r="G10381" s="9">
        <f t="shared" si="69"/>
        <v>24.997368490296576</v>
      </c>
      <c r="H10381" s="9">
        <f t="shared" si="70"/>
        <v>21.874373038812404</v>
      </c>
      <c r="I10381" s="9">
        <f t="shared" si="76"/>
        <v>20.5</v>
      </c>
      <c r="J10381" s="9">
        <f t="shared" si="72"/>
        <v>28.322537277426683</v>
      </c>
      <c r="K10381" s="9">
        <f t="shared" si="73"/>
        <v>24.363899823501406</v>
      </c>
    </row>
    <row r="10382" spans="6:11" x14ac:dyDescent="0.15">
      <c r="F10382" s="9">
        <f t="shared" si="75"/>
        <v>357.6</v>
      </c>
      <c r="G10382" s="9">
        <f t="shared" si="69"/>
        <v>24.997368490296576</v>
      </c>
      <c r="H10382" s="9">
        <f t="shared" si="70"/>
        <v>21.874373038812404</v>
      </c>
      <c r="I10382" s="9">
        <f t="shared" si="76"/>
        <v>20.5</v>
      </c>
      <c r="J10382" s="9">
        <f t="shared" si="72"/>
        <v>28.322537277426683</v>
      </c>
      <c r="K10382" s="9">
        <f t="shared" si="73"/>
        <v>24.363899823501406</v>
      </c>
    </row>
    <row r="10383" spans="6:11" x14ac:dyDescent="0.15">
      <c r="F10383" s="9">
        <f t="shared" si="75"/>
        <v>357.6</v>
      </c>
      <c r="G10383" s="9">
        <f t="shared" si="69"/>
        <v>24.997368490296576</v>
      </c>
      <c r="H10383" s="9">
        <f t="shared" si="70"/>
        <v>21.874373038812404</v>
      </c>
      <c r="I10383" s="9">
        <f t="shared" si="76"/>
        <v>20.5</v>
      </c>
      <c r="J10383" s="9">
        <f t="shared" si="72"/>
        <v>28.322537277426683</v>
      </c>
      <c r="K10383" s="9">
        <f t="shared" si="73"/>
        <v>24.363899823501406</v>
      </c>
    </row>
    <row r="10384" spans="6:11" x14ac:dyDescent="0.15">
      <c r="F10384" s="9">
        <f t="shared" si="75"/>
        <v>357.6</v>
      </c>
      <c r="G10384" s="9">
        <f t="shared" si="69"/>
        <v>24.997368490296576</v>
      </c>
      <c r="H10384" s="9">
        <f t="shared" si="70"/>
        <v>21.874373038812404</v>
      </c>
      <c r="I10384" s="9">
        <f t="shared" si="76"/>
        <v>20.5</v>
      </c>
      <c r="J10384" s="9">
        <f t="shared" si="72"/>
        <v>28.322537277426683</v>
      </c>
      <c r="K10384" s="9">
        <f t="shared" si="73"/>
        <v>24.363899823501406</v>
      </c>
    </row>
    <row r="10385" spans="6:11" x14ac:dyDescent="0.15">
      <c r="F10385" s="9">
        <f t="shared" si="75"/>
        <v>357.6</v>
      </c>
      <c r="G10385" s="9">
        <f t="shared" si="69"/>
        <v>24.997368490296576</v>
      </c>
      <c r="H10385" s="9">
        <f t="shared" si="70"/>
        <v>21.874373038812404</v>
      </c>
      <c r="I10385" s="9">
        <f t="shared" si="76"/>
        <v>20.5</v>
      </c>
      <c r="J10385" s="9">
        <f t="shared" si="72"/>
        <v>28.322537277426683</v>
      </c>
      <c r="K10385" s="9">
        <f t="shared" si="73"/>
        <v>24.363899823501406</v>
      </c>
    </row>
    <row r="10386" spans="6:11" x14ac:dyDescent="0.15">
      <c r="F10386" s="9">
        <f t="shared" si="75"/>
        <v>357.6</v>
      </c>
      <c r="G10386" s="9">
        <f t="shared" si="69"/>
        <v>24.997368490296576</v>
      </c>
      <c r="H10386" s="9">
        <f t="shared" si="70"/>
        <v>21.874373038812404</v>
      </c>
      <c r="I10386" s="9">
        <f t="shared" si="76"/>
        <v>20.5</v>
      </c>
      <c r="J10386" s="9">
        <f t="shared" si="72"/>
        <v>28.322537277426683</v>
      </c>
      <c r="K10386" s="9">
        <f t="shared" si="73"/>
        <v>24.363899823501406</v>
      </c>
    </row>
    <row r="10387" spans="6:11" x14ac:dyDescent="0.15">
      <c r="F10387" s="9">
        <f t="shared" si="75"/>
        <v>357.6</v>
      </c>
      <c r="G10387" s="9">
        <f t="shared" si="69"/>
        <v>24.997368490296576</v>
      </c>
      <c r="H10387" s="9">
        <f t="shared" si="70"/>
        <v>21.874373038812404</v>
      </c>
      <c r="I10387" s="9">
        <f t="shared" si="76"/>
        <v>20.5</v>
      </c>
      <c r="J10387" s="9">
        <f t="shared" si="72"/>
        <v>28.322537277426683</v>
      </c>
      <c r="K10387" s="9">
        <f t="shared" si="73"/>
        <v>24.363899823501406</v>
      </c>
    </row>
    <row r="10388" spans="6:11" x14ac:dyDescent="0.15">
      <c r="F10388" s="9">
        <f t="shared" si="75"/>
        <v>357.6</v>
      </c>
      <c r="G10388" s="9">
        <f t="shared" si="69"/>
        <v>24.997368490296576</v>
      </c>
      <c r="H10388" s="9">
        <f t="shared" si="70"/>
        <v>21.874373038812404</v>
      </c>
      <c r="I10388" s="9">
        <f t="shared" si="76"/>
        <v>20.5</v>
      </c>
      <c r="J10388" s="9">
        <f t="shared" si="72"/>
        <v>28.322537277426683</v>
      </c>
      <c r="K10388" s="9">
        <f t="shared" si="73"/>
        <v>24.363899823501406</v>
      </c>
    </row>
    <row r="10389" spans="6:11" x14ac:dyDescent="0.15">
      <c r="F10389" s="9">
        <f t="shared" si="75"/>
        <v>357.6</v>
      </c>
      <c r="G10389" s="9">
        <f t="shared" si="69"/>
        <v>24.997368490296576</v>
      </c>
      <c r="H10389" s="9">
        <f t="shared" si="70"/>
        <v>21.874373038812404</v>
      </c>
      <c r="I10389" s="9">
        <f t="shared" si="76"/>
        <v>20.5</v>
      </c>
      <c r="J10389" s="9">
        <f t="shared" si="72"/>
        <v>28.322537277426683</v>
      </c>
      <c r="K10389" s="9">
        <f t="shared" si="73"/>
        <v>24.363899823501406</v>
      </c>
    </row>
    <row r="10390" spans="6:11" x14ac:dyDescent="0.15">
      <c r="F10390" s="9">
        <f t="shared" si="75"/>
        <v>357.6</v>
      </c>
      <c r="G10390" s="9">
        <f t="shared" si="69"/>
        <v>24.997368490296576</v>
      </c>
      <c r="H10390" s="9">
        <f t="shared" si="70"/>
        <v>21.874373038812404</v>
      </c>
      <c r="I10390" s="9">
        <f t="shared" si="76"/>
        <v>20.5</v>
      </c>
      <c r="J10390" s="9">
        <f t="shared" si="72"/>
        <v>28.322537277426683</v>
      </c>
      <c r="K10390" s="9">
        <f t="shared" si="73"/>
        <v>24.363899823501406</v>
      </c>
    </row>
    <row r="10391" spans="6:11" x14ac:dyDescent="0.15">
      <c r="F10391" s="9">
        <f t="shared" si="75"/>
        <v>357.6</v>
      </c>
      <c r="G10391" s="9">
        <f t="shared" si="69"/>
        <v>24.997368490296576</v>
      </c>
      <c r="H10391" s="9">
        <f t="shared" si="70"/>
        <v>21.874373038812404</v>
      </c>
      <c r="I10391" s="9">
        <f t="shared" si="76"/>
        <v>20.5</v>
      </c>
      <c r="J10391" s="9">
        <f t="shared" si="72"/>
        <v>28.322537277426683</v>
      </c>
      <c r="K10391" s="9">
        <f t="shared" si="73"/>
        <v>24.363899823501406</v>
      </c>
    </row>
    <row r="10392" spans="6:11" x14ac:dyDescent="0.15">
      <c r="F10392" s="9">
        <f t="shared" si="75"/>
        <v>357.6</v>
      </c>
      <c r="G10392" s="9">
        <f t="shared" si="69"/>
        <v>24.997368490296576</v>
      </c>
      <c r="H10392" s="9">
        <f t="shared" si="70"/>
        <v>21.874373038812404</v>
      </c>
      <c r="I10392" s="9">
        <f t="shared" si="76"/>
        <v>20.5</v>
      </c>
      <c r="J10392" s="9">
        <f t="shared" si="72"/>
        <v>28.322537277426683</v>
      </c>
      <c r="K10392" s="9">
        <f t="shared" si="73"/>
        <v>24.363899823501406</v>
      </c>
    </row>
    <row r="10393" spans="6:11" x14ac:dyDescent="0.15">
      <c r="F10393" s="9">
        <f t="shared" si="75"/>
        <v>357.6</v>
      </c>
      <c r="G10393" s="9">
        <f t="shared" si="69"/>
        <v>24.997368490296576</v>
      </c>
      <c r="H10393" s="9">
        <f t="shared" si="70"/>
        <v>21.874373038812404</v>
      </c>
      <c r="I10393" s="9">
        <f t="shared" si="76"/>
        <v>20.5</v>
      </c>
      <c r="J10393" s="9">
        <f t="shared" si="72"/>
        <v>28.322537277426683</v>
      </c>
      <c r="K10393" s="9">
        <f t="shared" si="73"/>
        <v>24.363899823501406</v>
      </c>
    </row>
    <row r="10394" spans="6:11" x14ac:dyDescent="0.15">
      <c r="F10394" s="9">
        <f t="shared" si="75"/>
        <v>357.6</v>
      </c>
      <c r="G10394" s="9">
        <f t="shared" si="69"/>
        <v>24.997368490296576</v>
      </c>
      <c r="H10394" s="9">
        <f t="shared" si="70"/>
        <v>21.874373038812404</v>
      </c>
      <c r="I10394" s="9">
        <f t="shared" si="76"/>
        <v>20.5</v>
      </c>
      <c r="J10394" s="9">
        <f t="shared" si="72"/>
        <v>28.322537277426683</v>
      </c>
      <c r="K10394" s="9">
        <f t="shared" si="73"/>
        <v>24.363899823501406</v>
      </c>
    </row>
    <row r="10395" spans="6:11" x14ac:dyDescent="0.15">
      <c r="F10395" s="9">
        <f t="shared" si="75"/>
        <v>357.6</v>
      </c>
      <c r="G10395" s="9">
        <f t="shared" si="69"/>
        <v>24.997368490296576</v>
      </c>
      <c r="H10395" s="9">
        <f t="shared" si="70"/>
        <v>21.874373038812404</v>
      </c>
      <c r="I10395" s="9">
        <f t="shared" si="76"/>
        <v>20.5</v>
      </c>
      <c r="J10395" s="9">
        <f t="shared" si="72"/>
        <v>28.322537277426683</v>
      </c>
      <c r="K10395" s="9">
        <f t="shared" si="73"/>
        <v>24.363899823501406</v>
      </c>
    </row>
    <row r="10396" spans="6:11" x14ac:dyDescent="0.15">
      <c r="F10396" s="9">
        <f t="shared" si="75"/>
        <v>357.6</v>
      </c>
      <c r="G10396" s="9">
        <f t="shared" si="69"/>
        <v>24.997368490296576</v>
      </c>
      <c r="H10396" s="9">
        <f t="shared" si="70"/>
        <v>21.874373038812404</v>
      </c>
      <c r="I10396" s="9">
        <f t="shared" si="76"/>
        <v>20.5</v>
      </c>
      <c r="J10396" s="9">
        <f t="shared" si="72"/>
        <v>28.322537277426683</v>
      </c>
      <c r="K10396" s="9">
        <f t="shared" si="73"/>
        <v>24.363899823501406</v>
      </c>
    </row>
    <row r="10397" spans="6:11" x14ac:dyDescent="0.15">
      <c r="F10397" s="9">
        <f t="shared" si="75"/>
        <v>357.6</v>
      </c>
      <c r="G10397" s="9">
        <f t="shared" si="69"/>
        <v>24.997368490296576</v>
      </c>
      <c r="H10397" s="9">
        <f t="shared" si="70"/>
        <v>21.874373038812404</v>
      </c>
      <c r="I10397" s="9">
        <f t="shared" si="76"/>
        <v>20.5</v>
      </c>
      <c r="J10397" s="9">
        <f t="shared" si="72"/>
        <v>28.322537277426683</v>
      </c>
      <c r="K10397" s="9">
        <f t="shared" si="73"/>
        <v>24.363899823501406</v>
      </c>
    </row>
    <row r="10398" spans="6:11" x14ac:dyDescent="0.15">
      <c r="F10398" s="9">
        <f t="shared" si="75"/>
        <v>357.6</v>
      </c>
      <c r="G10398" s="9">
        <f t="shared" si="69"/>
        <v>24.997368490296576</v>
      </c>
      <c r="H10398" s="9">
        <f t="shared" si="70"/>
        <v>21.874373038812404</v>
      </c>
      <c r="I10398" s="9">
        <f t="shared" si="76"/>
        <v>20.5</v>
      </c>
      <c r="J10398" s="9">
        <f t="shared" si="72"/>
        <v>28.322537277426683</v>
      </c>
      <c r="K10398" s="9">
        <f t="shared" si="73"/>
        <v>24.363899823501406</v>
      </c>
    </row>
    <row r="10399" spans="6:11" x14ac:dyDescent="0.15">
      <c r="F10399" s="9">
        <f t="shared" si="75"/>
        <v>357.6</v>
      </c>
      <c r="G10399" s="9">
        <f t="shared" si="69"/>
        <v>24.997368490296576</v>
      </c>
      <c r="H10399" s="9">
        <f t="shared" si="70"/>
        <v>21.874373038812404</v>
      </c>
      <c r="I10399" s="9">
        <f t="shared" si="76"/>
        <v>20.5</v>
      </c>
      <c r="J10399" s="9">
        <f t="shared" si="72"/>
        <v>28.322537277426683</v>
      </c>
      <c r="K10399" s="9">
        <f t="shared" si="73"/>
        <v>24.363899823501406</v>
      </c>
    </row>
    <row r="10400" spans="6:11" x14ac:dyDescent="0.15">
      <c r="F10400" s="9">
        <f t="shared" si="75"/>
        <v>357.6</v>
      </c>
      <c r="G10400" s="9">
        <f t="shared" si="69"/>
        <v>24.997368490296576</v>
      </c>
      <c r="H10400" s="9">
        <f t="shared" si="70"/>
        <v>21.874373038812404</v>
      </c>
      <c r="I10400" s="9">
        <f t="shared" si="76"/>
        <v>20.5</v>
      </c>
      <c r="J10400" s="9">
        <f t="shared" si="72"/>
        <v>28.322537277426683</v>
      </c>
      <c r="K10400" s="9">
        <f t="shared" si="73"/>
        <v>24.363899823501406</v>
      </c>
    </row>
    <row r="10401" spans="6:11" x14ac:dyDescent="0.15">
      <c r="F10401" s="9">
        <f t="shared" si="75"/>
        <v>357.6</v>
      </c>
      <c r="G10401" s="9">
        <f t="shared" si="69"/>
        <v>24.997368490296576</v>
      </c>
      <c r="H10401" s="9">
        <f t="shared" si="70"/>
        <v>21.874373038812404</v>
      </c>
      <c r="I10401" s="9">
        <f t="shared" si="76"/>
        <v>20.5</v>
      </c>
      <c r="J10401" s="9">
        <f t="shared" si="72"/>
        <v>28.322537277426683</v>
      </c>
      <c r="K10401" s="9">
        <f t="shared" si="73"/>
        <v>24.363899823501406</v>
      </c>
    </row>
    <row r="10402" spans="6:11" x14ac:dyDescent="0.15">
      <c r="F10402" s="9">
        <f t="shared" ref="F10402:F10409" si="77">MOD(F10401-$E$10006*$H$10207,360)</f>
        <v>357.6</v>
      </c>
      <c r="G10402" s="9">
        <f t="shared" ref="G10402:G10409" si="78">COS(F10402/180*PI())*$E$10001*$R$10017+$E$10002</f>
        <v>24.997368490296576</v>
      </c>
      <c r="H10402" s="9">
        <f t="shared" ref="H10402:H10409" si="79">SIN(F10402/180*PI())*$E$10001*$R$10017+$E$10003</f>
        <v>21.874373038812404</v>
      </c>
      <c r="I10402" s="9">
        <f t="shared" ref="I10402:I10409" si="80">MOD(I10401-$E$10006*$K$10207,360)</f>
        <v>20.5</v>
      </c>
      <c r="J10402" s="9">
        <f t="shared" ref="J10402:J10409" si="81">COS(I10402/180*PI())*$E$10001*$R$10021+$E$10002</f>
        <v>28.322537277426683</v>
      </c>
      <c r="K10402" s="9">
        <f t="shared" ref="K10402:K10409" si="82">SIN(I10402/180*PI())*$E$10001*$R$10021+$E$10003</f>
        <v>24.363899823501406</v>
      </c>
    </row>
    <row r="10403" spans="6:11" x14ac:dyDescent="0.15">
      <c r="F10403" s="9">
        <f t="shared" si="77"/>
        <v>357.6</v>
      </c>
      <c r="G10403" s="9">
        <f t="shared" si="78"/>
        <v>24.997368490296576</v>
      </c>
      <c r="H10403" s="9">
        <f t="shared" si="79"/>
        <v>21.874373038812404</v>
      </c>
      <c r="I10403" s="9">
        <f t="shared" si="80"/>
        <v>20.5</v>
      </c>
      <c r="J10403" s="9">
        <f t="shared" si="81"/>
        <v>28.322537277426683</v>
      </c>
      <c r="K10403" s="9">
        <f t="shared" si="82"/>
        <v>24.363899823501406</v>
      </c>
    </row>
    <row r="10404" spans="6:11" x14ac:dyDescent="0.15">
      <c r="F10404" s="9">
        <f t="shared" si="77"/>
        <v>357.6</v>
      </c>
      <c r="G10404" s="9">
        <f t="shared" si="78"/>
        <v>24.997368490296576</v>
      </c>
      <c r="H10404" s="9">
        <f t="shared" si="79"/>
        <v>21.874373038812404</v>
      </c>
      <c r="I10404" s="9">
        <f t="shared" si="80"/>
        <v>20.5</v>
      </c>
      <c r="J10404" s="9">
        <f t="shared" si="81"/>
        <v>28.322537277426683</v>
      </c>
      <c r="K10404" s="9">
        <f t="shared" si="82"/>
        <v>24.363899823501406</v>
      </c>
    </row>
    <row r="10405" spans="6:11" x14ac:dyDescent="0.15">
      <c r="F10405" s="9">
        <f t="shared" si="77"/>
        <v>357.6</v>
      </c>
      <c r="G10405" s="9">
        <f t="shared" si="78"/>
        <v>24.997368490296576</v>
      </c>
      <c r="H10405" s="9">
        <f t="shared" si="79"/>
        <v>21.874373038812404</v>
      </c>
      <c r="I10405" s="9">
        <f t="shared" si="80"/>
        <v>20.5</v>
      </c>
      <c r="J10405" s="9">
        <f t="shared" si="81"/>
        <v>28.322537277426683</v>
      </c>
      <c r="K10405" s="9">
        <f t="shared" si="82"/>
        <v>24.363899823501406</v>
      </c>
    </row>
    <row r="10406" spans="6:11" x14ac:dyDescent="0.15">
      <c r="F10406" s="9">
        <f t="shared" si="77"/>
        <v>357.6</v>
      </c>
      <c r="G10406" s="9">
        <f t="shared" si="78"/>
        <v>24.997368490296576</v>
      </c>
      <c r="H10406" s="9">
        <f t="shared" si="79"/>
        <v>21.874373038812404</v>
      </c>
      <c r="I10406" s="9">
        <f t="shared" si="80"/>
        <v>20.5</v>
      </c>
      <c r="J10406" s="9">
        <f t="shared" si="81"/>
        <v>28.322537277426683</v>
      </c>
      <c r="K10406" s="9">
        <f t="shared" si="82"/>
        <v>24.363899823501406</v>
      </c>
    </row>
    <row r="10407" spans="6:11" x14ac:dyDescent="0.15">
      <c r="F10407" s="9">
        <f t="shared" si="77"/>
        <v>357.6</v>
      </c>
      <c r="G10407" s="9">
        <f t="shared" si="78"/>
        <v>24.997368490296576</v>
      </c>
      <c r="H10407" s="9">
        <f t="shared" si="79"/>
        <v>21.874373038812404</v>
      </c>
      <c r="I10407" s="9">
        <f t="shared" si="80"/>
        <v>20.5</v>
      </c>
      <c r="J10407" s="9">
        <f t="shared" si="81"/>
        <v>28.322537277426683</v>
      </c>
      <c r="K10407" s="9">
        <f t="shared" si="82"/>
        <v>24.363899823501406</v>
      </c>
    </row>
    <row r="10408" spans="6:11" x14ac:dyDescent="0.15">
      <c r="F10408" s="9">
        <f t="shared" si="77"/>
        <v>357.6</v>
      </c>
      <c r="G10408" s="9">
        <f t="shared" si="78"/>
        <v>24.997368490296576</v>
      </c>
      <c r="H10408" s="9">
        <f t="shared" si="79"/>
        <v>21.874373038812404</v>
      </c>
      <c r="I10408" s="9">
        <f t="shared" si="80"/>
        <v>20.5</v>
      </c>
      <c r="J10408" s="9">
        <f t="shared" si="81"/>
        <v>28.322537277426683</v>
      </c>
      <c r="K10408" s="9">
        <f t="shared" si="82"/>
        <v>24.363899823501406</v>
      </c>
    </row>
    <row r="10409" spans="6:11" x14ac:dyDescent="0.15">
      <c r="F10409" s="9">
        <f t="shared" si="77"/>
        <v>357.6</v>
      </c>
      <c r="G10409" s="9">
        <f t="shared" si="78"/>
        <v>24.997368490296576</v>
      </c>
      <c r="H10409" s="9">
        <f t="shared" si="79"/>
        <v>21.874373038812404</v>
      </c>
      <c r="I10409" s="9">
        <f t="shared" si="80"/>
        <v>20.5</v>
      </c>
      <c r="J10409" s="9">
        <f t="shared" si="81"/>
        <v>28.322537277426683</v>
      </c>
      <c r="K10409" s="9">
        <f t="shared" si="82"/>
        <v>24.363899823501406</v>
      </c>
    </row>
    <row r="10410" spans="6:11" x14ac:dyDescent="0.15">
      <c r="G10410" s="2" t="s">
        <v>34</v>
      </c>
      <c r="H10410" s="2"/>
      <c r="J10410" s="2" t="s">
        <v>34</v>
      </c>
      <c r="K10410" s="2"/>
    </row>
    <row r="10411" spans="6:11" x14ac:dyDescent="0.15">
      <c r="G10411">
        <f>(G10309-E10002)*1.5+E10002</f>
        <v>26.496052735444863</v>
      </c>
      <c r="H10411">
        <f>(H10309-E10003)*1.5+E10003</f>
        <v>21.811559558218605</v>
      </c>
      <c r="J10411" s="4">
        <f>(J10309-E10002)*1.2+E10002</f>
        <v>29.58704473291202</v>
      </c>
      <c r="K10411" s="4">
        <f>(K10309-E10003)*1.2+E10003</f>
        <v>24.836679788201685</v>
      </c>
    </row>
  </sheetData>
  <mergeCells count="3">
    <mergeCell ref="A7:B7"/>
    <mergeCell ref="A11:B11"/>
    <mergeCell ref="A1:B2"/>
  </mergeCells>
  <phoneticPr fontId="1" type="noConversion"/>
  <dataValidations count="4">
    <dataValidation type="list" allowBlank="1" showInputMessage="1" showErrorMessage="1" sqref="R10001 B3" xr:uid="{00000000-0002-0000-0000-000000000000}">
      <formula1>"顺时针,逆时针"</formula1>
    </dataValidation>
    <dataValidation type="decimal" allowBlank="1" showInputMessage="1" showErrorMessage="1" sqref="B4:B6 B9:B10 B13:B14" xr:uid="{00000000-0002-0000-0000-000001000000}">
      <formula1>-360</formula1>
      <formula2>360</formula2>
    </dataValidation>
    <dataValidation type="decimal" allowBlank="1" showInputMessage="1" showErrorMessage="1" sqref="A13 A9" xr:uid="{00000000-0002-0000-0000-000002000000}">
      <formula1>0</formula1>
      <formula2>2000</formula2>
    </dataValidation>
    <dataValidation type="list" allowBlank="1" showInputMessage="1" showErrorMessage="1" sqref="B15" xr:uid="{00000000-0002-0000-0000-000003000000}">
      <formula1>"显示XY向,只显示X向,只显示Y向"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D4494-1796-4B2F-ADE3-E4C9A3DD8D98}">
  <sheetPr codeName="Sheet1"/>
  <dimension ref="A1:D1048576"/>
  <sheetViews>
    <sheetView topLeftCell="A3" workbookViewId="0">
      <selection activeCell="A20" sqref="A20"/>
    </sheetView>
  </sheetViews>
  <sheetFormatPr defaultRowHeight="13.5" x14ac:dyDescent="0.15"/>
  <cols>
    <col min="1" max="1" width="21.875" bestFit="1" customWidth="1"/>
    <col min="2" max="2" width="23.625" bestFit="1" customWidth="1"/>
    <col min="3" max="3" width="23.625" style="30" bestFit="1" customWidth="1"/>
    <col min="6" max="6" width="13.125" customWidth="1"/>
  </cols>
  <sheetData>
    <row r="1" spans="1:4" x14ac:dyDescent="0.15">
      <c r="A1" s="35" t="s">
        <v>4122</v>
      </c>
      <c r="B1" t="s">
        <v>5220</v>
      </c>
      <c r="C1" s="30" t="s">
        <v>5221</v>
      </c>
    </row>
    <row r="2" spans="1:4" x14ac:dyDescent="0.15">
      <c r="A2" t="s">
        <v>4105</v>
      </c>
      <c r="B2" s="16" t="s">
        <v>4100</v>
      </c>
      <c r="C2" s="16" t="s">
        <v>4099</v>
      </c>
      <c r="D2" t="s">
        <v>5222</v>
      </c>
    </row>
    <row r="3" spans="1:4" x14ac:dyDescent="0.15">
      <c r="A3" t="s">
        <v>4106</v>
      </c>
      <c r="B3" s="16" t="s">
        <v>4123</v>
      </c>
      <c r="C3" s="16" t="s">
        <v>4097</v>
      </c>
      <c r="D3" t="s">
        <v>5223</v>
      </c>
    </row>
    <row r="4" spans="1:4" x14ac:dyDescent="0.15">
      <c r="A4" t="s">
        <v>4107</v>
      </c>
      <c r="B4" s="16" t="s">
        <v>4124</v>
      </c>
      <c r="C4" s="16" t="s">
        <v>4124</v>
      </c>
      <c r="D4" t="s">
        <v>5225</v>
      </c>
    </row>
    <row r="5" spans="1:4" x14ac:dyDescent="0.15">
      <c r="A5" t="s">
        <v>4108</v>
      </c>
      <c r="B5" s="16" t="s">
        <v>4101</v>
      </c>
      <c r="C5" s="16" t="s">
        <v>4094</v>
      </c>
    </row>
    <row r="6" spans="1:4" x14ac:dyDescent="0.15">
      <c r="A6" s="30" t="s">
        <v>4109</v>
      </c>
      <c r="B6" s="16" t="s">
        <v>4126</v>
      </c>
      <c r="C6" s="16" t="s">
        <v>1337</v>
      </c>
    </row>
    <row r="7" spans="1:4" x14ac:dyDescent="0.15">
      <c r="A7" t="s">
        <v>4110</v>
      </c>
      <c r="B7" t="s">
        <v>4125</v>
      </c>
      <c r="C7" s="30" t="s">
        <v>4125</v>
      </c>
    </row>
    <row r="8" spans="1:4" x14ac:dyDescent="0.15">
      <c r="A8" s="30" t="s">
        <v>4111</v>
      </c>
      <c r="B8" s="1" t="s">
        <v>4135</v>
      </c>
      <c r="C8" s="16" t="s">
        <v>4135</v>
      </c>
      <c r="D8" t="s">
        <v>5224</v>
      </c>
    </row>
    <row r="9" spans="1:4" x14ac:dyDescent="0.15">
      <c r="A9" s="30" t="s">
        <v>4112</v>
      </c>
      <c r="B9" s="16" t="s">
        <v>5216</v>
      </c>
      <c r="C9" s="16" t="s">
        <v>5218</v>
      </c>
    </row>
    <row r="10" spans="1:4" x14ac:dyDescent="0.15">
      <c r="A10" s="30" t="s">
        <v>4113</v>
      </c>
      <c r="B10" s="16" t="s">
        <v>5217</v>
      </c>
      <c r="C10" s="16" t="s">
        <v>5219</v>
      </c>
    </row>
    <row r="11" spans="1:4" x14ac:dyDescent="0.15">
      <c r="A11" t="s">
        <v>4114</v>
      </c>
      <c r="B11" t="str">
        <f>VecDiv(VecSub(B5,B2),B4)</f>
        <v>0.123898∠67.718922°</v>
      </c>
      <c r="C11" s="30" t="str">
        <f>VecDiv(VecSub(C5,C2),C4)</f>
        <v>0.156002∠331.897947°</v>
      </c>
    </row>
    <row r="12" spans="1:4" x14ac:dyDescent="0.15">
      <c r="A12" s="30" t="s">
        <v>4115</v>
      </c>
      <c r="B12" t="str">
        <f>IF(B7="是",VecDiv(VecSub(B9,B2),B8),VecDiv(VecSub(B9,B5),B8))</f>
        <v>0.027888∠214.315897°</v>
      </c>
      <c r="C12" s="30" t="str">
        <f>IF(C7="是",VecDiv(VecSub(C9,C2),C8),VecDiv(VecSub(C9,C5),C8))</f>
        <v>0.022628∠35.892175°</v>
      </c>
    </row>
    <row r="13" spans="1:4" x14ac:dyDescent="0.15">
      <c r="A13" s="30" t="s">
        <v>4116</v>
      </c>
      <c r="B13" t="str">
        <f>VecDiv(VecSub(B6,B3),B4)</f>
        <v>0.075388∠237.108553°</v>
      </c>
      <c r="C13" s="30" t="str">
        <f>VecDiv(VecSub(C6,C3),C4)</f>
        <v>0.014205∠110.610278°</v>
      </c>
    </row>
    <row r="14" spans="1:4" x14ac:dyDescent="0.15">
      <c r="A14" s="30" t="s">
        <v>4117</v>
      </c>
      <c r="B14" t="str">
        <f>IF(B7="是",VecDiv(VecSub(B10,B3),B8),VecDiv(VecSub(B10,B6),B8))</f>
        <v>0.088975∠51.721592°</v>
      </c>
      <c r="C14" s="30" t="str">
        <f>IF(C7="是",VecDiv(VecSub(C10,C3),C8),VecDiv(VecSub(C10,C6),C8))</f>
        <v>0.111716∠336.829311°</v>
      </c>
    </row>
    <row r="15" spans="1:4" x14ac:dyDescent="0.15">
      <c r="A15" t="s">
        <v>4118</v>
      </c>
      <c r="B15" t="str">
        <f>VecDisp(VecAdd(VecProduct(B1048569,B1048573),VecProduct(B1048570,B1048574)),2)</f>
        <v>365.39∠352.31°</v>
      </c>
      <c r="C15" s="30" t="str">
        <f>VecDisp(VecAdd(VecProduct(C1048569,C1048573),VecProduct(C1048570,C1048574)),2)</f>
        <v>358.55∠349.45°</v>
      </c>
      <c r="D15" s="39" t="s">
        <v>5225</v>
      </c>
    </row>
    <row r="16" spans="1:4" x14ac:dyDescent="0.15">
      <c r="A16" t="s">
        <v>4119</v>
      </c>
      <c r="B16" s="30" t="str">
        <f>VecDisp(VecAdd(VecProduct(B1048571,B1048573),VecProduct(B1048572,B1048574)),2)</f>
        <v>380.72∠213.99°</v>
      </c>
      <c r="C16" s="30" t="str">
        <f>VecDisp(VecAdd(VecProduct(C1048571,C1048573),VecProduct(C1048572,C1048574)),2)</f>
        <v>405.53∠211.97°</v>
      </c>
      <c r="D16" s="39" t="s">
        <v>5224</v>
      </c>
    </row>
    <row r="17" spans="1:4" x14ac:dyDescent="0.15">
      <c r="A17" s="30" t="s">
        <v>4120</v>
      </c>
      <c r="B17" t="str">
        <f>VecDisp(VecAdd(VecProduct(B1048569,B1048575),VecProduct(B1048570,B1048576)),2)</f>
        <v>365.39∠352.31°</v>
      </c>
      <c r="C17" s="30" t="str">
        <f>VecDisp(VecAdd(VecProduct(C1048569,C1048575),VecProduct(C1048570,C1048576)),2)</f>
        <v>358.55∠349.45°</v>
      </c>
      <c r="D17" s="39" t="s">
        <v>5225</v>
      </c>
    </row>
    <row r="18" spans="1:4" x14ac:dyDescent="0.15">
      <c r="A18" s="30" t="s">
        <v>4121</v>
      </c>
      <c r="B18" t="str">
        <f>VecDisp(VecAdd(VecProduct(B1048571,B1048575),VecProduct(B1048572,B1048576)),2)</f>
        <v>283.08∠280.92°</v>
      </c>
      <c r="C18" s="30" t="str">
        <f>VecDisp(VecAdd(VecProduct(C1048571,C1048575),VecProduct(C1048572,C1048576)),2)</f>
        <v>280.96∠275.16°</v>
      </c>
      <c r="D18" s="39" t="s">
        <v>5224</v>
      </c>
    </row>
    <row r="19" spans="1:4" s="30" customFormat="1" ht="15" customHeight="1" x14ac:dyDescent="0.15"/>
    <row r="20" spans="1:4" s="11" customFormat="1" x14ac:dyDescent="0.15"/>
    <row r="21" spans="1:4" s="11" customFormat="1" x14ac:dyDescent="0.15"/>
    <row r="22" spans="1:4" s="11" customFormat="1" x14ac:dyDescent="0.15"/>
    <row r="23" spans="1:4" s="11" customFormat="1" x14ac:dyDescent="0.15"/>
    <row r="24" spans="1:4" s="11" customFormat="1" x14ac:dyDescent="0.15"/>
    <row r="25" spans="1:4" s="11" customFormat="1" x14ac:dyDescent="0.15"/>
    <row r="26" spans="1:4" s="11" customFormat="1" x14ac:dyDescent="0.15"/>
    <row r="27" spans="1:4" s="11" customFormat="1" x14ac:dyDescent="0.15"/>
    <row r="28" spans="1:4" s="11" customFormat="1" x14ac:dyDescent="0.15"/>
    <row r="1048568" spans="1:3" x14ac:dyDescent="0.15">
      <c r="A1048568" s="2"/>
      <c r="B1048568" s="2" t="str">
        <f>VecSub(VecProduct(B11,B14),VecProduct(B12,B13))</f>
        <v>0.009221∠125.587087°</v>
      </c>
      <c r="C1048568" s="2" t="str">
        <f>VecSub(VecProduct(C11,C14),VecProduct(C12,C13))</f>
        <v>0.017734∠309.043864°</v>
      </c>
    </row>
    <row r="1048569" spans="1:3" x14ac:dyDescent="0.15">
      <c r="A1048569" s="2" t="s">
        <v>4127</v>
      </c>
      <c r="B1048569" s="2" t="str">
        <f>VecDiv(B14,B$1048568)</f>
        <v>9.64917∠286.134505°</v>
      </c>
      <c r="C1048569" s="2" t="str">
        <f>VecDiv(C14,C$1048568)</f>
        <v>6.299538∠27.785447°</v>
      </c>
    </row>
    <row r="1048570" spans="1:3" x14ac:dyDescent="0.15">
      <c r="A1048570" s="2" t="s">
        <v>4128</v>
      </c>
      <c r="B1048570" s="2" t="str">
        <f>VecDiv(VecProduct("1∠180",B12),B$1048568)</f>
        <v>3.024401∠268.72881°</v>
      </c>
      <c r="C1048570" s="2" t="str">
        <f>VecDiv(VecProduct("1∠180",C12),C$1048568)</f>
        <v>1.275967∠266.848311°</v>
      </c>
    </row>
    <row r="1048571" spans="1:3" x14ac:dyDescent="0.15">
      <c r="A1048571" s="2" t="s">
        <v>4129</v>
      </c>
      <c r="B1048571" s="2" t="str">
        <f>VecDiv(VecProduct("1∠180",B13),B$1048568)</f>
        <v>8.175686∠291.521466°</v>
      </c>
      <c r="C1048571" s="2" t="str">
        <f>VecDiv(VecProduct("1∠180",C13),C$1048568)</f>
        <v>0.801004∠341.566414°</v>
      </c>
    </row>
    <row r="1048572" spans="1:3" x14ac:dyDescent="0.15">
      <c r="A1048572" s="2" t="s">
        <v>4130</v>
      </c>
      <c r="B1048572" s="2" t="str">
        <f>VecDiv(B11,B$1048568)</f>
        <v>13.436504∠302.131835°</v>
      </c>
      <c r="C1048572" s="2" t="str">
        <f>VecDiv(C11,C$1048568)</f>
        <v>8.796775∠22.854083°</v>
      </c>
    </row>
    <row r="1048573" spans="1:3" x14ac:dyDescent="0.15">
      <c r="A1048573" s="36" t="s">
        <v>4131</v>
      </c>
      <c r="B1048573" s="2" t="str">
        <f>VecProduct("1∠180",IF(B7="是",B2,B5))</f>
        <v>55.8∠61.6°</v>
      </c>
      <c r="C1048573" s="2" t="str">
        <f>VecProduct("1∠180",IF(C7="是",C2,C5))</f>
        <v>59.2∠312.8°</v>
      </c>
    </row>
    <row r="1048574" spans="1:3" x14ac:dyDescent="0.15">
      <c r="A1048574" s="36" t="s">
        <v>4132</v>
      </c>
      <c r="B1048574" s="2" t="str">
        <f>VecProduct("1∠180",IF(B7="是",B3,B6))</f>
        <v>58.4∠249.5°</v>
      </c>
      <c r="C1048574" s="2" t="str">
        <f>VecProduct("1∠180",IF(C7="是",C3,C6))</f>
        <v>45.7∠182.4°</v>
      </c>
    </row>
    <row r="1048575" spans="1:3" x14ac:dyDescent="0.15">
      <c r="A1048575" s="36" t="s">
        <v>4133</v>
      </c>
      <c r="B1048575" s="2" t="str">
        <f>VecProduct("1∠180",B9)</f>
        <v>47.9∠69.2°</v>
      </c>
      <c r="C1048575" s="2" t="str">
        <f>VecProduct("1∠180",C9)</f>
        <v>62.2∠320.3°</v>
      </c>
    </row>
    <row r="1048576" spans="1:3" x14ac:dyDescent="0.15">
      <c r="A1048576" s="36" t="s">
        <v>4134</v>
      </c>
      <c r="B1048576" s="2" t="str">
        <f>VecProduct("1∠180",B10)</f>
        <v>32.8∠277.8°</v>
      </c>
      <c r="C1048576" s="2" t="str">
        <f>VecProduct("1∠180",C10)</f>
        <v>27∠246.9°</v>
      </c>
    </row>
  </sheetData>
  <phoneticPr fontId="1" type="noConversion"/>
  <dataValidations count="1">
    <dataValidation type="list" allowBlank="1" showInputMessage="1" showErrorMessage="1" sqref="B7:C7" xr:uid="{17DC8BD1-2F6B-4B63-80B4-2ACAB81CC971}">
      <formula1>"是,否"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N8"/>
  <sheetViews>
    <sheetView workbookViewId="0">
      <selection activeCell="C4" sqref="C4"/>
    </sheetView>
  </sheetViews>
  <sheetFormatPr defaultRowHeight="13.5" x14ac:dyDescent="0.15"/>
  <cols>
    <col min="1" max="1" width="11.25" customWidth="1"/>
    <col min="2" max="2" width="15.875" bestFit="1" customWidth="1"/>
    <col min="3" max="3" width="16.875" bestFit="1" customWidth="1"/>
    <col min="4" max="4" width="17" customWidth="1"/>
    <col min="5" max="5" width="15.875" bestFit="1" customWidth="1"/>
    <col min="6" max="6" width="13" customWidth="1"/>
    <col min="7" max="7" width="15.875" bestFit="1" customWidth="1"/>
    <col min="8" max="8" width="14.75" bestFit="1" customWidth="1"/>
    <col min="9" max="9" width="15.875" bestFit="1" customWidth="1"/>
    <col min="10" max="10" width="12.5" bestFit="1" customWidth="1"/>
  </cols>
  <sheetData>
    <row r="1" spans="1:14" s="4" customFormat="1" x14ac:dyDescent="0.15">
      <c r="A1" s="2"/>
      <c r="B1" s="4" t="s">
        <v>2398</v>
      </c>
      <c r="C1" s="17" t="s">
        <v>2399</v>
      </c>
      <c r="D1" s="24" t="s">
        <v>2400</v>
      </c>
      <c r="E1" s="24" t="s">
        <v>2399</v>
      </c>
      <c r="G1" s="4" t="s">
        <v>74</v>
      </c>
      <c r="I1" s="4" t="s">
        <v>75</v>
      </c>
    </row>
    <row r="2" spans="1:14" x14ac:dyDescent="0.15">
      <c r="A2" t="s">
        <v>70</v>
      </c>
      <c r="B2" s="1" t="s">
        <v>4097</v>
      </c>
      <c r="C2" s="16" t="s">
        <v>4098</v>
      </c>
      <c r="D2" s="16" t="s">
        <v>4099</v>
      </c>
      <c r="E2" s="16" t="s">
        <v>4100</v>
      </c>
      <c r="G2" s="17" t="s">
        <v>4102</v>
      </c>
      <c r="I2" s="4" t="s">
        <v>182</v>
      </c>
    </row>
    <row r="3" spans="1:14" x14ac:dyDescent="0.15">
      <c r="A3" t="s">
        <v>71</v>
      </c>
      <c r="B3" s="4" t="s">
        <v>4136</v>
      </c>
      <c r="C3" s="23" t="s">
        <v>4137</v>
      </c>
      <c r="D3" s="23" t="s">
        <v>4094</v>
      </c>
      <c r="E3" s="4" t="s">
        <v>4101</v>
      </c>
      <c r="G3" s="4" t="str">
        <f>B1</f>
        <v>风机进口水平</v>
      </c>
      <c r="H3" s="17" t="str">
        <f t="shared" ref="H3:J3" si="0">C1</f>
        <v>风机出口垂直</v>
      </c>
      <c r="I3" s="17" t="str">
        <f t="shared" si="0"/>
        <v>风机出口水平</v>
      </c>
      <c r="J3" s="17" t="str">
        <f t="shared" si="0"/>
        <v>风机出口垂直</v>
      </c>
      <c r="K3" s="11"/>
      <c r="L3" s="11"/>
      <c r="M3" s="11"/>
      <c r="N3" s="11"/>
    </row>
    <row r="4" spans="1:14" x14ac:dyDescent="0.15">
      <c r="A4" t="s">
        <v>69</v>
      </c>
      <c r="B4" s="23" t="s">
        <v>4135</v>
      </c>
      <c r="C4" s="23" t="str">
        <f>B4</f>
        <v>375∠170</v>
      </c>
      <c r="D4" s="24" t="str">
        <f t="shared" ref="D4:E4" si="1">C4</f>
        <v>375∠170</v>
      </c>
      <c r="E4" s="24" t="str">
        <f t="shared" si="1"/>
        <v>375∠170</v>
      </c>
      <c r="F4" t="s">
        <v>74</v>
      </c>
      <c r="G4" t="str">
        <f>B7</f>
        <v>99.4∠353.8°</v>
      </c>
      <c r="H4" s="24" t="str">
        <f t="shared" ref="H4:J4" si="2">C7</f>
        <v>102∠66.2°</v>
      </c>
      <c r="I4" s="24" t="str">
        <f t="shared" si="2"/>
        <v>249.5∠175.8°</v>
      </c>
      <c r="J4" s="24" t="str">
        <f t="shared" si="2"/>
        <v>212.1∠272.8°</v>
      </c>
      <c r="K4" s="11"/>
      <c r="L4" s="11"/>
      <c r="M4" s="11"/>
      <c r="N4" s="11"/>
    </row>
    <row r="5" spans="1:14" ht="27" x14ac:dyDescent="0.15">
      <c r="A5" s="14" t="s">
        <v>73</v>
      </c>
      <c r="B5" s="4" t="str">
        <f>VecDiv(VecProduct("1∠180°",B2),VecDiv(VecSub(B3,B2),B4),1)</f>
        <v>417.9∠205.8°</v>
      </c>
      <c r="C5" s="4" t="str">
        <f>VecDiv(VecProduct("1∠180°",C2),VecDiv(VecSub(C3,C2),C4),1)</f>
        <v>666.2∠197.6°</v>
      </c>
      <c r="D5" s="24" t="str">
        <f>VecDiv(VecProduct("1∠180°",D2),VecDiv(VecSub(D3,D2),D4),1)</f>
        <v>140.9∠135.9°</v>
      </c>
      <c r="E5" s="24" t="str">
        <f>VecDiv(VecProduct("1∠180°",E2),VecDiv(VecSub(E3,E2),E4),1)</f>
        <v>167.2∠148.9°</v>
      </c>
      <c r="G5" s="4"/>
      <c r="H5" s="4"/>
      <c r="I5" s="4"/>
      <c r="J5" s="4"/>
      <c r="K5" s="11"/>
      <c r="L5" s="11"/>
      <c r="M5" s="11"/>
      <c r="N5" s="11"/>
    </row>
    <row r="6" spans="1:14" ht="27" x14ac:dyDescent="0.15">
      <c r="A6" s="14" t="s">
        <v>72</v>
      </c>
      <c r="B6" t="str">
        <f>VecDiv(VecProduct("1∠180°",B3),VecDiv(VecSub(B3,B2),B4),1)</f>
        <v>246.9∠268.4°</v>
      </c>
      <c r="C6" s="4" t="str">
        <f>VecDiv(VecProduct("1∠180°",C3),VecDiv(VecSub(C3,C2),C4),1)</f>
        <v>376.4∠225.1°</v>
      </c>
      <c r="D6" s="24" t="str">
        <f>VecDiv(VecProduct("1∠180°",D3),VecDiv(VecSub(D3,D2),D4),1)</f>
        <v>270.1∠7°</v>
      </c>
      <c r="E6" s="24" t="str">
        <f>VecDiv(VecProduct("1∠180°",E3),VecDiv(VecSub(E3,E2),E4),1)</f>
        <v>227.2∠5.4°</v>
      </c>
      <c r="F6" s="4" t="s">
        <v>75</v>
      </c>
      <c r="G6" s="4" t="str">
        <f>B8</f>
        <v>115.7∠44.3°</v>
      </c>
      <c r="H6" s="24" t="str">
        <f t="shared" ref="H6:J6" si="3">C8</f>
        <v>105∠108.4°</v>
      </c>
      <c r="I6" s="24" t="str">
        <f t="shared" si="3"/>
        <v>298.7∠256.7°</v>
      </c>
      <c r="J6" s="24" t="str">
        <f t="shared" si="3"/>
        <v>243.9∠349.4°</v>
      </c>
    </row>
    <row r="7" spans="1:14" s="4" customFormat="1" x14ac:dyDescent="0.15">
      <c r="B7" s="4" t="str">
        <f>VecAdd(B2,VecProduct(VecDiv(VecSub(B3,B2),B4),$G$2),1)</f>
        <v>99.4∠353.8°</v>
      </c>
      <c r="C7" s="4" t="str">
        <f>VecAdd(C2,VecProduct(VecDiv(VecSub(C3,C2),C4),$G$2),1)</f>
        <v>102∠66.2°</v>
      </c>
      <c r="D7" s="24" t="str">
        <f>VecAdd(D2,VecProduct(VecDiv(VecSub(D3,D2),D4),$G$2),1)</f>
        <v>249.5∠175.8°</v>
      </c>
      <c r="E7" s="24" t="str">
        <f>VecAdd(E2,VecProduct(VecDiv(VecSub(E3,E2),E4),$G$2),1)</f>
        <v>212.1∠272.8°</v>
      </c>
      <c r="F7"/>
      <c r="G7"/>
      <c r="H7"/>
      <c r="I7"/>
      <c r="J7"/>
    </row>
    <row r="8" spans="1:14" s="4" customFormat="1" x14ac:dyDescent="0.15">
      <c r="B8" s="4" t="str">
        <f>VecAdd(B3,VecProduct(VecDiv(VecSub(B3,B2),B4),$I$2),1)</f>
        <v>115.7∠44.3°</v>
      </c>
      <c r="C8" s="4" t="str">
        <f>VecAdd(C3,VecProduct(VecDiv(VecSub(C3,C2),C4),$I$2),1)</f>
        <v>105∠108.4°</v>
      </c>
      <c r="D8" s="24" t="str">
        <f>VecAdd(D3,VecProduct(VecDiv(VecSub(D3,D2),D4),$I$2),1)</f>
        <v>298.7∠256.7°</v>
      </c>
      <c r="E8" s="24" t="str">
        <f>VecAdd(E3,VecProduct(VecDiv(VecSub(E3,E2),E4),$I$2),1)</f>
        <v>243.9∠349.4°</v>
      </c>
      <c r="F8"/>
      <c r="G8"/>
      <c r="H8"/>
      <c r="I8"/>
      <c r="J8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3F319-5C9A-4407-A9A1-91BC0DA0C247}">
  <dimension ref="A1:J291"/>
  <sheetViews>
    <sheetView workbookViewId="0">
      <pane xSplit="1" ySplit="5" topLeftCell="B70" activePane="bottomRight" state="frozen"/>
      <selection pane="topRight" activeCell="B1" sqref="B1"/>
      <selection pane="bottomLeft" activeCell="A6" sqref="A6"/>
      <selection pane="bottomRight" activeCell="H5" sqref="H5"/>
    </sheetView>
  </sheetViews>
  <sheetFormatPr defaultRowHeight="13.5" x14ac:dyDescent="0.15"/>
  <cols>
    <col min="1" max="1" width="17.25" bestFit="1" customWidth="1"/>
    <col min="3" max="3" width="13" bestFit="1" customWidth="1"/>
    <col min="4" max="4" width="13.625" bestFit="1" customWidth="1"/>
    <col min="5" max="5" width="13" bestFit="1" customWidth="1"/>
    <col min="6" max="6" width="13.625" bestFit="1" customWidth="1"/>
    <col min="7" max="7" width="19.25" bestFit="1" customWidth="1"/>
    <col min="8" max="8" width="13.625" bestFit="1" customWidth="1"/>
    <col min="9" max="9" width="19.25" bestFit="1" customWidth="1"/>
    <col min="10" max="10" width="13.625" bestFit="1" customWidth="1"/>
  </cols>
  <sheetData>
    <row r="1" spans="1:10" x14ac:dyDescent="0.15">
      <c r="A1" t="s">
        <v>76</v>
      </c>
      <c r="B1" t="s">
        <v>77</v>
      </c>
      <c r="C1" t="s">
        <v>78</v>
      </c>
      <c r="E1" t="s">
        <v>79</v>
      </c>
      <c r="G1" t="s">
        <v>807</v>
      </c>
      <c r="I1" t="s">
        <v>808</v>
      </c>
    </row>
    <row r="2" spans="1:10" x14ac:dyDescent="0.15">
      <c r="C2" t="s">
        <v>80</v>
      </c>
      <c r="D2" t="s">
        <v>81</v>
      </c>
      <c r="E2" t="s">
        <v>80</v>
      </c>
      <c r="F2" t="s">
        <v>81</v>
      </c>
      <c r="G2" t="s">
        <v>80</v>
      </c>
      <c r="H2" t="s">
        <v>81</v>
      </c>
      <c r="I2" t="s">
        <v>80</v>
      </c>
      <c r="J2" t="s">
        <v>81</v>
      </c>
    </row>
    <row r="3" spans="1:10" s="34" customFormat="1" x14ac:dyDescent="0.15">
      <c r="B3" s="34">
        <v>96</v>
      </c>
      <c r="C3" s="34">
        <f>B3</f>
        <v>96</v>
      </c>
      <c r="D3" s="34">
        <f t="shared" ref="D3:J4" si="0">C3</f>
        <v>96</v>
      </c>
      <c r="E3" s="34">
        <f t="shared" si="0"/>
        <v>96</v>
      </c>
      <c r="F3" s="34">
        <f t="shared" si="0"/>
        <v>96</v>
      </c>
      <c r="G3" s="34">
        <f t="shared" si="0"/>
        <v>96</v>
      </c>
      <c r="H3" s="34">
        <f t="shared" si="0"/>
        <v>96</v>
      </c>
      <c r="I3" s="34">
        <f t="shared" si="0"/>
        <v>96</v>
      </c>
      <c r="J3" s="34">
        <f t="shared" si="0"/>
        <v>96</v>
      </c>
    </row>
    <row r="4" spans="1:10" s="34" customFormat="1" x14ac:dyDescent="0.15">
      <c r="B4" s="34">
        <v>235</v>
      </c>
      <c r="C4" s="34">
        <f>B4</f>
        <v>235</v>
      </c>
      <c r="D4" s="34">
        <f t="shared" si="0"/>
        <v>235</v>
      </c>
      <c r="E4" s="34">
        <f t="shared" si="0"/>
        <v>235</v>
      </c>
      <c r="F4" s="34">
        <f t="shared" si="0"/>
        <v>235</v>
      </c>
      <c r="G4" s="34">
        <f t="shared" si="0"/>
        <v>235</v>
      </c>
      <c r="H4" s="34">
        <f t="shared" si="0"/>
        <v>235</v>
      </c>
      <c r="I4" s="34">
        <f t="shared" si="0"/>
        <v>235</v>
      </c>
      <c r="J4" s="34">
        <f t="shared" si="0"/>
        <v>235</v>
      </c>
    </row>
    <row r="5" spans="1:10" s="34" customFormat="1" x14ac:dyDescent="0.15">
      <c r="A5" s="34" t="s">
        <v>5215</v>
      </c>
      <c r="B5" s="38">
        <f ca="1">AVERAGE(OFFSET(B$6,B$3-6,0,B$4-B$3+1,1))</f>
        <v>1499.1642857142858</v>
      </c>
      <c r="C5" s="12">
        <f ca="1">AVERAGE(OFFSET(C$6,C$3-6,0,C$4-C$3+1,1))</f>
        <v>31.934571428571441</v>
      </c>
      <c r="D5" s="34" t="str">
        <f ca="1">VecAverage(OFFSET(D$6,D$3-6,0,D$4-D$3+1,1),300)</f>
        <v>27∠66.9°</v>
      </c>
      <c r="E5" s="12">
        <f ca="1">AVERAGE(OFFSET(E$6,E$3-6,0,E$4-E$3+1,1))</f>
        <v>35.764571428571422</v>
      </c>
      <c r="F5" s="34" t="str">
        <f ca="1">VecAverage(OFFSET(F$6,F$3-6,0,F$4-F$3+1,1),300)</f>
        <v>32.8∠97.8°</v>
      </c>
      <c r="G5" s="37">
        <f ca="1">AVERAGE(OFFSET(G$6,G$3-6,0,G$4-G$3+1,1))</f>
        <v>63.126642857142855</v>
      </c>
      <c r="H5" s="34" t="str">
        <f ca="1">VecAverage(OFFSET(H$6,H$3-6,0,H$4-H$3+1,1),300)</f>
        <v>62.2∠140.3°</v>
      </c>
      <c r="I5" s="12">
        <f ca="1">AVERAGE(OFFSET(I$6,I$3-6,0,I$4-I$3+1,1))</f>
        <v>53.164214285714252</v>
      </c>
      <c r="J5" s="34" t="str">
        <f ca="1">VecAverage(OFFSET(J$6,J$3-6,0,J$4-J$3+1,1),330)</f>
        <v>47.9∠249.2°</v>
      </c>
    </row>
    <row r="6" spans="1:10" x14ac:dyDescent="0.15">
      <c r="A6" s="21">
        <v>43211.447916666664</v>
      </c>
      <c r="B6">
        <v>1499</v>
      </c>
      <c r="C6">
        <v>58.19</v>
      </c>
      <c r="D6" t="s">
        <v>4138</v>
      </c>
      <c r="E6">
        <v>81.89</v>
      </c>
      <c r="F6" t="s">
        <v>4139</v>
      </c>
      <c r="G6">
        <v>104.5</v>
      </c>
      <c r="H6" t="s">
        <v>4140</v>
      </c>
      <c r="I6">
        <v>97.92</v>
      </c>
      <c r="J6" t="s">
        <v>4141</v>
      </c>
    </row>
    <row r="7" spans="1:10" x14ac:dyDescent="0.15">
      <c r="A7" s="21">
        <v>43211.448611111111</v>
      </c>
      <c r="B7">
        <v>1499</v>
      </c>
      <c r="C7">
        <v>56.68</v>
      </c>
      <c r="D7" t="s">
        <v>4142</v>
      </c>
      <c r="E7">
        <v>80.14</v>
      </c>
      <c r="F7" t="s">
        <v>4143</v>
      </c>
      <c r="G7">
        <v>101.5</v>
      </c>
      <c r="H7" t="s">
        <v>4144</v>
      </c>
      <c r="I7">
        <v>94.41</v>
      </c>
      <c r="J7" t="s">
        <v>4145</v>
      </c>
    </row>
    <row r="8" spans="1:10" x14ac:dyDescent="0.15">
      <c r="A8" s="21">
        <v>43211.448611111111</v>
      </c>
      <c r="B8">
        <v>1499</v>
      </c>
      <c r="C8">
        <v>56.11</v>
      </c>
      <c r="D8" t="s">
        <v>4146</v>
      </c>
      <c r="E8">
        <v>81.89</v>
      </c>
      <c r="F8" t="s">
        <v>4147</v>
      </c>
      <c r="G8">
        <v>99.41</v>
      </c>
      <c r="H8" t="s">
        <v>4148</v>
      </c>
      <c r="I8">
        <v>95.44</v>
      </c>
      <c r="J8" t="s">
        <v>4149</v>
      </c>
    </row>
    <row r="9" spans="1:10" x14ac:dyDescent="0.15">
      <c r="A9" s="21">
        <v>43211.448611111111</v>
      </c>
      <c r="B9">
        <v>1499</v>
      </c>
      <c r="C9">
        <v>53.64</v>
      </c>
      <c r="D9" t="s">
        <v>4150</v>
      </c>
      <c r="E9">
        <v>77.34</v>
      </c>
      <c r="F9" t="s">
        <v>4151</v>
      </c>
      <c r="G9">
        <v>98.07</v>
      </c>
      <c r="H9" t="s">
        <v>4152</v>
      </c>
      <c r="I9">
        <v>94.74</v>
      </c>
      <c r="J9" t="s">
        <v>4153</v>
      </c>
    </row>
    <row r="10" spans="1:10" x14ac:dyDescent="0.15">
      <c r="A10" s="21">
        <v>43211.448611111111</v>
      </c>
      <c r="B10">
        <v>1499</v>
      </c>
      <c r="C10">
        <v>51.71</v>
      </c>
      <c r="D10" t="s">
        <v>4154</v>
      </c>
      <c r="E10">
        <v>76.92</v>
      </c>
      <c r="F10" t="s">
        <v>4155</v>
      </c>
      <c r="G10">
        <v>102</v>
      </c>
      <c r="H10" t="s">
        <v>4156</v>
      </c>
      <c r="I10">
        <v>93.58</v>
      </c>
      <c r="J10" t="s">
        <v>4157</v>
      </c>
    </row>
    <row r="11" spans="1:10" x14ac:dyDescent="0.15">
      <c r="A11" s="21">
        <v>43211.448611111111</v>
      </c>
      <c r="B11">
        <v>1499</v>
      </c>
      <c r="C11">
        <v>50.99</v>
      </c>
      <c r="D11" t="s">
        <v>4158</v>
      </c>
      <c r="E11">
        <v>74.59</v>
      </c>
      <c r="F11" t="s">
        <v>4159</v>
      </c>
      <c r="G11">
        <v>96.42</v>
      </c>
      <c r="H11" t="s">
        <v>4160</v>
      </c>
      <c r="I11">
        <v>91.97</v>
      </c>
      <c r="J11" t="s">
        <v>4161</v>
      </c>
    </row>
    <row r="12" spans="1:10" x14ac:dyDescent="0.15">
      <c r="A12" s="21">
        <v>43211.448611111111</v>
      </c>
      <c r="B12">
        <v>1499</v>
      </c>
      <c r="C12">
        <v>50.99</v>
      </c>
      <c r="D12" t="s">
        <v>4162</v>
      </c>
      <c r="E12">
        <v>74.19</v>
      </c>
      <c r="F12" t="s">
        <v>4163</v>
      </c>
      <c r="G12">
        <v>95.02</v>
      </c>
      <c r="H12" t="s">
        <v>4164</v>
      </c>
      <c r="I12">
        <v>90.54</v>
      </c>
      <c r="J12" t="s">
        <v>4165</v>
      </c>
    </row>
    <row r="13" spans="1:10" x14ac:dyDescent="0.15">
      <c r="A13" s="21">
        <v>43211.448611111111</v>
      </c>
      <c r="B13">
        <v>1499</v>
      </c>
      <c r="C13">
        <v>49.32</v>
      </c>
      <c r="D13" t="s">
        <v>4166</v>
      </c>
      <c r="E13">
        <v>74</v>
      </c>
      <c r="F13" t="s">
        <v>4167</v>
      </c>
      <c r="G13">
        <v>99.05</v>
      </c>
      <c r="H13" t="s">
        <v>4168</v>
      </c>
      <c r="I13">
        <v>88.79</v>
      </c>
      <c r="J13" t="s">
        <v>4169</v>
      </c>
    </row>
    <row r="14" spans="1:10" x14ac:dyDescent="0.15">
      <c r="A14" s="21">
        <v>43211.448611111111</v>
      </c>
      <c r="B14">
        <v>1499</v>
      </c>
      <c r="C14">
        <v>51.28</v>
      </c>
      <c r="D14" t="s">
        <v>4170</v>
      </c>
      <c r="E14">
        <v>71.56</v>
      </c>
      <c r="F14" t="s">
        <v>4171</v>
      </c>
      <c r="G14">
        <v>93.66</v>
      </c>
      <c r="H14" t="s">
        <v>4172</v>
      </c>
      <c r="I14">
        <v>88.27</v>
      </c>
      <c r="J14" t="s">
        <v>4173</v>
      </c>
    </row>
    <row r="15" spans="1:10" x14ac:dyDescent="0.15">
      <c r="A15" s="21">
        <v>43211.448611111111</v>
      </c>
      <c r="B15">
        <v>1499</v>
      </c>
      <c r="C15">
        <v>49.34</v>
      </c>
      <c r="D15" t="s">
        <v>4174</v>
      </c>
      <c r="E15">
        <v>70.5</v>
      </c>
      <c r="F15" t="s">
        <v>4175</v>
      </c>
      <c r="G15">
        <v>91.71</v>
      </c>
      <c r="H15" t="s">
        <v>4176</v>
      </c>
      <c r="I15">
        <v>88.03</v>
      </c>
      <c r="J15" t="s">
        <v>4177</v>
      </c>
    </row>
    <row r="16" spans="1:10" x14ac:dyDescent="0.15">
      <c r="A16" s="21">
        <v>43211.448611111111</v>
      </c>
      <c r="B16">
        <v>1499</v>
      </c>
      <c r="C16">
        <v>47.73</v>
      </c>
      <c r="D16" t="s">
        <v>4178</v>
      </c>
      <c r="E16">
        <v>70.83</v>
      </c>
      <c r="F16" t="s">
        <v>4179</v>
      </c>
      <c r="G16">
        <v>93.29</v>
      </c>
      <c r="H16" t="s">
        <v>4180</v>
      </c>
      <c r="I16">
        <v>89.45</v>
      </c>
      <c r="J16" t="s">
        <v>4181</v>
      </c>
    </row>
    <row r="17" spans="1:10" x14ac:dyDescent="0.15">
      <c r="A17" s="21">
        <v>43211.448611111111</v>
      </c>
      <c r="B17">
        <v>1499</v>
      </c>
      <c r="C17">
        <v>46.28</v>
      </c>
      <c r="D17" t="s">
        <v>4182</v>
      </c>
      <c r="E17">
        <v>69.2</v>
      </c>
      <c r="F17" t="s">
        <v>4183</v>
      </c>
      <c r="G17">
        <v>90.28</v>
      </c>
      <c r="H17" t="s">
        <v>4184</v>
      </c>
      <c r="I17">
        <v>85.86</v>
      </c>
      <c r="J17" t="s">
        <v>4185</v>
      </c>
    </row>
    <row r="18" spans="1:10" x14ac:dyDescent="0.15">
      <c r="A18" s="21">
        <v>43211.448611111111</v>
      </c>
      <c r="B18">
        <v>1499</v>
      </c>
      <c r="C18">
        <v>45.63</v>
      </c>
      <c r="D18" t="s">
        <v>4186</v>
      </c>
      <c r="E18">
        <v>66.81</v>
      </c>
      <c r="F18" t="s">
        <v>4187</v>
      </c>
      <c r="G18">
        <v>90.05</v>
      </c>
      <c r="H18" t="s">
        <v>4188</v>
      </c>
      <c r="I18">
        <v>83.04</v>
      </c>
      <c r="J18" t="s">
        <v>4189</v>
      </c>
    </row>
    <row r="19" spans="1:10" x14ac:dyDescent="0.15">
      <c r="A19" s="21">
        <v>43211.448611111111</v>
      </c>
      <c r="B19">
        <v>1499</v>
      </c>
      <c r="C19">
        <v>44.48</v>
      </c>
      <c r="D19" t="s">
        <v>4190</v>
      </c>
      <c r="E19">
        <v>65.849999999999994</v>
      </c>
      <c r="F19" t="s">
        <v>4191</v>
      </c>
      <c r="G19">
        <v>89.82</v>
      </c>
      <c r="H19" t="s">
        <v>4192</v>
      </c>
      <c r="I19">
        <v>83.16</v>
      </c>
      <c r="J19" t="s">
        <v>4193</v>
      </c>
    </row>
    <row r="20" spans="1:10" x14ac:dyDescent="0.15">
      <c r="A20" s="21">
        <v>43211.448611111111</v>
      </c>
      <c r="B20">
        <v>1499</v>
      </c>
      <c r="C20">
        <v>43.19</v>
      </c>
      <c r="D20" t="s">
        <v>4194</v>
      </c>
      <c r="E20">
        <v>65.45</v>
      </c>
      <c r="F20" t="s">
        <v>4195</v>
      </c>
      <c r="G20">
        <v>91.17</v>
      </c>
      <c r="H20" t="s">
        <v>4196</v>
      </c>
      <c r="I20">
        <v>81.94</v>
      </c>
      <c r="J20" t="s">
        <v>4197</v>
      </c>
    </row>
    <row r="21" spans="1:10" x14ac:dyDescent="0.15">
      <c r="A21" s="21">
        <v>43211.448611111111</v>
      </c>
      <c r="B21">
        <v>1499</v>
      </c>
      <c r="C21">
        <v>44.34</v>
      </c>
      <c r="D21" t="s">
        <v>4198</v>
      </c>
      <c r="E21">
        <v>64.930000000000007</v>
      </c>
      <c r="F21" t="s">
        <v>4199</v>
      </c>
      <c r="G21">
        <v>87.45</v>
      </c>
      <c r="H21" t="s">
        <v>4200</v>
      </c>
      <c r="I21">
        <v>82.19</v>
      </c>
      <c r="J21" t="s">
        <v>4201</v>
      </c>
    </row>
    <row r="22" spans="1:10" x14ac:dyDescent="0.15">
      <c r="A22" s="21">
        <v>43211.448611111111</v>
      </c>
      <c r="B22">
        <v>1499</v>
      </c>
      <c r="C22">
        <v>43.13</v>
      </c>
      <c r="D22" t="s">
        <v>4202</v>
      </c>
      <c r="E22">
        <v>63.75</v>
      </c>
      <c r="F22" t="s">
        <v>4203</v>
      </c>
      <c r="G22">
        <v>87.61</v>
      </c>
      <c r="H22" t="s">
        <v>4204</v>
      </c>
      <c r="I22">
        <v>83.74</v>
      </c>
      <c r="J22" t="s">
        <v>4205</v>
      </c>
    </row>
    <row r="23" spans="1:10" x14ac:dyDescent="0.15">
      <c r="A23" s="21">
        <v>43211.448611111111</v>
      </c>
      <c r="B23">
        <v>1499</v>
      </c>
      <c r="C23">
        <v>41.04</v>
      </c>
      <c r="D23" t="s">
        <v>4206</v>
      </c>
      <c r="E23">
        <v>64.55</v>
      </c>
      <c r="F23" t="s">
        <v>4207</v>
      </c>
      <c r="G23">
        <v>86.86</v>
      </c>
      <c r="H23" t="s">
        <v>4208</v>
      </c>
      <c r="I23">
        <v>79.78</v>
      </c>
      <c r="J23" t="s">
        <v>4209</v>
      </c>
    </row>
    <row r="24" spans="1:10" x14ac:dyDescent="0.15">
      <c r="A24" s="21">
        <v>43211.448611111111</v>
      </c>
      <c r="B24">
        <v>1499</v>
      </c>
      <c r="C24">
        <v>41.71</v>
      </c>
      <c r="D24" t="s">
        <v>4210</v>
      </c>
      <c r="E24">
        <v>62.94</v>
      </c>
      <c r="F24" t="s">
        <v>4211</v>
      </c>
      <c r="G24">
        <v>85.2</v>
      </c>
      <c r="H24" t="s">
        <v>4212</v>
      </c>
      <c r="I24">
        <v>80.67</v>
      </c>
      <c r="J24" t="s">
        <v>4213</v>
      </c>
    </row>
    <row r="25" spans="1:10" x14ac:dyDescent="0.15">
      <c r="A25" s="21">
        <v>43211.448611111111</v>
      </c>
      <c r="B25">
        <v>1499</v>
      </c>
      <c r="C25">
        <v>40.76</v>
      </c>
      <c r="D25" t="s">
        <v>4214</v>
      </c>
      <c r="E25">
        <v>61.98</v>
      </c>
      <c r="F25" t="s">
        <v>4215</v>
      </c>
      <c r="G25">
        <v>88.55</v>
      </c>
      <c r="H25" t="s">
        <v>4216</v>
      </c>
      <c r="I25">
        <v>78.19</v>
      </c>
      <c r="J25" t="s">
        <v>4217</v>
      </c>
    </row>
    <row r="26" spans="1:10" x14ac:dyDescent="0.15">
      <c r="A26" s="21">
        <v>43211.448611111111</v>
      </c>
      <c r="B26">
        <v>1499</v>
      </c>
      <c r="C26">
        <v>39.78</v>
      </c>
      <c r="D26" t="s">
        <v>4218</v>
      </c>
      <c r="E26">
        <v>60.42</v>
      </c>
      <c r="F26" t="s">
        <v>4219</v>
      </c>
      <c r="G26">
        <v>84.33</v>
      </c>
      <c r="H26" t="s">
        <v>4220</v>
      </c>
      <c r="I26">
        <v>78.459999999999994</v>
      </c>
      <c r="J26" t="s">
        <v>4221</v>
      </c>
    </row>
    <row r="27" spans="1:10" x14ac:dyDescent="0.15">
      <c r="A27" s="21">
        <v>43211.448611111111</v>
      </c>
      <c r="B27">
        <v>1499</v>
      </c>
      <c r="C27">
        <v>41.44</v>
      </c>
      <c r="D27" t="s">
        <v>4222</v>
      </c>
      <c r="E27">
        <v>59.31</v>
      </c>
      <c r="F27" t="s">
        <v>4223</v>
      </c>
      <c r="G27">
        <v>83.99</v>
      </c>
      <c r="H27" t="s">
        <v>4224</v>
      </c>
      <c r="I27">
        <v>81.209999999999994</v>
      </c>
      <c r="J27" t="s">
        <v>4225</v>
      </c>
    </row>
    <row r="28" spans="1:10" x14ac:dyDescent="0.15">
      <c r="A28" s="21">
        <v>43211.448611111111</v>
      </c>
      <c r="B28">
        <v>1499</v>
      </c>
      <c r="C28">
        <v>39.32</v>
      </c>
      <c r="D28" t="s">
        <v>4226</v>
      </c>
      <c r="E28">
        <v>58.09</v>
      </c>
      <c r="F28" t="s">
        <v>4227</v>
      </c>
      <c r="G28">
        <v>81.87</v>
      </c>
      <c r="H28" t="s">
        <v>4228</v>
      </c>
      <c r="I28">
        <v>76.349999999999994</v>
      </c>
      <c r="J28" t="s">
        <v>4229</v>
      </c>
    </row>
    <row r="29" spans="1:10" x14ac:dyDescent="0.15">
      <c r="A29" s="21">
        <v>43211.449305555558</v>
      </c>
      <c r="B29">
        <v>1500</v>
      </c>
      <c r="C29">
        <v>39.47</v>
      </c>
      <c r="D29" t="s">
        <v>4230</v>
      </c>
      <c r="E29">
        <v>58.25</v>
      </c>
      <c r="F29" t="s">
        <v>4231</v>
      </c>
      <c r="G29">
        <v>84.26</v>
      </c>
      <c r="H29" t="s">
        <v>4232</v>
      </c>
      <c r="I29">
        <v>75.59</v>
      </c>
      <c r="J29" t="s">
        <v>4233</v>
      </c>
    </row>
    <row r="30" spans="1:10" x14ac:dyDescent="0.15">
      <c r="A30" s="21">
        <v>43211.449305555558</v>
      </c>
      <c r="B30">
        <v>1499</v>
      </c>
      <c r="C30">
        <v>39.61</v>
      </c>
      <c r="D30" t="s">
        <v>4234</v>
      </c>
      <c r="E30">
        <v>58.25</v>
      </c>
      <c r="F30" t="s">
        <v>4235</v>
      </c>
      <c r="G30">
        <v>81.92</v>
      </c>
      <c r="H30" t="s">
        <v>4236</v>
      </c>
      <c r="I30">
        <v>76.61</v>
      </c>
      <c r="J30" t="s">
        <v>4237</v>
      </c>
    </row>
    <row r="31" spans="1:10" x14ac:dyDescent="0.15">
      <c r="A31" s="21">
        <v>43211.449305555558</v>
      </c>
      <c r="B31">
        <v>1499</v>
      </c>
      <c r="C31">
        <v>39.06</v>
      </c>
      <c r="D31" t="s">
        <v>4238</v>
      </c>
      <c r="E31">
        <v>56.49</v>
      </c>
      <c r="F31" t="s">
        <v>4239</v>
      </c>
      <c r="G31">
        <v>82.61</v>
      </c>
      <c r="H31" t="s">
        <v>4240</v>
      </c>
      <c r="I31">
        <v>74.33</v>
      </c>
      <c r="J31" t="s">
        <v>4241</v>
      </c>
    </row>
    <row r="32" spans="1:10" x14ac:dyDescent="0.15">
      <c r="A32" s="21">
        <v>43211.449305555558</v>
      </c>
      <c r="B32">
        <v>1499</v>
      </c>
      <c r="C32">
        <v>39.78</v>
      </c>
      <c r="D32" t="s">
        <v>4242</v>
      </c>
      <c r="E32">
        <v>57.26</v>
      </c>
      <c r="F32" t="s">
        <v>4243</v>
      </c>
      <c r="G32">
        <v>81.98</v>
      </c>
      <c r="H32" t="s">
        <v>4244</v>
      </c>
      <c r="I32">
        <v>74.7</v>
      </c>
      <c r="J32" t="s">
        <v>4245</v>
      </c>
    </row>
    <row r="33" spans="1:10" x14ac:dyDescent="0.15">
      <c r="A33" s="21">
        <v>43211.449305555558</v>
      </c>
      <c r="B33">
        <v>1499</v>
      </c>
      <c r="C33">
        <v>38.75</v>
      </c>
      <c r="D33" t="s">
        <v>4246</v>
      </c>
      <c r="E33">
        <v>57.55</v>
      </c>
      <c r="F33" t="s">
        <v>4247</v>
      </c>
      <c r="G33">
        <v>81.99</v>
      </c>
      <c r="H33" t="s">
        <v>4248</v>
      </c>
      <c r="I33">
        <v>74.790000000000006</v>
      </c>
      <c r="J33" t="s">
        <v>4249</v>
      </c>
    </row>
    <row r="34" spans="1:10" x14ac:dyDescent="0.15">
      <c r="A34" s="21">
        <v>43211.449305555558</v>
      </c>
      <c r="B34">
        <v>1499</v>
      </c>
      <c r="C34">
        <v>37.78</v>
      </c>
      <c r="D34" t="s">
        <v>4250</v>
      </c>
      <c r="E34">
        <v>54.35</v>
      </c>
      <c r="F34" t="s">
        <v>4251</v>
      </c>
      <c r="G34">
        <v>83.44</v>
      </c>
      <c r="H34" t="s">
        <v>4252</v>
      </c>
      <c r="I34">
        <v>73.03</v>
      </c>
      <c r="J34" t="s">
        <v>4253</v>
      </c>
    </row>
    <row r="35" spans="1:10" x14ac:dyDescent="0.15">
      <c r="A35" s="21">
        <v>43211.449305555558</v>
      </c>
      <c r="B35">
        <v>1499</v>
      </c>
      <c r="C35">
        <v>37.6</v>
      </c>
      <c r="D35" t="s">
        <v>4254</v>
      </c>
      <c r="E35">
        <v>55.92</v>
      </c>
      <c r="F35" t="s">
        <v>4255</v>
      </c>
      <c r="G35">
        <v>83.89</v>
      </c>
      <c r="H35" t="s">
        <v>4256</v>
      </c>
      <c r="I35">
        <v>70.680000000000007</v>
      </c>
      <c r="J35" t="s">
        <v>4257</v>
      </c>
    </row>
    <row r="36" spans="1:10" x14ac:dyDescent="0.15">
      <c r="A36" s="21">
        <v>43211.449305555558</v>
      </c>
      <c r="B36">
        <v>1499</v>
      </c>
      <c r="C36">
        <v>36.94</v>
      </c>
      <c r="D36" t="s">
        <v>4258</v>
      </c>
      <c r="E36">
        <v>54.87</v>
      </c>
      <c r="F36" t="s">
        <v>4259</v>
      </c>
      <c r="G36">
        <v>80.709999999999994</v>
      </c>
      <c r="H36" t="s">
        <v>4260</v>
      </c>
      <c r="I36">
        <v>73.14</v>
      </c>
      <c r="J36" t="s">
        <v>4261</v>
      </c>
    </row>
    <row r="37" spans="1:10" x14ac:dyDescent="0.15">
      <c r="A37" s="21">
        <v>43211.449305555558</v>
      </c>
      <c r="B37">
        <v>1499</v>
      </c>
      <c r="C37">
        <v>36.840000000000003</v>
      </c>
      <c r="D37" t="s">
        <v>4262</v>
      </c>
      <c r="E37">
        <v>52.9</v>
      </c>
      <c r="F37" t="s">
        <v>4263</v>
      </c>
      <c r="G37">
        <v>79.760000000000005</v>
      </c>
      <c r="H37" t="s">
        <v>4264</v>
      </c>
      <c r="I37">
        <v>72.37</v>
      </c>
      <c r="J37" t="s">
        <v>4265</v>
      </c>
    </row>
    <row r="38" spans="1:10" x14ac:dyDescent="0.15">
      <c r="A38" s="21">
        <v>43211.449305555558</v>
      </c>
      <c r="B38">
        <v>1499</v>
      </c>
      <c r="C38">
        <v>37.08</v>
      </c>
      <c r="D38" t="s">
        <v>4266</v>
      </c>
      <c r="E38">
        <v>52.72</v>
      </c>
      <c r="F38" t="s">
        <v>4267</v>
      </c>
      <c r="G38">
        <v>80.89</v>
      </c>
      <c r="H38" t="s">
        <v>4268</v>
      </c>
      <c r="I38">
        <v>71.41</v>
      </c>
      <c r="J38" t="s">
        <v>4269</v>
      </c>
    </row>
    <row r="39" spans="1:10" x14ac:dyDescent="0.15">
      <c r="A39" s="21">
        <v>43211.449305555558</v>
      </c>
      <c r="B39">
        <v>1499</v>
      </c>
      <c r="C39">
        <v>37.94</v>
      </c>
      <c r="D39" t="s">
        <v>4270</v>
      </c>
      <c r="E39">
        <v>51.83</v>
      </c>
      <c r="F39" t="s">
        <v>4271</v>
      </c>
      <c r="G39">
        <v>82.34</v>
      </c>
      <c r="H39" t="s">
        <v>4272</v>
      </c>
      <c r="I39">
        <v>70.540000000000006</v>
      </c>
      <c r="J39" t="s">
        <v>4273</v>
      </c>
    </row>
    <row r="40" spans="1:10" x14ac:dyDescent="0.15">
      <c r="A40" s="21">
        <v>43211.449305555558</v>
      </c>
      <c r="B40">
        <v>1499</v>
      </c>
      <c r="C40">
        <v>36.46</v>
      </c>
      <c r="D40" t="s">
        <v>4274</v>
      </c>
      <c r="E40">
        <v>53.14</v>
      </c>
      <c r="F40" t="s">
        <v>4275</v>
      </c>
      <c r="G40">
        <v>83.27</v>
      </c>
      <c r="H40" t="s">
        <v>4276</v>
      </c>
      <c r="I40">
        <v>70.19</v>
      </c>
      <c r="J40" t="s">
        <v>4277</v>
      </c>
    </row>
    <row r="41" spans="1:10" x14ac:dyDescent="0.15">
      <c r="A41" s="21">
        <v>43211.449305555558</v>
      </c>
      <c r="B41">
        <v>1499</v>
      </c>
      <c r="C41">
        <v>37</v>
      </c>
      <c r="D41" t="s">
        <v>4278</v>
      </c>
      <c r="E41">
        <v>50.66</v>
      </c>
      <c r="F41" t="s">
        <v>4279</v>
      </c>
      <c r="G41">
        <v>78.77</v>
      </c>
      <c r="H41" t="s">
        <v>4280</v>
      </c>
      <c r="I41">
        <v>68.67</v>
      </c>
      <c r="J41" t="s">
        <v>4281</v>
      </c>
    </row>
    <row r="42" spans="1:10" x14ac:dyDescent="0.15">
      <c r="A42" s="21">
        <v>43211.449305555558</v>
      </c>
      <c r="B42">
        <v>1499</v>
      </c>
      <c r="C42">
        <v>36.130000000000003</v>
      </c>
      <c r="D42" t="s">
        <v>4282</v>
      </c>
      <c r="E42">
        <v>50.9</v>
      </c>
      <c r="F42" t="s">
        <v>4283</v>
      </c>
      <c r="G42">
        <v>79.64</v>
      </c>
      <c r="H42" t="s">
        <v>4284</v>
      </c>
      <c r="I42">
        <v>71.03</v>
      </c>
      <c r="J42" t="s">
        <v>4285</v>
      </c>
    </row>
    <row r="43" spans="1:10" x14ac:dyDescent="0.15">
      <c r="A43" s="21">
        <v>43211.449305555558</v>
      </c>
      <c r="B43">
        <v>1499</v>
      </c>
      <c r="C43">
        <v>37.200000000000003</v>
      </c>
      <c r="D43" t="s">
        <v>4286</v>
      </c>
      <c r="E43">
        <v>50.29</v>
      </c>
      <c r="F43" t="s">
        <v>4287</v>
      </c>
      <c r="G43">
        <v>78.33</v>
      </c>
      <c r="H43" t="s">
        <v>4288</v>
      </c>
      <c r="I43">
        <v>69.91</v>
      </c>
      <c r="J43" t="s">
        <v>4289</v>
      </c>
    </row>
    <row r="44" spans="1:10" x14ac:dyDescent="0.15">
      <c r="A44" s="21">
        <v>43211.449305555558</v>
      </c>
      <c r="B44">
        <v>1499</v>
      </c>
      <c r="C44">
        <v>36.020000000000003</v>
      </c>
      <c r="D44" t="s">
        <v>4290</v>
      </c>
      <c r="E44">
        <v>49.71</v>
      </c>
      <c r="F44" t="s">
        <v>4291</v>
      </c>
      <c r="G44">
        <v>76.489999999999995</v>
      </c>
      <c r="H44" t="s">
        <v>4292</v>
      </c>
      <c r="I44">
        <v>70.150000000000006</v>
      </c>
      <c r="J44" t="s">
        <v>4293</v>
      </c>
    </row>
    <row r="45" spans="1:10" x14ac:dyDescent="0.15">
      <c r="A45" s="21">
        <v>43211.449305555558</v>
      </c>
      <c r="B45">
        <v>1499</v>
      </c>
      <c r="C45">
        <v>35.06</v>
      </c>
      <c r="D45" t="s">
        <v>4294</v>
      </c>
      <c r="E45">
        <v>50.16</v>
      </c>
      <c r="F45" t="s">
        <v>4295</v>
      </c>
      <c r="G45">
        <v>76.17</v>
      </c>
      <c r="H45" t="s">
        <v>4296</v>
      </c>
      <c r="I45">
        <v>69</v>
      </c>
      <c r="J45" t="s">
        <v>4297</v>
      </c>
    </row>
    <row r="46" spans="1:10" x14ac:dyDescent="0.15">
      <c r="A46" s="21">
        <v>43211.449305555558</v>
      </c>
      <c r="B46">
        <v>1499</v>
      </c>
      <c r="C46">
        <v>36.68</v>
      </c>
      <c r="D46" t="s">
        <v>4298</v>
      </c>
      <c r="E46">
        <v>49.47</v>
      </c>
      <c r="F46" t="s">
        <v>4299</v>
      </c>
      <c r="G46">
        <v>77.349999999999994</v>
      </c>
      <c r="H46" t="s">
        <v>4300</v>
      </c>
      <c r="I46">
        <v>68.17</v>
      </c>
      <c r="J46" t="s">
        <v>4301</v>
      </c>
    </row>
    <row r="47" spans="1:10" x14ac:dyDescent="0.15">
      <c r="A47" s="21">
        <v>43211.449305555558</v>
      </c>
      <c r="B47">
        <v>1498</v>
      </c>
      <c r="C47">
        <v>36.11</v>
      </c>
      <c r="D47" t="s">
        <v>4302</v>
      </c>
      <c r="E47">
        <v>48.62</v>
      </c>
      <c r="F47" t="s">
        <v>4303</v>
      </c>
      <c r="G47">
        <v>77.39</v>
      </c>
      <c r="H47" t="s">
        <v>4304</v>
      </c>
      <c r="I47">
        <v>67.92</v>
      </c>
      <c r="J47" t="s">
        <v>4305</v>
      </c>
    </row>
    <row r="48" spans="1:10" x14ac:dyDescent="0.15">
      <c r="A48" s="21">
        <v>43211.449305555558</v>
      </c>
      <c r="B48">
        <v>1499</v>
      </c>
      <c r="C48">
        <v>36.26</v>
      </c>
      <c r="D48" t="s">
        <v>4306</v>
      </c>
      <c r="E48">
        <v>48.34</v>
      </c>
      <c r="F48" t="s">
        <v>4307</v>
      </c>
      <c r="G48">
        <v>77.709999999999994</v>
      </c>
      <c r="H48" t="s">
        <v>4308</v>
      </c>
      <c r="I48">
        <v>68.33</v>
      </c>
      <c r="J48" t="s">
        <v>4309</v>
      </c>
    </row>
    <row r="49" spans="1:10" x14ac:dyDescent="0.15">
      <c r="A49" s="21">
        <v>43211.449305555558</v>
      </c>
      <c r="B49">
        <v>1499</v>
      </c>
      <c r="C49">
        <v>34.89</v>
      </c>
      <c r="D49" t="s">
        <v>4310</v>
      </c>
      <c r="E49">
        <v>48.74</v>
      </c>
      <c r="F49" t="s">
        <v>4311</v>
      </c>
      <c r="G49">
        <v>78.849999999999994</v>
      </c>
      <c r="H49" t="s">
        <v>4312</v>
      </c>
      <c r="I49">
        <v>66.39</v>
      </c>
      <c r="J49" t="s">
        <v>4313</v>
      </c>
    </row>
    <row r="50" spans="1:10" x14ac:dyDescent="0.15">
      <c r="A50" s="21">
        <v>43211.449305555558</v>
      </c>
      <c r="B50">
        <v>1499</v>
      </c>
      <c r="C50">
        <v>36.020000000000003</v>
      </c>
      <c r="D50" t="s">
        <v>4314</v>
      </c>
      <c r="E50">
        <v>49.27</v>
      </c>
      <c r="F50" t="s">
        <v>4315</v>
      </c>
      <c r="G50">
        <v>74.2</v>
      </c>
      <c r="H50" t="s">
        <v>4316</v>
      </c>
      <c r="I50">
        <v>67.53</v>
      </c>
      <c r="J50" t="s">
        <v>4317</v>
      </c>
    </row>
    <row r="51" spans="1:10" x14ac:dyDescent="0.15">
      <c r="A51" s="21">
        <v>43211.45</v>
      </c>
      <c r="B51">
        <v>1498</v>
      </c>
      <c r="C51">
        <v>34.369999999999997</v>
      </c>
      <c r="D51" t="s">
        <v>4318</v>
      </c>
      <c r="E51">
        <v>47.49</v>
      </c>
      <c r="F51" t="s">
        <v>4319</v>
      </c>
      <c r="G51">
        <v>74</v>
      </c>
      <c r="H51" t="s">
        <v>4320</v>
      </c>
      <c r="I51">
        <v>66.349999999999994</v>
      </c>
      <c r="J51" t="s">
        <v>4321</v>
      </c>
    </row>
    <row r="52" spans="1:10" x14ac:dyDescent="0.15">
      <c r="A52" s="21">
        <v>43211.45</v>
      </c>
      <c r="B52">
        <v>1499</v>
      </c>
      <c r="C52">
        <v>35.130000000000003</v>
      </c>
      <c r="D52" t="s">
        <v>4322</v>
      </c>
      <c r="E52">
        <v>46.23</v>
      </c>
      <c r="F52" t="s">
        <v>4323</v>
      </c>
      <c r="G52">
        <v>75.25</v>
      </c>
      <c r="H52" t="s">
        <v>4308</v>
      </c>
      <c r="I52">
        <v>64.56</v>
      </c>
      <c r="J52" t="s">
        <v>4324</v>
      </c>
    </row>
    <row r="53" spans="1:10" x14ac:dyDescent="0.15">
      <c r="A53" s="21">
        <v>43211.45</v>
      </c>
      <c r="B53">
        <v>1499</v>
      </c>
      <c r="C53">
        <v>35.229999999999997</v>
      </c>
      <c r="D53" t="s">
        <v>4325</v>
      </c>
      <c r="E53">
        <v>47.13</v>
      </c>
      <c r="F53" t="s">
        <v>4326</v>
      </c>
      <c r="G53">
        <v>75.260000000000005</v>
      </c>
      <c r="H53" t="s">
        <v>4316</v>
      </c>
      <c r="I53">
        <v>66.58</v>
      </c>
      <c r="J53" t="s">
        <v>4327</v>
      </c>
    </row>
    <row r="54" spans="1:10" x14ac:dyDescent="0.15">
      <c r="A54" s="21">
        <v>43211.45</v>
      </c>
      <c r="B54">
        <v>1498</v>
      </c>
      <c r="C54">
        <v>35.619999999999997</v>
      </c>
      <c r="D54" t="s">
        <v>4328</v>
      </c>
      <c r="E54">
        <v>47.07</v>
      </c>
      <c r="F54" t="s">
        <v>4329</v>
      </c>
      <c r="G54">
        <v>75.400000000000006</v>
      </c>
      <c r="H54" t="s">
        <v>4330</v>
      </c>
      <c r="I54">
        <v>66.39</v>
      </c>
      <c r="J54" t="s">
        <v>4331</v>
      </c>
    </row>
    <row r="55" spans="1:10" x14ac:dyDescent="0.15">
      <c r="A55" s="21">
        <v>43211.45</v>
      </c>
      <c r="B55">
        <v>1499</v>
      </c>
      <c r="C55">
        <v>34.75</v>
      </c>
      <c r="D55" t="s">
        <v>4332</v>
      </c>
      <c r="E55">
        <v>45.93</v>
      </c>
      <c r="F55" t="s">
        <v>4333</v>
      </c>
      <c r="G55">
        <v>72.84</v>
      </c>
      <c r="H55" t="s">
        <v>4334</v>
      </c>
      <c r="I55">
        <v>65.819999999999993</v>
      </c>
      <c r="J55" t="s">
        <v>4335</v>
      </c>
    </row>
    <row r="56" spans="1:10" x14ac:dyDescent="0.15">
      <c r="A56" s="21">
        <v>43211.45</v>
      </c>
      <c r="B56">
        <v>1499</v>
      </c>
      <c r="C56">
        <v>34.86</v>
      </c>
      <c r="D56" t="s">
        <v>4336</v>
      </c>
      <c r="E56">
        <v>46.51</v>
      </c>
      <c r="F56" t="s">
        <v>4337</v>
      </c>
      <c r="G56">
        <v>75</v>
      </c>
      <c r="H56" t="s">
        <v>4338</v>
      </c>
      <c r="I56">
        <v>67.3</v>
      </c>
      <c r="J56" t="s">
        <v>4339</v>
      </c>
    </row>
    <row r="57" spans="1:10" x14ac:dyDescent="0.15">
      <c r="A57" s="21">
        <v>43211.45</v>
      </c>
      <c r="B57">
        <v>1499</v>
      </c>
      <c r="C57">
        <v>34.07</v>
      </c>
      <c r="D57" t="s">
        <v>4340</v>
      </c>
      <c r="E57">
        <v>47.34</v>
      </c>
      <c r="F57" t="s">
        <v>4341</v>
      </c>
      <c r="G57">
        <v>74.760000000000005</v>
      </c>
      <c r="H57" t="s">
        <v>4342</v>
      </c>
      <c r="I57">
        <v>66.12</v>
      </c>
      <c r="J57" t="s">
        <v>4343</v>
      </c>
    </row>
    <row r="58" spans="1:10" x14ac:dyDescent="0.15">
      <c r="A58" s="21">
        <v>43211.45</v>
      </c>
      <c r="B58">
        <v>1498</v>
      </c>
      <c r="C58">
        <v>35.15</v>
      </c>
      <c r="D58" t="s">
        <v>4344</v>
      </c>
      <c r="E58">
        <v>45.7</v>
      </c>
      <c r="F58" t="s">
        <v>4345</v>
      </c>
      <c r="G58">
        <v>71.040000000000006</v>
      </c>
      <c r="H58" t="s">
        <v>4346</v>
      </c>
      <c r="I58">
        <v>65.959999999999994</v>
      </c>
      <c r="J58" t="s">
        <v>4347</v>
      </c>
    </row>
    <row r="59" spans="1:10" x14ac:dyDescent="0.15">
      <c r="A59" s="21">
        <v>43211.45</v>
      </c>
      <c r="B59">
        <v>1499</v>
      </c>
      <c r="C59">
        <v>33.76</v>
      </c>
      <c r="D59" t="s">
        <v>4348</v>
      </c>
      <c r="E59">
        <v>45.17</v>
      </c>
      <c r="F59" t="s">
        <v>4349</v>
      </c>
      <c r="G59">
        <v>73.02</v>
      </c>
      <c r="H59" t="s">
        <v>4350</v>
      </c>
      <c r="I59">
        <v>63.14</v>
      </c>
      <c r="J59" t="s">
        <v>4351</v>
      </c>
    </row>
    <row r="60" spans="1:10" x14ac:dyDescent="0.15">
      <c r="A60" s="21">
        <v>43211.45</v>
      </c>
      <c r="B60">
        <v>1499</v>
      </c>
      <c r="C60">
        <v>34.51</v>
      </c>
      <c r="D60" t="s">
        <v>4352</v>
      </c>
      <c r="E60">
        <v>44.48</v>
      </c>
      <c r="F60" t="s">
        <v>4353</v>
      </c>
      <c r="G60">
        <v>73.67</v>
      </c>
      <c r="H60" t="s">
        <v>4354</v>
      </c>
      <c r="I60">
        <v>64.5</v>
      </c>
      <c r="J60" t="s">
        <v>4355</v>
      </c>
    </row>
    <row r="61" spans="1:10" x14ac:dyDescent="0.15">
      <c r="A61" s="21">
        <v>43211.45</v>
      </c>
      <c r="B61">
        <v>1499</v>
      </c>
      <c r="C61">
        <v>35.07</v>
      </c>
      <c r="D61" t="s">
        <v>4356</v>
      </c>
      <c r="E61">
        <v>46.49</v>
      </c>
      <c r="F61" t="s">
        <v>4357</v>
      </c>
      <c r="G61">
        <v>75.47</v>
      </c>
      <c r="H61" t="s">
        <v>4358</v>
      </c>
      <c r="I61">
        <v>63.87</v>
      </c>
      <c r="J61" t="s">
        <v>4359</v>
      </c>
    </row>
    <row r="62" spans="1:10" x14ac:dyDescent="0.15">
      <c r="A62" s="21">
        <v>43211.45</v>
      </c>
      <c r="B62">
        <v>1499</v>
      </c>
      <c r="C62">
        <v>34.03</v>
      </c>
      <c r="D62" t="s">
        <v>4360</v>
      </c>
      <c r="E62">
        <v>45.15</v>
      </c>
      <c r="F62" t="s">
        <v>4361</v>
      </c>
      <c r="G62">
        <v>70.900000000000006</v>
      </c>
      <c r="H62" t="s">
        <v>4362</v>
      </c>
      <c r="I62">
        <v>65.290000000000006</v>
      </c>
      <c r="J62" t="s">
        <v>4363</v>
      </c>
    </row>
    <row r="63" spans="1:10" x14ac:dyDescent="0.15">
      <c r="A63" s="21">
        <v>43211.45</v>
      </c>
      <c r="B63">
        <v>1499</v>
      </c>
      <c r="C63">
        <v>34.71</v>
      </c>
      <c r="D63" t="s">
        <v>4332</v>
      </c>
      <c r="E63">
        <v>44.69</v>
      </c>
      <c r="F63" t="s">
        <v>4364</v>
      </c>
      <c r="G63">
        <v>73.64</v>
      </c>
      <c r="H63" t="s">
        <v>4365</v>
      </c>
      <c r="I63">
        <v>63.72</v>
      </c>
      <c r="J63" t="s">
        <v>4366</v>
      </c>
    </row>
    <row r="64" spans="1:10" x14ac:dyDescent="0.15">
      <c r="A64" s="21">
        <v>43211.45</v>
      </c>
      <c r="B64">
        <v>1499</v>
      </c>
      <c r="C64">
        <v>34.99</v>
      </c>
      <c r="D64" t="s">
        <v>4367</v>
      </c>
      <c r="E64">
        <v>43.33</v>
      </c>
      <c r="F64" t="s">
        <v>4368</v>
      </c>
      <c r="G64">
        <v>70.48</v>
      </c>
      <c r="H64" t="s">
        <v>4369</v>
      </c>
      <c r="I64">
        <v>62.35</v>
      </c>
      <c r="J64" t="s">
        <v>4370</v>
      </c>
    </row>
    <row r="65" spans="1:10" x14ac:dyDescent="0.15">
      <c r="A65" s="21">
        <v>43211.45</v>
      </c>
      <c r="B65">
        <v>1499</v>
      </c>
      <c r="C65">
        <v>34.659999999999997</v>
      </c>
      <c r="D65" t="s">
        <v>4371</v>
      </c>
      <c r="E65">
        <v>43.03</v>
      </c>
      <c r="F65" t="s">
        <v>4372</v>
      </c>
      <c r="G65">
        <v>71.95</v>
      </c>
      <c r="H65" t="s">
        <v>4373</v>
      </c>
      <c r="I65">
        <v>62.03</v>
      </c>
      <c r="J65" t="s">
        <v>4374</v>
      </c>
    </row>
    <row r="66" spans="1:10" x14ac:dyDescent="0.15">
      <c r="A66" s="21">
        <v>43211.45</v>
      </c>
      <c r="B66">
        <v>1499</v>
      </c>
      <c r="C66">
        <v>34.82</v>
      </c>
      <c r="D66" t="s">
        <v>4375</v>
      </c>
      <c r="E66">
        <v>44.53</v>
      </c>
      <c r="F66" t="s">
        <v>4376</v>
      </c>
      <c r="G66">
        <v>70.11</v>
      </c>
      <c r="H66" t="s">
        <v>4377</v>
      </c>
      <c r="I66">
        <v>63.78</v>
      </c>
      <c r="J66" t="s">
        <v>4378</v>
      </c>
    </row>
    <row r="67" spans="1:10" x14ac:dyDescent="0.15">
      <c r="A67" s="21">
        <v>43211.45</v>
      </c>
      <c r="B67">
        <v>1498</v>
      </c>
      <c r="C67">
        <v>33.65</v>
      </c>
      <c r="D67" t="s">
        <v>4379</v>
      </c>
      <c r="E67">
        <v>43.32</v>
      </c>
      <c r="F67" t="s">
        <v>4380</v>
      </c>
      <c r="G67">
        <v>71.930000000000007</v>
      </c>
      <c r="H67" t="s">
        <v>4381</v>
      </c>
      <c r="I67">
        <v>62.73</v>
      </c>
      <c r="J67" t="s">
        <v>4382</v>
      </c>
    </row>
    <row r="68" spans="1:10" x14ac:dyDescent="0.15">
      <c r="A68" s="21">
        <v>43211.45</v>
      </c>
      <c r="B68">
        <v>1499</v>
      </c>
      <c r="C68">
        <v>33.61</v>
      </c>
      <c r="D68" t="s">
        <v>4383</v>
      </c>
      <c r="E68">
        <v>43.88</v>
      </c>
      <c r="F68" t="s">
        <v>4384</v>
      </c>
      <c r="G68">
        <v>72.53</v>
      </c>
      <c r="H68" t="s">
        <v>4385</v>
      </c>
      <c r="I68">
        <v>62.38</v>
      </c>
      <c r="J68" t="s">
        <v>4386</v>
      </c>
    </row>
    <row r="69" spans="1:10" x14ac:dyDescent="0.15">
      <c r="A69" s="21">
        <v>43211.45</v>
      </c>
      <c r="B69">
        <v>1499</v>
      </c>
      <c r="C69">
        <v>34.049999999999997</v>
      </c>
      <c r="D69" t="s">
        <v>4387</v>
      </c>
      <c r="E69">
        <v>42.47</v>
      </c>
      <c r="F69" t="s">
        <v>4388</v>
      </c>
      <c r="G69">
        <v>71.319999999999993</v>
      </c>
      <c r="H69" t="s">
        <v>4389</v>
      </c>
      <c r="I69">
        <v>62.05</v>
      </c>
      <c r="J69" t="s">
        <v>4390</v>
      </c>
    </row>
    <row r="70" spans="1:10" x14ac:dyDescent="0.15">
      <c r="A70" s="21">
        <v>43211.45</v>
      </c>
      <c r="B70">
        <v>1499</v>
      </c>
      <c r="C70">
        <v>33.47</v>
      </c>
      <c r="D70" t="s">
        <v>4391</v>
      </c>
      <c r="E70">
        <v>42.24</v>
      </c>
      <c r="F70" t="s">
        <v>4392</v>
      </c>
      <c r="G70">
        <v>69.42</v>
      </c>
      <c r="H70" t="s">
        <v>4393</v>
      </c>
      <c r="I70">
        <v>63.29</v>
      </c>
      <c r="J70" t="s">
        <v>4394</v>
      </c>
    </row>
    <row r="71" spans="1:10" x14ac:dyDescent="0.15">
      <c r="A71" s="21">
        <v>43211.45</v>
      </c>
      <c r="B71">
        <v>1499</v>
      </c>
      <c r="C71">
        <v>35.369999999999997</v>
      </c>
      <c r="D71" t="s">
        <v>4395</v>
      </c>
      <c r="E71">
        <v>43.46</v>
      </c>
      <c r="F71" t="s">
        <v>4396</v>
      </c>
      <c r="G71">
        <v>72.02</v>
      </c>
      <c r="H71" t="s">
        <v>4397</v>
      </c>
      <c r="I71">
        <v>61.55</v>
      </c>
      <c r="J71" t="s">
        <v>4398</v>
      </c>
    </row>
    <row r="72" spans="1:10" x14ac:dyDescent="0.15">
      <c r="A72" s="21">
        <v>43211.45</v>
      </c>
      <c r="B72">
        <v>1499</v>
      </c>
      <c r="C72">
        <v>34.51</v>
      </c>
      <c r="D72" t="s">
        <v>4399</v>
      </c>
      <c r="E72">
        <v>43.15</v>
      </c>
      <c r="F72" t="s">
        <v>4400</v>
      </c>
      <c r="G72">
        <v>69.63</v>
      </c>
      <c r="H72" t="s">
        <v>4401</v>
      </c>
      <c r="I72">
        <v>61.78</v>
      </c>
      <c r="J72" t="s">
        <v>4402</v>
      </c>
    </row>
    <row r="73" spans="1:10" x14ac:dyDescent="0.15">
      <c r="A73" s="21">
        <v>43211.45</v>
      </c>
      <c r="B73">
        <v>1499</v>
      </c>
      <c r="C73">
        <v>34.65</v>
      </c>
      <c r="D73" t="s">
        <v>4403</v>
      </c>
      <c r="E73">
        <v>42.33</v>
      </c>
      <c r="F73" t="s">
        <v>4404</v>
      </c>
      <c r="G73">
        <v>71.23</v>
      </c>
      <c r="H73" t="s">
        <v>4405</v>
      </c>
      <c r="I73">
        <v>59.61</v>
      </c>
      <c r="J73" t="s">
        <v>4406</v>
      </c>
    </row>
    <row r="74" spans="1:10" x14ac:dyDescent="0.15">
      <c r="A74" s="21">
        <v>43211.450694444444</v>
      </c>
      <c r="B74">
        <v>1499</v>
      </c>
      <c r="C74">
        <v>34.19</v>
      </c>
      <c r="D74" t="s">
        <v>4407</v>
      </c>
      <c r="E74">
        <v>44.2</v>
      </c>
      <c r="F74" t="s">
        <v>4408</v>
      </c>
      <c r="G74">
        <v>68.900000000000006</v>
      </c>
      <c r="H74" t="s">
        <v>4409</v>
      </c>
      <c r="I74">
        <v>61.08</v>
      </c>
      <c r="J74" t="s">
        <v>4410</v>
      </c>
    </row>
    <row r="75" spans="1:10" x14ac:dyDescent="0.15">
      <c r="A75" s="21">
        <v>43211.450694444444</v>
      </c>
      <c r="B75">
        <v>1499</v>
      </c>
      <c r="C75">
        <v>35.74</v>
      </c>
      <c r="D75" t="s">
        <v>4411</v>
      </c>
      <c r="E75">
        <v>42.04</v>
      </c>
      <c r="F75" t="s">
        <v>4412</v>
      </c>
      <c r="G75">
        <v>69.92</v>
      </c>
      <c r="H75" t="s">
        <v>4413</v>
      </c>
      <c r="I75">
        <v>60.01</v>
      </c>
      <c r="J75" t="s">
        <v>4414</v>
      </c>
    </row>
    <row r="76" spans="1:10" x14ac:dyDescent="0.15">
      <c r="A76" s="21">
        <v>43211.450694444444</v>
      </c>
      <c r="B76">
        <v>1500</v>
      </c>
      <c r="C76">
        <v>33.06</v>
      </c>
      <c r="D76" t="s">
        <v>4415</v>
      </c>
      <c r="E76">
        <v>42.8</v>
      </c>
      <c r="F76" t="s">
        <v>4416</v>
      </c>
      <c r="G76">
        <v>72.56</v>
      </c>
      <c r="H76" t="s">
        <v>4413</v>
      </c>
      <c r="I76">
        <v>60.85</v>
      </c>
      <c r="J76" t="s">
        <v>4417</v>
      </c>
    </row>
    <row r="77" spans="1:10" x14ac:dyDescent="0.15">
      <c r="A77" s="21">
        <v>43211.450694444444</v>
      </c>
      <c r="B77">
        <v>1500</v>
      </c>
      <c r="C77">
        <v>34.229999999999997</v>
      </c>
      <c r="D77" t="s">
        <v>4418</v>
      </c>
      <c r="E77">
        <v>42.31</v>
      </c>
      <c r="F77" t="s">
        <v>4419</v>
      </c>
      <c r="G77">
        <v>69.430000000000007</v>
      </c>
      <c r="H77" t="s">
        <v>4420</v>
      </c>
      <c r="I77">
        <v>60.91</v>
      </c>
      <c r="J77" t="s">
        <v>4421</v>
      </c>
    </row>
    <row r="78" spans="1:10" x14ac:dyDescent="0.15">
      <c r="A78" s="21">
        <v>43211.450694444444</v>
      </c>
      <c r="B78">
        <v>1500</v>
      </c>
      <c r="C78">
        <v>32.590000000000003</v>
      </c>
      <c r="D78" t="s">
        <v>4422</v>
      </c>
      <c r="E78">
        <v>42.36</v>
      </c>
      <c r="F78" t="s">
        <v>4423</v>
      </c>
      <c r="G78">
        <v>69.319999999999993</v>
      </c>
      <c r="H78" t="s">
        <v>4424</v>
      </c>
      <c r="I78">
        <v>58.43</v>
      </c>
      <c r="J78" t="s">
        <v>4425</v>
      </c>
    </row>
    <row r="79" spans="1:10" x14ac:dyDescent="0.15">
      <c r="A79" s="21">
        <v>43211.450694444444</v>
      </c>
      <c r="B79">
        <v>1500</v>
      </c>
      <c r="C79">
        <v>34.15</v>
      </c>
      <c r="D79" t="s">
        <v>4426</v>
      </c>
      <c r="E79">
        <v>41.63</v>
      </c>
      <c r="F79" t="s">
        <v>4427</v>
      </c>
      <c r="G79">
        <v>69.569999999999993</v>
      </c>
      <c r="H79" t="s">
        <v>4428</v>
      </c>
      <c r="I79">
        <v>59.84</v>
      </c>
      <c r="J79" t="s">
        <v>4429</v>
      </c>
    </row>
    <row r="80" spans="1:10" x14ac:dyDescent="0.15">
      <c r="A80" s="21">
        <v>43211.450694444444</v>
      </c>
      <c r="B80">
        <v>1500</v>
      </c>
      <c r="C80">
        <v>34.01</v>
      </c>
      <c r="D80" t="s">
        <v>4430</v>
      </c>
      <c r="E80">
        <v>41.1</v>
      </c>
      <c r="F80" t="s">
        <v>4431</v>
      </c>
      <c r="G80">
        <v>70.3</v>
      </c>
      <c r="H80" t="s">
        <v>4432</v>
      </c>
      <c r="I80">
        <v>59.51</v>
      </c>
      <c r="J80" t="s">
        <v>4433</v>
      </c>
    </row>
    <row r="81" spans="1:10" x14ac:dyDescent="0.15">
      <c r="A81" s="21">
        <v>43211.450694444444</v>
      </c>
      <c r="B81">
        <v>1500</v>
      </c>
      <c r="C81">
        <v>33.57</v>
      </c>
      <c r="D81" t="s">
        <v>4434</v>
      </c>
      <c r="E81">
        <v>41.74</v>
      </c>
      <c r="F81" t="s">
        <v>4435</v>
      </c>
      <c r="G81">
        <v>68.739999999999995</v>
      </c>
      <c r="H81" t="s">
        <v>4436</v>
      </c>
      <c r="I81">
        <v>60.28</v>
      </c>
      <c r="J81" t="s">
        <v>4437</v>
      </c>
    </row>
    <row r="82" spans="1:10" x14ac:dyDescent="0.15">
      <c r="A82" s="21">
        <v>43211.450694444444</v>
      </c>
      <c r="B82">
        <v>1500</v>
      </c>
      <c r="C82">
        <v>34.18</v>
      </c>
      <c r="D82" t="s">
        <v>4438</v>
      </c>
      <c r="E82">
        <v>40.549999999999997</v>
      </c>
      <c r="F82" t="s">
        <v>4439</v>
      </c>
      <c r="G82">
        <v>69.819999999999993</v>
      </c>
      <c r="H82" t="s">
        <v>4440</v>
      </c>
      <c r="I82">
        <v>60.2</v>
      </c>
      <c r="J82" t="s">
        <v>4441</v>
      </c>
    </row>
    <row r="83" spans="1:10" x14ac:dyDescent="0.15">
      <c r="A83" s="21">
        <v>43211.450694444444</v>
      </c>
      <c r="B83">
        <v>1501</v>
      </c>
      <c r="C83">
        <v>33.799999999999997</v>
      </c>
      <c r="D83" t="s">
        <v>4442</v>
      </c>
      <c r="E83">
        <v>42.75</v>
      </c>
      <c r="F83" t="s">
        <v>4443</v>
      </c>
      <c r="G83">
        <v>68.650000000000006</v>
      </c>
      <c r="H83" t="s">
        <v>4444</v>
      </c>
      <c r="I83">
        <v>60.6</v>
      </c>
      <c r="J83" t="s">
        <v>4445</v>
      </c>
    </row>
    <row r="84" spans="1:10" x14ac:dyDescent="0.15">
      <c r="A84" s="21">
        <v>43211.450694444444</v>
      </c>
      <c r="B84">
        <v>1501</v>
      </c>
      <c r="C84">
        <v>35.799999999999997</v>
      </c>
      <c r="D84" t="s">
        <v>4446</v>
      </c>
      <c r="E84">
        <v>40.450000000000003</v>
      </c>
      <c r="F84" t="s">
        <v>4447</v>
      </c>
      <c r="G84">
        <v>68.06</v>
      </c>
      <c r="H84" t="s">
        <v>4448</v>
      </c>
      <c r="I84">
        <v>58.34</v>
      </c>
      <c r="J84" t="s">
        <v>4449</v>
      </c>
    </row>
    <row r="85" spans="1:10" x14ac:dyDescent="0.15">
      <c r="A85" s="21">
        <v>43211.450694444444</v>
      </c>
      <c r="B85">
        <v>1501</v>
      </c>
      <c r="C85">
        <v>33.979999999999997</v>
      </c>
      <c r="D85" t="s">
        <v>4450</v>
      </c>
      <c r="E85">
        <v>40.9</v>
      </c>
      <c r="F85" t="s">
        <v>4451</v>
      </c>
      <c r="G85">
        <v>68.13</v>
      </c>
      <c r="H85" t="s">
        <v>4452</v>
      </c>
      <c r="I85">
        <v>60.18</v>
      </c>
      <c r="J85" t="s">
        <v>4453</v>
      </c>
    </row>
    <row r="86" spans="1:10" x14ac:dyDescent="0.15">
      <c r="A86" s="21">
        <v>43211.450694444444</v>
      </c>
      <c r="B86">
        <v>1501</v>
      </c>
      <c r="C86">
        <v>33.69</v>
      </c>
      <c r="D86" t="s">
        <v>4454</v>
      </c>
      <c r="E86">
        <v>40.98</v>
      </c>
      <c r="F86" t="s">
        <v>4455</v>
      </c>
      <c r="G86">
        <v>68.44</v>
      </c>
      <c r="H86" t="s">
        <v>4456</v>
      </c>
      <c r="I86">
        <v>58.73</v>
      </c>
      <c r="J86" t="s">
        <v>4457</v>
      </c>
    </row>
    <row r="87" spans="1:10" x14ac:dyDescent="0.15">
      <c r="A87" s="21">
        <v>43211.450694444444</v>
      </c>
      <c r="B87">
        <v>1501</v>
      </c>
      <c r="C87">
        <v>35.39</v>
      </c>
      <c r="D87" t="s">
        <v>4458</v>
      </c>
      <c r="E87">
        <v>41.87</v>
      </c>
      <c r="F87" t="s">
        <v>4459</v>
      </c>
      <c r="G87">
        <v>67.67</v>
      </c>
      <c r="H87" t="s">
        <v>4460</v>
      </c>
      <c r="I87">
        <v>60.86</v>
      </c>
      <c r="J87" t="s">
        <v>4461</v>
      </c>
    </row>
    <row r="88" spans="1:10" x14ac:dyDescent="0.15">
      <c r="A88" s="21">
        <v>43211.450694444444</v>
      </c>
      <c r="B88">
        <v>1501</v>
      </c>
      <c r="C88">
        <v>34.090000000000003</v>
      </c>
      <c r="D88" t="s">
        <v>4462</v>
      </c>
      <c r="E88">
        <v>40.31</v>
      </c>
      <c r="F88" t="s">
        <v>4463</v>
      </c>
      <c r="G88">
        <v>69.55</v>
      </c>
      <c r="H88" t="s">
        <v>4464</v>
      </c>
      <c r="I88">
        <v>59.97</v>
      </c>
      <c r="J88" t="s">
        <v>4465</v>
      </c>
    </row>
    <row r="89" spans="1:10" x14ac:dyDescent="0.15">
      <c r="A89" s="21">
        <v>43211.450694444444</v>
      </c>
      <c r="B89">
        <v>1501</v>
      </c>
      <c r="C89">
        <v>33.770000000000003</v>
      </c>
      <c r="D89" t="s">
        <v>4466</v>
      </c>
      <c r="E89">
        <v>40.4</v>
      </c>
      <c r="F89" t="s">
        <v>4467</v>
      </c>
      <c r="G89">
        <v>69.86</v>
      </c>
      <c r="H89" t="s">
        <v>4468</v>
      </c>
      <c r="I89">
        <v>57.8</v>
      </c>
      <c r="J89" t="s">
        <v>4469</v>
      </c>
    </row>
    <row r="90" spans="1:10" x14ac:dyDescent="0.15">
      <c r="A90" s="21">
        <v>43211.450694444444</v>
      </c>
      <c r="B90">
        <v>1500</v>
      </c>
      <c r="C90">
        <v>34.01</v>
      </c>
      <c r="D90" t="s">
        <v>4470</v>
      </c>
      <c r="E90">
        <v>39.1</v>
      </c>
      <c r="F90" t="s">
        <v>4471</v>
      </c>
      <c r="G90">
        <v>69.83</v>
      </c>
      <c r="H90" t="s">
        <v>4472</v>
      </c>
      <c r="I90">
        <v>57.33</v>
      </c>
      <c r="J90" t="s">
        <v>4473</v>
      </c>
    </row>
    <row r="91" spans="1:10" x14ac:dyDescent="0.15">
      <c r="A91" s="21">
        <v>43211.450694444444</v>
      </c>
      <c r="B91">
        <v>1500</v>
      </c>
      <c r="C91">
        <v>33.79</v>
      </c>
      <c r="D91" t="s">
        <v>4474</v>
      </c>
      <c r="E91">
        <v>40.94</v>
      </c>
      <c r="F91" t="s">
        <v>4475</v>
      </c>
      <c r="G91">
        <v>67.510000000000005</v>
      </c>
      <c r="H91" t="s">
        <v>4476</v>
      </c>
      <c r="I91">
        <v>58.04</v>
      </c>
      <c r="J91" t="s">
        <v>4477</v>
      </c>
    </row>
    <row r="92" spans="1:10" x14ac:dyDescent="0.15">
      <c r="A92" s="21">
        <v>43211.450694444444</v>
      </c>
      <c r="B92">
        <v>1499</v>
      </c>
      <c r="C92">
        <v>32.25</v>
      </c>
      <c r="D92" t="s">
        <v>4478</v>
      </c>
      <c r="E92">
        <v>39.770000000000003</v>
      </c>
      <c r="F92" t="s">
        <v>4479</v>
      </c>
      <c r="G92">
        <v>67.17</v>
      </c>
      <c r="H92" t="s">
        <v>4480</v>
      </c>
      <c r="I92">
        <v>58.35</v>
      </c>
      <c r="J92" t="s">
        <v>4481</v>
      </c>
    </row>
    <row r="93" spans="1:10" x14ac:dyDescent="0.15">
      <c r="A93" s="21">
        <v>43211.450694444444</v>
      </c>
      <c r="B93">
        <v>1500</v>
      </c>
      <c r="C93">
        <v>32.24</v>
      </c>
      <c r="D93" t="s">
        <v>4482</v>
      </c>
      <c r="E93">
        <v>39.83</v>
      </c>
      <c r="F93" t="s">
        <v>4483</v>
      </c>
      <c r="G93">
        <v>69.66</v>
      </c>
      <c r="H93" t="s">
        <v>4484</v>
      </c>
      <c r="I93">
        <v>57.57</v>
      </c>
      <c r="J93" t="s">
        <v>4485</v>
      </c>
    </row>
    <row r="94" spans="1:10" x14ac:dyDescent="0.15">
      <c r="A94" s="21">
        <v>43211.450694444444</v>
      </c>
      <c r="B94">
        <v>1499</v>
      </c>
      <c r="C94">
        <v>32.770000000000003</v>
      </c>
      <c r="D94" t="s">
        <v>4486</v>
      </c>
      <c r="E94">
        <v>40.03</v>
      </c>
      <c r="F94" t="s">
        <v>4487</v>
      </c>
      <c r="G94">
        <v>67.78</v>
      </c>
      <c r="H94" t="s">
        <v>4488</v>
      </c>
      <c r="I94">
        <v>57.08</v>
      </c>
      <c r="J94" t="s">
        <v>4489</v>
      </c>
    </row>
    <row r="95" spans="1:10" x14ac:dyDescent="0.15">
      <c r="A95" s="21">
        <v>43211.450694444444</v>
      </c>
      <c r="B95">
        <v>1499</v>
      </c>
      <c r="C95">
        <v>33.64</v>
      </c>
      <c r="D95" t="s">
        <v>4490</v>
      </c>
      <c r="E95">
        <v>38.99</v>
      </c>
      <c r="F95" t="s">
        <v>4491</v>
      </c>
      <c r="G95">
        <v>68.45</v>
      </c>
      <c r="H95" t="s">
        <v>4492</v>
      </c>
      <c r="I95">
        <v>58.09</v>
      </c>
      <c r="J95" t="s">
        <v>4493</v>
      </c>
    </row>
    <row r="96" spans="1:10" x14ac:dyDescent="0.15">
      <c r="A96" s="21">
        <v>43211.451388888891</v>
      </c>
      <c r="B96">
        <v>1499</v>
      </c>
      <c r="C96">
        <v>32.44</v>
      </c>
      <c r="D96" t="s">
        <v>4494</v>
      </c>
      <c r="E96">
        <v>39.65</v>
      </c>
      <c r="F96" t="s">
        <v>4495</v>
      </c>
      <c r="G96">
        <v>66.45</v>
      </c>
      <c r="H96" t="s">
        <v>4496</v>
      </c>
      <c r="I96">
        <v>59.05</v>
      </c>
      <c r="J96" t="s">
        <v>4497</v>
      </c>
    </row>
    <row r="97" spans="1:10" x14ac:dyDescent="0.15">
      <c r="A97" s="21">
        <v>43211.451388888891</v>
      </c>
      <c r="B97">
        <v>1498</v>
      </c>
      <c r="C97">
        <v>33.979999999999997</v>
      </c>
      <c r="D97" t="s">
        <v>4498</v>
      </c>
      <c r="E97">
        <v>38.57</v>
      </c>
      <c r="F97" t="s">
        <v>4499</v>
      </c>
      <c r="G97">
        <v>65.319999999999993</v>
      </c>
      <c r="H97" t="s">
        <v>4500</v>
      </c>
      <c r="I97">
        <v>58.01</v>
      </c>
      <c r="J97" t="s">
        <v>4501</v>
      </c>
    </row>
    <row r="98" spans="1:10" x14ac:dyDescent="0.15">
      <c r="A98" s="21">
        <v>43211.451388888891</v>
      </c>
      <c r="B98">
        <v>1499</v>
      </c>
      <c r="C98">
        <v>33.119999999999997</v>
      </c>
      <c r="D98" t="s">
        <v>4502</v>
      </c>
      <c r="E98">
        <v>39.15</v>
      </c>
      <c r="F98" t="s">
        <v>4503</v>
      </c>
      <c r="G98">
        <v>66.180000000000007</v>
      </c>
      <c r="H98" t="s">
        <v>4504</v>
      </c>
      <c r="I98">
        <v>55.53</v>
      </c>
      <c r="J98" t="s">
        <v>4505</v>
      </c>
    </row>
    <row r="99" spans="1:10" x14ac:dyDescent="0.15">
      <c r="A99" s="21">
        <v>43211.451388888891</v>
      </c>
      <c r="B99">
        <v>1499</v>
      </c>
      <c r="C99">
        <v>32.44</v>
      </c>
      <c r="D99" t="s">
        <v>4506</v>
      </c>
      <c r="E99">
        <v>39.950000000000003</v>
      </c>
      <c r="F99" t="s">
        <v>4507</v>
      </c>
      <c r="G99">
        <v>67.98</v>
      </c>
      <c r="H99" t="s">
        <v>4508</v>
      </c>
      <c r="I99">
        <v>56.69</v>
      </c>
      <c r="J99" t="s">
        <v>4509</v>
      </c>
    </row>
    <row r="100" spans="1:10" x14ac:dyDescent="0.15">
      <c r="A100" s="21">
        <v>43211.451388888891</v>
      </c>
      <c r="B100">
        <v>1498</v>
      </c>
      <c r="C100">
        <v>33.21</v>
      </c>
      <c r="D100" t="s">
        <v>4510</v>
      </c>
      <c r="E100">
        <v>37.47</v>
      </c>
      <c r="F100" t="s">
        <v>4511</v>
      </c>
      <c r="G100">
        <v>68.209999999999994</v>
      </c>
      <c r="H100" t="s">
        <v>4512</v>
      </c>
      <c r="I100">
        <v>57.06</v>
      </c>
      <c r="J100" t="s">
        <v>4513</v>
      </c>
    </row>
    <row r="101" spans="1:10" x14ac:dyDescent="0.15">
      <c r="A101" s="21">
        <v>43211.451388888891</v>
      </c>
      <c r="B101">
        <v>1499</v>
      </c>
      <c r="C101">
        <v>31.77</v>
      </c>
      <c r="D101" t="s">
        <v>4514</v>
      </c>
      <c r="E101">
        <v>39.22</v>
      </c>
      <c r="F101" t="s">
        <v>4515</v>
      </c>
      <c r="G101">
        <v>69.540000000000006</v>
      </c>
      <c r="H101" t="s">
        <v>4516</v>
      </c>
      <c r="I101">
        <v>58.06</v>
      </c>
      <c r="J101" t="s">
        <v>4517</v>
      </c>
    </row>
    <row r="102" spans="1:10" x14ac:dyDescent="0.15">
      <c r="A102" s="21">
        <v>43211.451388888891</v>
      </c>
      <c r="B102">
        <v>1499</v>
      </c>
      <c r="C102">
        <v>34.94</v>
      </c>
      <c r="D102" t="s">
        <v>4518</v>
      </c>
      <c r="E102">
        <v>38.299999999999997</v>
      </c>
      <c r="F102" t="s">
        <v>4519</v>
      </c>
      <c r="G102">
        <v>66.44</v>
      </c>
      <c r="H102" t="s">
        <v>4520</v>
      </c>
      <c r="I102">
        <v>56.34</v>
      </c>
      <c r="J102" t="s">
        <v>4521</v>
      </c>
    </row>
    <row r="103" spans="1:10" x14ac:dyDescent="0.15">
      <c r="A103" s="21">
        <v>43211.451388888891</v>
      </c>
      <c r="B103">
        <v>1499</v>
      </c>
      <c r="C103">
        <v>32.909999999999997</v>
      </c>
      <c r="D103" t="s">
        <v>4522</v>
      </c>
      <c r="E103">
        <v>38.840000000000003</v>
      </c>
      <c r="F103" t="s">
        <v>4523</v>
      </c>
      <c r="G103">
        <v>67.33</v>
      </c>
      <c r="H103" t="s">
        <v>4524</v>
      </c>
      <c r="I103">
        <v>57.51</v>
      </c>
      <c r="J103" t="s">
        <v>4525</v>
      </c>
    </row>
    <row r="104" spans="1:10" x14ac:dyDescent="0.15">
      <c r="A104" s="21">
        <v>43211.451388888891</v>
      </c>
      <c r="B104">
        <v>1499</v>
      </c>
      <c r="C104">
        <v>33.119999999999997</v>
      </c>
      <c r="D104" t="s">
        <v>4526</v>
      </c>
      <c r="E104">
        <v>37.729999999999997</v>
      </c>
      <c r="F104" t="s">
        <v>4527</v>
      </c>
      <c r="G104">
        <v>64.66</v>
      </c>
      <c r="H104" t="s">
        <v>4528</v>
      </c>
      <c r="I104">
        <v>55.45</v>
      </c>
      <c r="J104" t="s">
        <v>4529</v>
      </c>
    </row>
    <row r="105" spans="1:10" x14ac:dyDescent="0.15">
      <c r="A105" s="21">
        <v>43211.451388888891</v>
      </c>
      <c r="B105">
        <v>1498</v>
      </c>
      <c r="C105">
        <v>31.39</v>
      </c>
      <c r="D105" t="s">
        <v>4530</v>
      </c>
      <c r="E105">
        <v>38.049999999999997</v>
      </c>
      <c r="F105" t="s">
        <v>4531</v>
      </c>
      <c r="G105">
        <v>66.430000000000007</v>
      </c>
      <c r="H105" t="s">
        <v>4532</v>
      </c>
      <c r="I105">
        <v>54.9</v>
      </c>
      <c r="J105" t="s">
        <v>4533</v>
      </c>
    </row>
    <row r="106" spans="1:10" x14ac:dyDescent="0.15">
      <c r="A106" s="21">
        <v>43211.451388888891</v>
      </c>
      <c r="B106">
        <v>1498</v>
      </c>
      <c r="C106">
        <v>33.659999999999997</v>
      </c>
      <c r="D106" t="s">
        <v>4534</v>
      </c>
      <c r="E106">
        <v>39.21</v>
      </c>
      <c r="F106" t="s">
        <v>4535</v>
      </c>
      <c r="G106">
        <v>66.3</v>
      </c>
      <c r="H106" t="s">
        <v>4536</v>
      </c>
      <c r="I106">
        <v>57.54</v>
      </c>
      <c r="J106" t="s">
        <v>4537</v>
      </c>
    </row>
    <row r="107" spans="1:10" x14ac:dyDescent="0.15">
      <c r="A107" s="21">
        <v>43211.451388888891</v>
      </c>
      <c r="B107">
        <v>1498</v>
      </c>
      <c r="C107">
        <v>32.67</v>
      </c>
      <c r="D107" t="s">
        <v>4538</v>
      </c>
      <c r="E107">
        <v>37.64</v>
      </c>
      <c r="F107" t="s">
        <v>4539</v>
      </c>
      <c r="G107">
        <v>65.349999999999994</v>
      </c>
      <c r="H107" t="s">
        <v>4540</v>
      </c>
      <c r="I107">
        <v>55.85</v>
      </c>
      <c r="J107" t="s">
        <v>4541</v>
      </c>
    </row>
    <row r="108" spans="1:10" x14ac:dyDescent="0.15">
      <c r="A108" s="21">
        <v>43211.451388888891</v>
      </c>
      <c r="B108">
        <v>1499</v>
      </c>
      <c r="C108">
        <v>32.299999999999997</v>
      </c>
      <c r="D108" t="s">
        <v>4542</v>
      </c>
      <c r="E108">
        <v>38.700000000000003</v>
      </c>
      <c r="F108" t="s">
        <v>4543</v>
      </c>
      <c r="G108">
        <v>64.78</v>
      </c>
      <c r="H108" t="s">
        <v>4544</v>
      </c>
      <c r="I108">
        <v>56.19</v>
      </c>
      <c r="J108" t="s">
        <v>4545</v>
      </c>
    </row>
    <row r="109" spans="1:10" x14ac:dyDescent="0.15">
      <c r="A109" s="21">
        <v>43211.451388888891</v>
      </c>
      <c r="B109">
        <v>1499</v>
      </c>
      <c r="C109">
        <v>32.869999999999997</v>
      </c>
      <c r="D109" t="s">
        <v>4546</v>
      </c>
      <c r="E109">
        <v>37.74</v>
      </c>
      <c r="F109" t="s">
        <v>4547</v>
      </c>
      <c r="G109">
        <v>65.06</v>
      </c>
      <c r="H109" t="s">
        <v>4548</v>
      </c>
      <c r="I109">
        <v>54.44</v>
      </c>
      <c r="J109" t="s">
        <v>4549</v>
      </c>
    </row>
    <row r="110" spans="1:10" x14ac:dyDescent="0.15">
      <c r="A110" s="21">
        <v>43211.451388888891</v>
      </c>
      <c r="B110">
        <v>1499</v>
      </c>
      <c r="C110">
        <v>31.91</v>
      </c>
      <c r="D110" t="s">
        <v>4550</v>
      </c>
      <c r="E110">
        <v>37.89</v>
      </c>
      <c r="F110" t="s">
        <v>4551</v>
      </c>
      <c r="G110">
        <v>66.53</v>
      </c>
      <c r="H110" t="s">
        <v>4552</v>
      </c>
      <c r="I110">
        <v>56.09</v>
      </c>
      <c r="J110" t="s">
        <v>4553</v>
      </c>
    </row>
    <row r="111" spans="1:10" x14ac:dyDescent="0.15">
      <c r="A111" s="21">
        <v>43211.451388888891</v>
      </c>
      <c r="B111">
        <v>1498</v>
      </c>
      <c r="C111">
        <v>32.29</v>
      </c>
      <c r="D111" t="s">
        <v>4554</v>
      </c>
      <c r="E111">
        <v>39.36</v>
      </c>
      <c r="F111" t="s">
        <v>4555</v>
      </c>
      <c r="G111">
        <v>66.06</v>
      </c>
      <c r="H111" t="s">
        <v>4556</v>
      </c>
      <c r="I111">
        <v>55.78</v>
      </c>
      <c r="J111" t="s">
        <v>4557</v>
      </c>
    </row>
    <row r="112" spans="1:10" x14ac:dyDescent="0.15">
      <c r="A112" s="21">
        <v>43211.451388888891</v>
      </c>
      <c r="B112">
        <v>1498</v>
      </c>
      <c r="C112">
        <v>33.69</v>
      </c>
      <c r="D112" t="s">
        <v>4558</v>
      </c>
      <c r="E112">
        <v>37.51</v>
      </c>
      <c r="F112" t="s">
        <v>4559</v>
      </c>
      <c r="G112">
        <v>65.459999999999994</v>
      </c>
      <c r="H112" t="s">
        <v>4560</v>
      </c>
      <c r="I112">
        <v>56.79</v>
      </c>
      <c r="J112" t="s">
        <v>4561</v>
      </c>
    </row>
    <row r="113" spans="1:10" x14ac:dyDescent="0.15">
      <c r="A113" s="21">
        <v>43211.451388888891</v>
      </c>
      <c r="B113">
        <v>1498</v>
      </c>
      <c r="C113">
        <v>33.44</v>
      </c>
      <c r="D113" t="s">
        <v>4562</v>
      </c>
      <c r="E113">
        <v>38.630000000000003</v>
      </c>
      <c r="F113" t="s">
        <v>4563</v>
      </c>
      <c r="G113">
        <v>66.44</v>
      </c>
      <c r="H113" t="s">
        <v>4564</v>
      </c>
      <c r="I113">
        <v>55.35</v>
      </c>
      <c r="J113" t="s">
        <v>4565</v>
      </c>
    </row>
    <row r="114" spans="1:10" x14ac:dyDescent="0.15">
      <c r="A114" s="21">
        <v>43211.451388888891</v>
      </c>
      <c r="B114">
        <v>1498</v>
      </c>
      <c r="C114">
        <v>33.43</v>
      </c>
      <c r="D114" t="s">
        <v>4566</v>
      </c>
      <c r="E114">
        <v>37.54</v>
      </c>
      <c r="F114" t="s">
        <v>4567</v>
      </c>
      <c r="G114">
        <v>64.39</v>
      </c>
      <c r="H114" t="s">
        <v>4568</v>
      </c>
      <c r="I114">
        <v>56.87</v>
      </c>
      <c r="J114" t="s">
        <v>4569</v>
      </c>
    </row>
    <row r="115" spans="1:10" x14ac:dyDescent="0.15">
      <c r="A115" s="21">
        <v>43211.451388888891</v>
      </c>
      <c r="B115">
        <v>1499</v>
      </c>
      <c r="C115">
        <v>31.67</v>
      </c>
      <c r="D115" t="s">
        <v>4570</v>
      </c>
      <c r="E115">
        <v>36.9</v>
      </c>
      <c r="F115" t="s">
        <v>4571</v>
      </c>
      <c r="G115">
        <v>64.28</v>
      </c>
      <c r="H115" t="s">
        <v>4572</v>
      </c>
      <c r="I115">
        <v>57.22</v>
      </c>
      <c r="J115" t="s">
        <v>4573</v>
      </c>
    </row>
    <row r="116" spans="1:10" x14ac:dyDescent="0.15">
      <c r="A116" s="21">
        <v>43211.451388888891</v>
      </c>
      <c r="B116">
        <v>1499</v>
      </c>
      <c r="C116">
        <v>32.19</v>
      </c>
      <c r="D116" t="s">
        <v>4574</v>
      </c>
      <c r="E116">
        <v>37.049999999999997</v>
      </c>
      <c r="F116" t="s">
        <v>4575</v>
      </c>
      <c r="G116">
        <v>63.73</v>
      </c>
      <c r="H116" t="s">
        <v>4576</v>
      </c>
      <c r="I116">
        <v>56.07</v>
      </c>
      <c r="J116" t="s">
        <v>4577</v>
      </c>
    </row>
    <row r="117" spans="1:10" x14ac:dyDescent="0.15">
      <c r="A117" s="21">
        <v>43211.451388888891</v>
      </c>
      <c r="B117">
        <v>1498</v>
      </c>
      <c r="C117">
        <v>31.42</v>
      </c>
      <c r="D117" t="s">
        <v>4578</v>
      </c>
      <c r="E117">
        <v>38.020000000000003</v>
      </c>
      <c r="F117" t="s">
        <v>4579</v>
      </c>
      <c r="G117">
        <v>64.81</v>
      </c>
      <c r="H117" t="s">
        <v>4568</v>
      </c>
      <c r="I117">
        <v>54.12</v>
      </c>
      <c r="J117" t="s">
        <v>4580</v>
      </c>
    </row>
    <row r="118" spans="1:10" x14ac:dyDescent="0.15">
      <c r="A118" s="21">
        <v>43211.45208333333</v>
      </c>
      <c r="B118">
        <v>1499</v>
      </c>
      <c r="C118">
        <v>32.1</v>
      </c>
      <c r="D118" t="s">
        <v>4581</v>
      </c>
      <c r="E118">
        <v>37.26</v>
      </c>
      <c r="F118" t="s">
        <v>4582</v>
      </c>
      <c r="G118">
        <v>66.03</v>
      </c>
      <c r="H118" t="s">
        <v>4583</v>
      </c>
      <c r="I118">
        <v>55.57</v>
      </c>
      <c r="J118" t="s">
        <v>4584</v>
      </c>
    </row>
    <row r="119" spans="1:10" x14ac:dyDescent="0.15">
      <c r="A119" s="21">
        <v>43211.45208333333</v>
      </c>
      <c r="B119">
        <v>1499</v>
      </c>
      <c r="C119">
        <v>33.04</v>
      </c>
      <c r="D119" t="s">
        <v>4585</v>
      </c>
      <c r="E119">
        <v>37.26</v>
      </c>
      <c r="F119" t="s">
        <v>4586</v>
      </c>
      <c r="G119">
        <v>63.99</v>
      </c>
      <c r="H119" t="s">
        <v>4587</v>
      </c>
      <c r="I119">
        <v>53.6</v>
      </c>
      <c r="J119" t="s">
        <v>4588</v>
      </c>
    </row>
    <row r="120" spans="1:10" x14ac:dyDescent="0.15">
      <c r="A120" s="21">
        <v>43211.45208333333</v>
      </c>
      <c r="B120">
        <v>1499</v>
      </c>
      <c r="C120">
        <v>31.91</v>
      </c>
      <c r="D120" t="s">
        <v>4589</v>
      </c>
      <c r="E120">
        <v>37.69</v>
      </c>
      <c r="F120" t="s">
        <v>4590</v>
      </c>
      <c r="G120">
        <v>63.62</v>
      </c>
      <c r="H120" t="s">
        <v>4591</v>
      </c>
      <c r="I120">
        <v>55.82</v>
      </c>
      <c r="J120" t="s">
        <v>4592</v>
      </c>
    </row>
    <row r="121" spans="1:10" x14ac:dyDescent="0.15">
      <c r="A121" s="21">
        <v>43211.45208333333</v>
      </c>
      <c r="B121">
        <v>1499</v>
      </c>
      <c r="C121">
        <v>32.19</v>
      </c>
      <c r="D121" t="s">
        <v>4593</v>
      </c>
      <c r="E121">
        <v>37.18</v>
      </c>
      <c r="F121" t="s">
        <v>4594</v>
      </c>
      <c r="G121">
        <v>64.13</v>
      </c>
      <c r="H121" t="s">
        <v>4595</v>
      </c>
      <c r="I121">
        <v>54.6</v>
      </c>
      <c r="J121" t="s">
        <v>4592</v>
      </c>
    </row>
    <row r="122" spans="1:10" x14ac:dyDescent="0.15">
      <c r="A122" s="21">
        <v>43211.45208333333</v>
      </c>
      <c r="B122">
        <v>1498</v>
      </c>
      <c r="C122">
        <v>31.94</v>
      </c>
      <c r="D122" t="s">
        <v>4596</v>
      </c>
      <c r="E122">
        <v>37.93</v>
      </c>
      <c r="F122" t="s">
        <v>4597</v>
      </c>
      <c r="G122">
        <v>67.3</v>
      </c>
      <c r="H122" t="s">
        <v>4598</v>
      </c>
      <c r="I122">
        <v>53.72</v>
      </c>
      <c r="J122" t="s">
        <v>4580</v>
      </c>
    </row>
    <row r="123" spans="1:10" x14ac:dyDescent="0.15">
      <c r="A123" s="21">
        <v>43211.45208333333</v>
      </c>
      <c r="B123">
        <v>1499</v>
      </c>
      <c r="C123">
        <v>32.51</v>
      </c>
      <c r="D123" t="s">
        <v>4599</v>
      </c>
      <c r="E123">
        <v>36.130000000000003</v>
      </c>
      <c r="F123" t="s">
        <v>4600</v>
      </c>
      <c r="G123">
        <v>66.86</v>
      </c>
      <c r="H123" t="s">
        <v>4601</v>
      </c>
      <c r="I123">
        <v>54.63</v>
      </c>
      <c r="J123" t="s">
        <v>4584</v>
      </c>
    </row>
    <row r="124" spans="1:10" x14ac:dyDescent="0.15">
      <c r="A124" s="21">
        <v>43211.45208333333</v>
      </c>
      <c r="B124">
        <v>1499</v>
      </c>
      <c r="C124">
        <v>31.41</v>
      </c>
      <c r="D124" t="s">
        <v>4602</v>
      </c>
      <c r="E124">
        <v>36.4</v>
      </c>
      <c r="F124" t="s">
        <v>4603</v>
      </c>
      <c r="G124">
        <v>63.37</v>
      </c>
      <c r="H124" t="s">
        <v>4604</v>
      </c>
      <c r="I124">
        <v>53.59</v>
      </c>
      <c r="J124" t="s">
        <v>4605</v>
      </c>
    </row>
    <row r="125" spans="1:10" x14ac:dyDescent="0.15">
      <c r="A125" s="21">
        <v>43211.45208333333</v>
      </c>
      <c r="B125">
        <v>1499</v>
      </c>
      <c r="C125">
        <v>33.42</v>
      </c>
      <c r="D125" t="s">
        <v>4606</v>
      </c>
      <c r="E125">
        <v>36.97</v>
      </c>
      <c r="F125" t="s">
        <v>4607</v>
      </c>
      <c r="G125">
        <v>63.02</v>
      </c>
      <c r="H125" t="s">
        <v>4608</v>
      </c>
      <c r="I125">
        <v>57.38</v>
      </c>
      <c r="J125" t="s">
        <v>4565</v>
      </c>
    </row>
    <row r="126" spans="1:10" x14ac:dyDescent="0.15">
      <c r="A126" s="21">
        <v>43211.45208333333</v>
      </c>
      <c r="B126">
        <v>1499</v>
      </c>
      <c r="C126">
        <v>34.229999999999997</v>
      </c>
      <c r="D126" t="s">
        <v>4609</v>
      </c>
      <c r="E126">
        <v>36.549999999999997</v>
      </c>
      <c r="F126" t="s">
        <v>4610</v>
      </c>
      <c r="G126">
        <v>63.97</v>
      </c>
      <c r="H126" t="s">
        <v>4611</v>
      </c>
      <c r="I126">
        <v>54.15</v>
      </c>
      <c r="J126" t="s">
        <v>4612</v>
      </c>
    </row>
    <row r="127" spans="1:10" x14ac:dyDescent="0.15">
      <c r="A127" s="21">
        <v>43211.45208333333</v>
      </c>
      <c r="B127">
        <v>1499</v>
      </c>
      <c r="C127">
        <v>33.9</v>
      </c>
      <c r="D127" t="s">
        <v>4613</v>
      </c>
      <c r="E127">
        <v>37.61</v>
      </c>
      <c r="F127" t="s">
        <v>4614</v>
      </c>
      <c r="G127">
        <v>64.56</v>
      </c>
      <c r="H127" t="s">
        <v>4615</v>
      </c>
      <c r="I127">
        <v>55.83</v>
      </c>
      <c r="J127" t="s">
        <v>4616</v>
      </c>
    </row>
    <row r="128" spans="1:10" x14ac:dyDescent="0.15">
      <c r="A128" s="21">
        <v>43211.45208333333</v>
      </c>
      <c r="B128">
        <v>1499</v>
      </c>
      <c r="C128">
        <v>32.01</v>
      </c>
      <c r="D128" t="s">
        <v>4617</v>
      </c>
      <c r="E128">
        <v>37.26</v>
      </c>
      <c r="F128" t="s">
        <v>4618</v>
      </c>
      <c r="G128">
        <v>65.25</v>
      </c>
      <c r="H128" t="s">
        <v>4619</v>
      </c>
      <c r="I128">
        <v>55.55</v>
      </c>
      <c r="J128" t="s">
        <v>4620</v>
      </c>
    </row>
    <row r="129" spans="1:10" x14ac:dyDescent="0.15">
      <c r="A129" s="21">
        <v>43211.45208333333</v>
      </c>
      <c r="B129">
        <v>1499</v>
      </c>
      <c r="C129">
        <v>31.55</v>
      </c>
      <c r="D129" t="s">
        <v>4621</v>
      </c>
      <c r="E129">
        <v>36.32</v>
      </c>
      <c r="F129" t="s">
        <v>4622</v>
      </c>
      <c r="G129">
        <v>64.38</v>
      </c>
      <c r="H129" t="s">
        <v>4623</v>
      </c>
      <c r="I129">
        <v>55.07</v>
      </c>
      <c r="J129" t="s">
        <v>4624</v>
      </c>
    </row>
    <row r="130" spans="1:10" x14ac:dyDescent="0.15">
      <c r="A130" s="21">
        <v>43211.45208333333</v>
      </c>
      <c r="B130">
        <v>1499</v>
      </c>
      <c r="C130">
        <v>33.24</v>
      </c>
      <c r="D130" t="s">
        <v>4625</v>
      </c>
      <c r="E130">
        <v>36.92</v>
      </c>
      <c r="F130" t="s">
        <v>4626</v>
      </c>
      <c r="G130">
        <v>66.150000000000006</v>
      </c>
      <c r="H130" t="s">
        <v>4627</v>
      </c>
      <c r="I130">
        <v>55.89</v>
      </c>
      <c r="J130" t="s">
        <v>4628</v>
      </c>
    </row>
    <row r="131" spans="1:10" x14ac:dyDescent="0.15">
      <c r="A131" s="21">
        <v>43211.45208333333</v>
      </c>
      <c r="B131">
        <v>1499</v>
      </c>
      <c r="C131">
        <v>30.56</v>
      </c>
      <c r="D131" t="s">
        <v>4629</v>
      </c>
      <c r="E131">
        <v>35.6</v>
      </c>
      <c r="F131" t="s">
        <v>4630</v>
      </c>
      <c r="G131">
        <v>64.33</v>
      </c>
      <c r="H131" t="s">
        <v>4631</v>
      </c>
      <c r="I131">
        <v>54.79</v>
      </c>
      <c r="J131" t="s">
        <v>4632</v>
      </c>
    </row>
    <row r="132" spans="1:10" x14ac:dyDescent="0.15">
      <c r="A132" s="21">
        <v>43211.45208333333</v>
      </c>
      <c r="B132">
        <v>1499</v>
      </c>
      <c r="C132">
        <v>33.4</v>
      </c>
      <c r="D132" t="s">
        <v>4633</v>
      </c>
      <c r="E132">
        <v>36.270000000000003</v>
      </c>
      <c r="F132" t="s">
        <v>4634</v>
      </c>
      <c r="G132">
        <v>66.06</v>
      </c>
      <c r="H132" t="s">
        <v>4635</v>
      </c>
      <c r="I132">
        <v>54.16</v>
      </c>
      <c r="J132" t="s">
        <v>4636</v>
      </c>
    </row>
    <row r="133" spans="1:10" x14ac:dyDescent="0.15">
      <c r="A133" s="21">
        <v>43211.45208333333</v>
      </c>
      <c r="B133">
        <v>1499</v>
      </c>
      <c r="C133">
        <v>32.51</v>
      </c>
      <c r="D133" t="s">
        <v>4637</v>
      </c>
      <c r="E133">
        <v>36.630000000000003</v>
      </c>
      <c r="F133" t="s">
        <v>4638</v>
      </c>
      <c r="G133">
        <v>65.52</v>
      </c>
      <c r="H133" t="s">
        <v>4639</v>
      </c>
      <c r="I133">
        <v>53.6</v>
      </c>
      <c r="J133" t="s">
        <v>4640</v>
      </c>
    </row>
    <row r="134" spans="1:10" x14ac:dyDescent="0.15">
      <c r="A134" s="21">
        <v>43211.45208333333</v>
      </c>
      <c r="B134">
        <v>1499</v>
      </c>
      <c r="C134">
        <v>31.9</v>
      </c>
      <c r="D134" t="s">
        <v>4641</v>
      </c>
      <c r="E134">
        <v>36.450000000000003</v>
      </c>
      <c r="F134" t="s">
        <v>4626</v>
      </c>
      <c r="G134">
        <v>63.06</v>
      </c>
      <c r="H134" t="s">
        <v>4642</v>
      </c>
      <c r="I134">
        <v>54.01</v>
      </c>
      <c r="J134" t="s">
        <v>4643</v>
      </c>
    </row>
    <row r="135" spans="1:10" x14ac:dyDescent="0.15">
      <c r="A135" s="21">
        <v>43211.45208333333</v>
      </c>
      <c r="B135">
        <v>1499</v>
      </c>
      <c r="C135">
        <v>31.74</v>
      </c>
      <c r="D135" t="s">
        <v>4606</v>
      </c>
      <c r="E135">
        <v>36.54</v>
      </c>
      <c r="F135" t="s">
        <v>4644</v>
      </c>
      <c r="G135">
        <v>64.67</v>
      </c>
      <c r="H135" t="s">
        <v>4645</v>
      </c>
      <c r="I135">
        <v>54.24</v>
      </c>
      <c r="J135" t="s">
        <v>4646</v>
      </c>
    </row>
    <row r="136" spans="1:10" x14ac:dyDescent="0.15">
      <c r="A136" s="21">
        <v>43211.45208333333</v>
      </c>
      <c r="B136">
        <v>1499</v>
      </c>
      <c r="C136">
        <v>31.88</v>
      </c>
      <c r="D136" t="s">
        <v>4647</v>
      </c>
      <c r="E136">
        <v>37.130000000000003</v>
      </c>
      <c r="F136" t="s">
        <v>4648</v>
      </c>
      <c r="G136">
        <v>63.29</v>
      </c>
      <c r="H136" t="s">
        <v>4649</v>
      </c>
      <c r="I136">
        <v>55.84</v>
      </c>
      <c r="J136" t="s">
        <v>4650</v>
      </c>
    </row>
    <row r="137" spans="1:10" x14ac:dyDescent="0.15">
      <c r="A137" s="21">
        <v>43211.45208333333</v>
      </c>
      <c r="B137">
        <v>1499</v>
      </c>
      <c r="C137">
        <v>31.71</v>
      </c>
      <c r="D137" t="s">
        <v>4651</v>
      </c>
      <c r="E137">
        <v>36.909999999999997</v>
      </c>
      <c r="F137" t="s">
        <v>4652</v>
      </c>
      <c r="G137">
        <v>63.1</v>
      </c>
      <c r="H137" t="s">
        <v>4653</v>
      </c>
      <c r="I137">
        <v>53.91</v>
      </c>
      <c r="J137" t="s">
        <v>4654</v>
      </c>
    </row>
    <row r="138" spans="1:10" x14ac:dyDescent="0.15">
      <c r="A138" s="21">
        <v>43211.45208333333</v>
      </c>
      <c r="B138">
        <v>1499</v>
      </c>
      <c r="C138">
        <v>31.93</v>
      </c>
      <c r="D138" t="s">
        <v>4655</v>
      </c>
      <c r="E138">
        <v>36.229999999999997</v>
      </c>
      <c r="F138" t="s">
        <v>4656</v>
      </c>
      <c r="G138">
        <v>64.66</v>
      </c>
      <c r="H138" t="s">
        <v>4657</v>
      </c>
      <c r="I138">
        <v>53.35</v>
      </c>
      <c r="J138" t="s">
        <v>4658</v>
      </c>
    </row>
    <row r="139" spans="1:10" x14ac:dyDescent="0.15">
      <c r="A139" s="21">
        <v>43211.45208333333</v>
      </c>
      <c r="B139">
        <v>1500</v>
      </c>
      <c r="C139">
        <v>32.119999999999997</v>
      </c>
      <c r="D139" t="s">
        <v>4659</v>
      </c>
      <c r="E139">
        <v>37.26</v>
      </c>
      <c r="F139" t="s">
        <v>4660</v>
      </c>
      <c r="G139">
        <v>64.900000000000006</v>
      </c>
      <c r="H139" t="s">
        <v>4661</v>
      </c>
      <c r="I139">
        <v>55.15</v>
      </c>
      <c r="J139" t="s">
        <v>4662</v>
      </c>
    </row>
    <row r="140" spans="1:10" x14ac:dyDescent="0.15">
      <c r="A140" s="21">
        <v>43211.45208333333</v>
      </c>
      <c r="B140">
        <v>1500</v>
      </c>
      <c r="C140">
        <v>32.11</v>
      </c>
      <c r="D140" t="s">
        <v>4663</v>
      </c>
      <c r="E140">
        <v>36.28</v>
      </c>
      <c r="F140" t="s">
        <v>4664</v>
      </c>
      <c r="G140">
        <v>62.99</v>
      </c>
      <c r="H140" t="s">
        <v>4657</v>
      </c>
      <c r="I140">
        <v>55.19</v>
      </c>
      <c r="J140" t="s">
        <v>4665</v>
      </c>
    </row>
    <row r="141" spans="1:10" x14ac:dyDescent="0.15">
      <c r="A141" s="21">
        <v>43211.452777777777</v>
      </c>
      <c r="B141">
        <v>1500</v>
      </c>
      <c r="C141">
        <v>31.43</v>
      </c>
      <c r="D141" t="s">
        <v>4666</v>
      </c>
      <c r="E141">
        <v>36.42</v>
      </c>
      <c r="F141" t="s">
        <v>4667</v>
      </c>
      <c r="G141">
        <v>64.77</v>
      </c>
      <c r="H141" t="s">
        <v>4668</v>
      </c>
      <c r="I141">
        <v>52.8</v>
      </c>
      <c r="J141" t="s">
        <v>4669</v>
      </c>
    </row>
    <row r="142" spans="1:10" x14ac:dyDescent="0.15">
      <c r="A142" s="21">
        <v>43211.452777777777</v>
      </c>
      <c r="B142">
        <v>1500</v>
      </c>
      <c r="C142">
        <v>31.45</v>
      </c>
      <c r="D142" t="s">
        <v>4670</v>
      </c>
      <c r="E142">
        <v>35.729999999999997</v>
      </c>
      <c r="F142" t="s">
        <v>4671</v>
      </c>
      <c r="G142">
        <v>65.73</v>
      </c>
      <c r="H142" t="s">
        <v>4672</v>
      </c>
      <c r="I142">
        <v>54.64</v>
      </c>
      <c r="J142" t="s">
        <v>4673</v>
      </c>
    </row>
    <row r="143" spans="1:10" x14ac:dyDescent="0.15">
      <c r="A143" s="21">
        <v>43211.452777777777</v>
      </c>
      <c r="B143">
        <v>1500</v>
      </c>
      <c r="C143">
        <v>32.96</v>
      </c>
      <c r="D143" t="s">
        <v>4674</v>
      </c>
      <c r="E143">
        <v>37.200000000000003</v>
      </c>
      <c r="F143" t="s">
        <v>4675</v>
      </c>
      <c r="G143">
        <v>62.87</v>
      </c>
      <c r="H143" t="s">
        <v>4676</v>
      </c>
      <c r="I143">
        <v>53.75</v>
      </c>
      <c r="J143" t="s">
        <v>4677</v>
      </c>
    </row>
    <row r="144" spans="1:10" x14ac:dyDescent="0.15">
      <c r="A144" s="21">
        <v>43211.452777777777</v>
      </c>
      <c r="B144">
        <v>1500</v>
      </c>
      <c r="C144">
        <v>31.7</v>
      </c>
      <c r="D144" t="s">
        <v>4678</v>
      </c>
      <c r="E144">
        <v>35.72</v>
      </c>
      <c r="F144" t="s">
        <v>4679</v>
      </c>
      <c r="G144">
        <v>65.510000000000005</v>
      </c>
      <c r="H144" t="s">
        <v>4680</v>
      </c>
      <c r="I144">
        <v>53.82</v>
      </c>
      <c r="J144" t="s">
        <v>4681</v>
      </c>
    </row>
    <row r="145" spans="1:10" x14ac:dyDescent="0.15">
      <c r="A145" s="21">
        <v>43211.452777777777</v>
      </c>
      <c r="B145">
        <v>1500</v>
      </c>
      <c r="C145">
        <v>32.380000000000003</v>
      </c>
      <c r="D145" t="s">
        <v>4682</v>
      </c>
      <c r="E145">
        <v>35.82</v>
      </c>
      <c r="F145" t="s">
        <v>4683</v>
      </c>
      <c r="G145">
        <v>64.63</v>
      </c>
      <c r="H145" t="s">
        <v>4684</v>
      </c>
      <c r="I145">
        <v>52.33</v>
      </c>
      <c r="J145" t="s">
        <v>4685</v>
      </c>
    </row>
    <row r="146" spans="1:10" x14ac:dyDescent="0.15">
      <c r="A146" s="21">
        <v>43211.452777777777</v>
      </c>
      <c r="B146">
        <v>1500</v>
      </c>
      <c r="C146">
        <v>31.99</v>
      </c>
      <c r="D146" t="s">
        <v>4686</v>
      </c>
      <c r="E146">
        <v>36.630000000000003</v>
      </c>
      <c r="F146" t="s">
        <v>4687</v>
      </c>
      <c r="G146">
        <v>63.3</v>
      </c>
      <c r="H146" t="s">
        <v>4688</v>
      </c>
      <c r="I146">
        <v>51.77</v>
      </c>
      <c r="J146" t="s">
        <v>4689</v>
      </c>
    </row>
    <row r="147" spans="1:10" x14ac:dyDescent="0.15">
      <c r="A147" s="21">
        <v>43211.452777777777</v>
      </c>
      <c r="B147">
        <v>1500</v>
      </c>
      <c r="C147">
        <v>31.95</v>
      </c>
      <c r="D147" t="s">
        <v>4690</v>
      </c>
      <c r="E147">
        <v>34.96</v>
      </c>
      <c r="F147" t="s">
        <v>4691</v>
      </c>
      <c r="G147">
        <v>63.84</v>
      </c>
      <c r="H147" t="s">
        <v>4692</v>
      </c>
      <c r="I147">
        <v>53.11</v>
      </c>
      <c r="J147" t="s">
        <v>4693</v>
      </c>
    </row>
    <row r="148" spans="1:10" x14ac:dyDescent="0.15">
      <c r="A148" s="21">
        <v>43211.452777777777</v>
      </c>
      <c r="B148">
        <v>1500</v>
      </c>
      <c r="C148">
        <v>30.8</v>
      </c>
      <c r="D148" t="s">
        <v>4694</v>
      </c>
      <c r="E148">
        <v>35.58</v>
      </c>
      <c r="F148" t="s">
        <v>4695</v>
      </c>
      <c r="G148">
        <v>62.01</v>
      </c>
      <c r="H148" t="s">
        <v>4696</v>
      </c>
      <c r="I148">
        <v>54.87</v>
      </c>
      <c r="J148" t="s">
        <v>4685</v>
      </c>
    </row>
    <row r="149" spans="1:10" x14ac:dyDescent="0.15">
      <c r="A149" s="21">
        <v>43211.452777777777</v>
      </c>
      <c r="B149">
        <v>1500</v>
      </c>
      <c r="C149">
        <v>32.1</v>
      </c>
      <c r="D149" t="s">
        <v>4697</v>
      </c>
      <c r="E149">
        <v>36.090000000000003</v>
      </c>
      <c r="F149" t="s">
        <v>4698</v>
      </c>
      <c r="G149">
        <v>63.07</v>
      </c>
      <c r="H149" t="s">
        <v>4699</v>
      </c>
      <c r="I149">
        <v>52.91</v>
      </c>
      <c r="J149" t="s">
        <v>4685</v>
      </c>
    </row>
    <row r="150" spans="1:10" x14ac:dyDescent="0.15">
      <c r="A150" s="21">
        <v>43211.452777777777</v>
      </c>
      <c r="B150">
        <v>1499</v>
      </c>
      <c r="C150">
        <v>31.99</v>
      </c>
      <c r="D150" t="s">
        <v>4700</v>
      </c>
      <c r="E150">
        <v>35.090000000000003</v>
      </c>
      <c r="F150" t="s">
        <v>4701</v>
      </c>
      <c r="G150">
        <v>61.69</v>
      </c>
      <c r="H150" t="s">
        <v>4702</v>
      </c>
      <c r="I150">
        <v>52.35</v>
      </c>
      <c r="J150" t="s">
        <v>4703</v>
      </c>
    </row>
    <row r="151" spans="1:10" x14ac:dyDescent="0.15">
      <c r="A151" s="21">
        <v>43211.452777777777</v>
      </c>
      <c r="B151">
        <v>1499</v>
      </c>
      <c r="C151">
        <v>32.450000000000003</v>
      </c>
      <c r="D151" t="s">
        <v>4704</v>
      </c>
      <c r="E151">
        <v>35.32</v>
      </c>
      <c r="F151" t="s">
        <v>4705</v>
      </c>
      <c r="G151">
        <v>62.37</v>
      </c>
      <c r="H151" t="s">
        <v>4706</v>
      </c>
      <c r="I151">
        <v>53.68</v>
      </c>
      <c r="J151" t="s">
        <v>4707</v>
      </c>
    </row>
    <row r="152" spans="1:10" x14ac:dyDescent="0.15">
      <c r="A152" s="21">
        <v>43211.452777777777</v>
      </c>
      <c r="B152">
        <v>1499</v>
      </c>
      <c r="C152">
        <v>31.63</v>
      </c>
      <c r="D152" t="s">
        <v>4708</v>
      </c>
      <c r="E152">
        <v>36.409999999999997</v>
      </c>
      <c r="F152" t="s">
        <v>4709</v>
      </c>
      <c r="G152">
        <v>63.39</v>
      </c>
      <c r="H152" t="s">
        <v>4710</v>
      </c>
      <c r="I152">
        <v>53.17</v>
      </c>
      <c r="J152" t="s">
        <v>4711</v>
      </c>
    </row>
    <row r="153" spans="1:10" x14ac:dyDescent="0.15">
      <c r="A153" s="21">
        <v>43211.452777777777</v>
      </c>
      <c r="B153">
        <v>1499</v>
      </c>
      <c r="C153">
        <v>31.81</v>
      </c>
      <c r="D153" t="s">
        <v>4712</v>
      </c>
      <c r="E153">
        <v>35.54</v>
      </c>
      <c r="F153" t="s">
        <v>4713</v>
      </c>
      <c r="G153">
        <v>63.39</v>
      </c>
      <c r="H153" t="s">
        <v>4714</v>
      </c>
      <c r="I153">
        <v>53.37</v>
      </c>
      <c r="J153" t="s">
        <v>4715</v>
      </c>
    </row>
    <row r="154" spans="1:10" x14ac:dyDescent="0.15">
      <c r="A154" s="21">
        <v>43211.452777777777</v>
      </c>
      <c r="B154">
        <v>1499</v>
      </c>
      <c r="C154">
        <v>33.01</v>
      </c>
      <c r="D154" t="s">
        <v>4716</v>
      </c>
      <c r="E154">
        <v>34.840000000000003</v>
      </c>
      <c r="F154" t="s">
        <v>4717</v>
      </c>
      <c r="G154">
        <v>61.37</v>
      </c>
      <c r="H154" t="s">
        <v>4718</v>
      </c>
      <c r="I154">
        <v>53.08</v>
      </c>
      <c r="J154" t="s">
        <v>4719</v>
      </c>
    </row>
    <row r="155" spans="1:10" x14ac:dyDescent="0.15">
      <c r="A155" s="21">
        <v>43211.452777777777</v>
      </c>
      <c r="B155">
        <v>1499</v>
      </c>
      <c r="C155">
        <v>33.15</v>
      </c>
      <c r="D155" t="s">
        <v>4720</v>
      </c>
      <c r="E155">
        <v>35.21</v>
      </c>
      <c r="F155" t="s">
        <v>4721</v>
      </c>
      <c r="G155">
        <v>62.04</v>
      </c>
      <c r="H155" t="s">
        <v>4722</v>
      </c>
      <c r="I155">
        <v>51.91</v>
      </c>
      <c r="J155" t="s">
        <v>4723</v>
      </c>
    </row>
    <row r="156" spans="1:10" x14ac:dyDescent="0.15">
      <c r="A156" s="21">
        <v>43211.452777777777</v>
      </c>
      <c r="B156">
        <v>1499</v>
      </c>
      <c r="C156">
        <v>31.65</v>
      </c>
      <c r="D156" t="s">
        <v>4724</v>
      </c>
      <c r="E156">
        <v>34.270000000000003</v>
      </c>
      <c r="F156" t="s">
        <v>4725</v>
      </c>
      <c r="G156">
        <v>63.17</v>
      </c>
      <c r="H156" t="s">
        <v>4726</v>
      </c>
      <c r="I156">
        <v>54.68</v>
      </c>
      <c r="J156" t="s">
        <v>4727</v>
      </c>
    </row>
    <row r="157" spans="1:10" x14ac:dyDescent="0.15">
      <c r="A157" s="21">
        <v>43211.452777777777</v>
      </c>
      <c r="B157">
        <v>1499</v>
      </c>
      <c r="C157">
        <v>31.07</v>
      </c>
      <c r="D157" t="s">
        <v>4728</v>
      </c>
      <c r="E157">
        <v>35.19</v>
      </c>
      <c r="F157" t="s">
        <v>4729</v>
      </c>
      <c r="G157">
        <v>62.21</v>
      </c>
      <c r="H157" t="s">
        <v>4730</v>
      </c>
      <c r="I157">
        <v>53.08</v>
      </c>
      <c r="J157" t="s">
        <v>4731</v>
      </c>
    </row>
    <row r="158" spans="1:10" x14ac:dyDescent="0.15">
      <c r="A158" s="21">
        <v>43211.452777777777</v>
      </c>
      <c r="B158">
        <v>1499</v>
      </c>
      <c r="C158">
        <v>33.21</v>
      </c>
      <c r="D158" t="s">
        <v>4732</v>
      </c>
      <c r="E158">
        <v>35.26</v>
      </c>
      <c r="F158" t="s">
        <v>4733</v>
      </c>
      <c r="G158">
        <v>64</v>
      </c>
      <c r="H158" t="s">
        <v>4734</v>
      </c>
      <c r="I158">
        <v>51.54</v>
      </c>
      <c r="J158" t="s">
        <v>4735</v>
      </c>
    </row>
    <row r="159" spans="1:10" x14ac:dyDescent="0.15">
      <c r="A159" s="21">
        <v>43211.452777777777</v>
      </c>
      <c r="B159">
        <v>1499</v>
      </c>
      <c r="C159">
        <v>32.340000000000003</v>
      </c>
      <c r="D159" t="s">
        <v>4736</v>
      </c>
      <c r="E159">
        <v>35.29</v>
      </c>
      <c r="F159" t="s">
        <v>4737</v>
      </c>
      <c r="G159">
        <v>63.53</v>
      </c>
      <c r="H159" t="s">
        <v>4738</v>
      </c>
      <c r="I159">
        <v>52.69</v>
      </c>
      <c r="J159" t="s">
        <v>4739</v>
      </c>
    </row>
    <row r="160" spans="1:10" x14ac:dyDescent="0.15">
      <c r="A160" s="21">
        <v>43211.452777777777</v>
      </c>
      <c r="B160">
        <v>1499</v>
      </c>
      <c r="C160">
        <v>31.73</v>
      </c>
      <c r="D160" t="s">
        <v>4740</v>
      </c>
      <c r="E160">
        <v>35.42</v>
      </c>
      <c r="F160" t="s">
        <v>4741</v>
      </c>
      <c r="G160">
        <v>60.78</v>
      </c>
      <c r="H160" t="s">
        <v>4738</v>
      </c>
      <c r="I160">
        <v>53.58</v>
      </c>
      <c r="J160" t="s">
        <v>4742</v>
      </c>
    </row>
    <row r="161" spans="1:10" x14ac:dyDescent="0.15">
      <c r="A161" s="21">
        <v>43211.452777777777</v>
      </c>
      <c r="B161">
        <v>1499</v>
      </c>
      <c r="C161">
        <v>34.56</v>
      </c>
      <c r="D161" t="s">
        <v>4743</v>
      </c>
      <c r="E161">
        <v>35.29</v>
      </c>
      <c r="F161" t="s">
        <v>4721</v>
      </c>
      <c r="G161">
        <v>61.73</v>
      </c>
      <c r="H161" t="s">
        <v>4744</v>
      </c>
      <c r="I161">
        <v>52.25</v>
      </c>
      <c r="J161" t="s">
        <v>4643</v>
      </c>
    </row>
    <row r="162" spans="1:10" x14ac:dyDescent="0.15">
      <c r="A162" s="21">
        <v>43211.452777777777</v>
      </c>
      <c r="B162">
        <v>1499</v>
      </c>
      <c r="C162">
        <v>31.55</v>
      </c>
      <c r="D162" t="s">
        <v>4745</v>
      </c>
      <c r="E162">
        <v>35.19</v>
      </c>
      <c r="F162" t="s">
        <v>4746</v>
      </c>
      <c r="G162">
        <v>62.58</v>
      </c>
      <c r="H162" t="s">
        <v>4747</v>
      </c>
      <c r="I162">
        <v>51.57</v>
      </c>
      <c r="J162" t="s">
        <v>4748</v>
      </c>
    </row>
    <row r="163" spans="1:10" x14ac:dyDescent="0.15">
      <c r="A163" s="21">
        <v>43211.453472222223</v>
      </c>
      <c r="B163">
        <v>1498</v>
      </c>
      <c r="C163">
        <v>32.79</v>
      </c>
      <c r="D163" t="s">
        <v>4749</v>
      </c>
      <c r="E163">
        <v>35.340000000000003</v>
      </c>
      <c r="F163" t="s">
        <v>4750</v>
      </c>
      <c r="G163">
        <v>62.61</v>
      </c>
      <c r="H163" t="s">
        <v>4751</v>
      </c>
      <c r="I163">
        <v>52.47</v>
      </c>
      <c r="J163" t="s">
        <v>4752</v>
      </c>
    </row>
    <row r="164" spans="1:10" x14ac:dyDescent="0.15">
      <c r="A164" s="21">
        <v>43211.453472222223</v>
      </c>
      <c r="B164">
        <v>1499</v>
      </c>
      <c r="C164">
        <v>31.15</v>
      </c>
      <c r="D164" t="s">
        <v>4753</v>
      </c>
      <c r="E164">
        <v>35.32</v>
      </c>
      <c r="F164" t="s">
        <v>4754</v>
      </c>
      <c r="G164">
        <v>62.64</v>
      </c>
      <c r="H164" t="s">
        <v>4755</v>
      </c>
      <c r="I164">
        <v>52.49</v>
      </c>
      <c r="J164" t="s">
        <v>4756</v>
      </c>
    </row>
    <row r="165" spans="1:10" x14ac:dyDescent="0.15">
      <c r="A165" s="21">
        <v>43211.453472222223</v>
      </c>
      <c r="B165">
        <v>1499</v>
      </c>
      <c r="C165">
        <v>31.57</v>
      </c>
      <c r="D165" t="s">
        <v>4757</v>
      </c>
      <c r="E165">
        <v>35.65</v>
      </c>
      <c r="F165" t="s">
        <v>4758</v>
      </c>
      <c r="G165">
        <v>60.39</v>
      </c>
      <c r="H165" t="s">
        <v>4759</v>
      </c>
      <c r="I165">
        <v>53.05</v>
      </c>
      <c r="J165" t="s">
        <v>4760</v>
      </c>
    </row>
    <row r="166" spans="1:10" x14ac:dyDescent="0.15">
      <c r="A166" s="21">
        <v>43211.453472222223</v>
      </c>
      <c r="B166">
        <v>1499</v>
      </c>
      <c r="C166">
        <v>31.84</v>
      </c>
      <c r="D166" t="s">
        <v>4761</v>
      </c>
      <c r="E166">
        <v>36.04</v>
      </c>
      <c r="F166" t="s">
        <v>4762</v>
      </c>
      <c r="G166">
        <v>62.73</v>
      </c>
      <c r="H166" t="s">
        <v>4763</v>
      </c>
      <c r="I166">
        <v>52.88</v>
      </c>
      <c r="J166" t="s">
        <v>4764</v>
      </c>
    </row>
    <row r="167" spans="1:10" x14ac:dyDescent="0.15">
      <c r="A167" s="21">
        <v>43211.453472222223</v>
      </c>
      <c r="B167">
        <v>1499</v>
      </c>
      <c r="C167">
        <v>31.02</v>
      </c>
      <c r="D167" t="s">
        <v>4765</v>
      </c>
      <c r="E167">
        <v>36.26</v>
      </c>
      <c r="F167" t="s">
        <v>4766</v>
      </c>
      <c r="G167">
        <v>61.15</v>
      </c>
      <c r="H167" t="s">
        <v>4767</v>
      </c>
      <c r="I167">
        <v>51.7</v>
      </c>
      <c r="J167" t="s">
        <v>4768</v>
      </c>
    </row>
    <row r="168" spans="1:10" x14ac:dyDescent="0.15">
      <c r="A168" s="21">
        <v>43211.453472222223</v>
      </c>
      <c r="B168">
        <v>1499</v>
      </c>
      <c r="C168">
        <v>31.75</v>
      </c>
      <c r="D168" t="s">
        <v>4769</v>
      </c>
      <c r="E168">
        <v>35.07</v>
      </c>
      <c r="F168" t="s">
        <v>4770</v>
      </c>
      <c r="G168">
        <v>62.25</v>
      </c>
      <c r="H168" t="s">
        <v>4771</v>
      </c>
      <c r="I168">
        <v>53.5</v>
      </c>
      <c r="J168" t="s">
        <v>4772</v>
      </c>
    </row>
    <row r="169" spans="1:10" x14ac:dyDescent="0.15">
      <c r="A169" s="21">
        <v>43211.453472222223</v>
      </c>
      <c r="B169">
        <v>1498</v>
      </c>
      <c r="C169">
        <v>31.45</v>
      </c>
      <c r="D169" t="s">
        <v>4773</v>
      </c>
      <c r="E169">
        <v>36.03</v>
      </c>
      <c r="F169" t="s">
        <v>4664</v>
      </c>
      <c r="G169">
        <v>64.319999999999993</v>
      </c>
      <c r="H169" t="s">
        <v>4774</v>
      </c>
      <c r="I169">
        <v>51.36</v>
      </c>
      <c r="J169" t="s">
        <v>4775</v>
      </c>
    </row>
    <row r="170" spans="1:10" x14ac:dyDescent="0.15">
      <c r="A170" s="21">
        <v>43211.453472222223</v>
      </c>
      <c r="B170">
        <v>1499</v>
      </c>
      <c r="C170">
        <v>31.33</v>
      </c>
      <c r="D170" t="s">
        <v>4776</v>
      </c>
      <c r="E170">
        <v>34.630000000000003</v>
      </c>
      <c r="F170" t="s">
        <v>4777</v>
      </c>
      <c r="G170">
        <v>61.17</v>
      </c>
      <c r="H170" t="s">
        <v>4778</v>
      </c>
      <c r="I170">
        <v>52.29</v>
      </c>
      <c r="J170" t="s">
        <v>4779</v>
      </c>
    </row>
    <row r="171" spans="1:10" x14ac:dyDescent="0.15">
      <c r="A171" s="21">
        <v>43211.453472222223</v>
      </c>
      <c r="B171">
        <v>1499</v>
      </c>
      <c r="C171">
        <v>31.26</v>
      </c>
      <c r="D171" t="s">
        <v>4780</v>
      </c>
      <c r="E171">
        <v>35.119999999999997</v>
      </c>
      <c r="F171" t="s">
        <v>4781</v>
      </c>
      <c r="G171">
        <v>63.04</v>
      </c>
      <c r="H171" t="s">
        <v>4782</v>
      </c>
      <c r="I171">
        <v>53.01</v>
      </c>
      <c r="J171" t="s">
        <v>4783</v>
      </c>
    </row>
    <row r="172" spans="1:10" x14ac:dyDescent="0.15">
      <c r="A172" s="21">
        <v>43211.453472222223</v>
      </c>
      <c r="B172">
        <v>1499</v>
      </c>
      <c r="C172">
        <v>31.77</v>
      </c>
      <c r="D172" t="s">
        <v>4784</v>
      </c>
      <c r="E172">
        <v>35.85</v>
      </c>
      <c r="F172" t="s">
        <v>4785</v>
      </c>
      <c r="G172">
        <v>63.27</v>
      </c>
      <c r="H172" t="s">
        <v>4786</v>
      </c>
      <c r="I172">
        <v>54.57</v>
      </c>
      <c r="J172" t="s">
        <v>4787</v>
      </c>
    </row>
    <row r="173" spans="1:10" x14ac:dyDescent="0.15">
      <c r="A173" s="21">
        <v>43211.453472222223</v>
      </c>
      <c r="B173">
        <v>1499</v>
      </c>
      <c r="C173">
        <v>32.520000000000003</v>
      </c>
      <c r="D173" t="s">
        <v>4716</v>
      </c>
      <c r="E173">
        <v>35.29</v>
      </c>
      <c r="F173" t="s">
        <v>4788</v>
      </c>
      <c r="G173">
        <v>63.66</v>
      </c>
      <c r="H173" t="s">
        <v>4789</v>
      </c>
      <c r="I173">
        <v>50.43</v>
      </c>
      <c r="J173" t="s">
        <v>4790</v>
      </c>
    </row>
    <row r="174" spans="1:10" x14ac:dyDescent="0.15">
      <c r="A174" s="21">
        <v>43211.453472222223</v>
      </c>
      <c r="B174">
        <v>1499</v>
      </c>
      <c r="C174">
        <v>32</v>
      </c>
      <c r="D174" t="s">
        <v>4791</v>
      </c>
      <c r="E174">
        <v>34.15</v>
      </c>
      <c r="F174" t="s">
        <v>4792</v>
      </c>
      <c r="G174">
        <v>61.3</v>
      </c>
      <c r="H174" t="s">
        <v>4767</v>
      </c>
      <c r="I174">
        <v>52.99</v>
      </c>
      <c r="J174" t="s">
        <v>4793</v>
      </c>
    </row>
    <row r="175" spans="1:10" x14ac:dyDescent="0.15">
      <c r="A175" s="21">
        <v>43211.453472222223</v>
      </c>
      <c r="B175">
        <v>1499</v>
      </c>
      <c r="C175">
        <v>32.92</v>
      </c>
      <c r="D175" t="s">
        <v>4794</v>
      </c>
      <c r="E175">
        <v>34.49</v>
      </c>
      <c r="F175" t="s">
        <v>4795</v>
      </c>
      <c r="G175">
        <v>63.66</v>
      </c>
      <c r="H175" t="s">
        <v>4796</v>
      </c>
      <c r="I175">
        <v>51.01</v>
      </c>
      <c r="J175" t="s">
        <v>4797</v>
      </c>
    </row>
    <row r="176" spans="1:10" x14ac:dyDescent="0.15">
      <c r="A176" s="21">
        <v>43211.453472222223</v>
      </c>
      <c r="B176">
        <v>1499</v>
      </c>
      <c r="C176">
        <v>32.71</v>
      </c>
      <c r="D176" t="s">
        <v>4798</v>
      </c>
      <c r="E176">
        <v>35.950000000000003</v>
      </c>
      <c r="F176" t="s">
        <v>4785</v>
      </c>
      <c r="G176">
        <v>62.5</v>
      </c>
      <c r="H176" t="s">
        <v>4799</v>
      </c>
      <c r="I176">
        <v>51.61</v>
      </c>
      <c r="J176" t="s">
        <v>4793</v>
      </c>
    </row>
    <row r="177" spans="1:10" x14ac:dyDescent="0.15">
      <c r="A177" s="21">
        <v>43211.453472222223</v>
      </c>
      <c r="B177">
        <v>1499</v>
      </c>
      <c r="C177">
        <v>32.549999999999997</v>
      </c>
      <c r="D177" t="s">
        <v>4800</v>
      </c>
      <c r="E177">
        <v>35.36</v>
      </c>
      <c r="F177" t="s">
        <v>4801</v>
      </c>
      <c r="G177">
        <v>62.76</v>
      </c>
      <c r="H177" t="s">
        <v>4802</v>
      </c>
      <c r="I177">
        <v>53.64</v>
      </c>
      <c r="J177" t="s">
        <v>4715</v>
      </c>
    </row>
    <row r="178" spans="1:10" x14ac:dyDescent="0.15">
      <c r="A178" s="21">
        <v>43211.453472222223</v>
      </c>
      <c r="B178">
        <v>1499</v>
      </c>
      <c r="C178">
        <v>31.46</v>
      </c>
      <c r="D178" t="s">
        <v>4663</v>
      </c>
      <c r="E178">
        <v>34.35</v>
      </c>
      <c r="F178" t="s">
        <v>4803</v>
      </c>
      <c r="G178">
        <v>62.8</v>
      </c>
      <c r="H178" t="s">
        <v>4804</v>
      </c>
      <c r="I178">
        <v>52.82</v>
      </c>
      <c r="J178" t="s">
        <v>4805</v>
      </c>
    </row>
    <row r="179" spans="1:10" x14ac:dyDescent="0.15">
      <c r="A179" s="21">
        <v>43211.453472222223</v>
      </c>
      <c r="B179">
        <v>1498</v>
      </c>
      <c r="C179">
        <v>31.01</v>
      </c>
      <c r="D179" t="s">
        <v>4806</v>
      </c>
      <c r="E179">
        <v>35.35</v>
      </c>
      <c r="F179" t="s">
        <v>4807</v>
      </c>
      <c r="G179">
        <v>62.97</v>
      </c>
      <c r="H179" t="s">
        <v>4808</v>
      </c>
      <c r="I179">
        <v>51.8</v>
      </c>
      <c r="J179" t="s">
        <v>4809</v>
      </c>
    </row>
    <row r="180" spans="1:10" x14ac:dyDescent="0.15">
      <c r="A180" s="21">
        <v>43211.453472222223</v>
      </c>
      <c r="B180">
        <v>1499</v>
      </c>
      <c r="C180">
        <v>32.11</v>
      </c>
      <c r="D180" t="s">
        <v>4810</v>
      </c>
      <c r="E180">
        <v>34.07</v>
      </c>
      <c r="F180" t="s">
        <v>4811</v>
      </c>
      <c r="G180">
        <v>60.65</v>
      </c>
      <c r="H180" t="s">
        <v>4812</v>
      </c>
      <c r="I180">
        <v>51.71</v>
      </c>
      <c r="J180" t="s">
        <v>4813</v>
      </c>
    </row>
    <row r="181" spans="1:10" x14ac:dyDescent="0.15">
      <c r="A181" s="21">
        <v>43211.453472222223</v>
      </c>
      <c r="B181">
        <v>1499</v>
      </c>
      <c r="C181">
        <v>31.96</v>
      </c>
      <c r="D181" t="s">
        <v>4814</v>
      </c>
      <c r="E181">
        <v>35.47</v>
      </c>
      <c r="F181" t="s">
        <v>4815</v>
      </c>
      <c r="G181">
        <v>62.89</v>
      </c>
      <c r="H181" t="s">
        <v>4816</v>
      </c>
      <c r="I181">
        <v>51.41</v>
      </c>
      <c r="J181" t="s">
        <v>4817</v>
      </c>
    </row>
    <row r="182" spans="1:10" x14ac:dyDescent="0.15">
      <c r="A182" s="21">
        <v>43211.453472222223</v>
      </c>
      <c r="B182">
        <v>1499</v>
      </c>
      <c r="C182">
        <v>32.04</v>
      </c>
      <c r="D182" t="s">
        <v>4818</v>
      </c>
      <c r="E182">
        <v>34.49</v>
      </c>
      <c r="F182" t="s">
        <v>4819</v>
      </c>
      <c r="G182">
        <v>61.26</v>
      </c>
      <c r="H182" t="s">
        <v>4802</v>
      </c>
      <c r="I182">
        <v>51.15</v>
      </c>
      <c r="J182" t="s">
        <v>4820</v>
      </c>
    </row>
    <row r="183" spans="1:10" x14ac:dyDescent="0.15">
      <c r="A183" s="21">
        <v>43211.453472222223</v>
      </c>
      <c r="B183">
        <v>1498</v>
      </c>
      <c r="C183">
        <v>32.24</v>
      </c>
      <c r="D183" t="s">
        <v>4821</v>
      </c>
      <c r="E183">
        <v>34.64</v>
      </c>
      <c r="F183" t="s">
        <v>4822</v>
      </c>
      <c r="G183">
        <v>64.2</v>
      </c>
      <c r="H183" t="s">
        <v>4823</v>
      </c>
      <c r="I183">
        <v>51.69</v>
      </c>
      <c r="J183" t="s">
        <v>4760</v>
      </c>
    </row>
    <row r="184" spans="1:10" x14ac:dyDescent="0.15">
      <c r="A184" s="21">
        <v>43211.453472222223</v>
      </c>
      <c r="B184">
        <v>1499</v>
      </c>
      <c r="C184">
        <v>32.369999999999997</v>
      </c>
      <c r="D184" t="s">
        <v>4761</v>
      </c>
      <c r="E184">
        <v>34.51</v>
      </c>
      <c r="F184" t="s">
        <v>4824</v>
      </c>
      <c r="G184">
        <v>60.25</v>
      </c>
      <c r="H184" t="s">
        <v>4825</v>
      </c>
      <c r="I184">
        <v>52.08</v>
      </c>
      <c r="J184" t="s">
        <v>4826</v>
      </c>
    </row>
    <row r="185" spans="1:10" x14ac:dyDescent="0.15">
      <c r="A185" s="21">
        <v>43211.45416666667</v>
      </c>
      <c r="B185">
        <v>1499</v>
      </c>
      <c r="C185">
        <v>30.13</v>
      </c>
      <c r="D185" t="s">
        <v>4827</v>
      </c>
      <c r="E185">
        <v>34.81</v>
      </c>
      <c r="F185" t="s">
        <v>4828</v>
      </c>
      <c r="G185">
        <v>60.62</v>
      </c>
      <c r="H185" t="s">
        <v>4829</v>
      </c>
      <c r="I185">
        <v>51.33</v>
      </c>
      <c r="J185" t="s">
        <v>4830</v>
      </c>
    </row>
    <row r="186" spans="1:10" x14ac:dyDescent="0.15">
      <c r="A186" s="21">
        <v>43211.45416666667</v>
      </c>
      <c r="B186">
        <v>1499</v>
      </c>
      <c r="C186">
        <v>32.75</v>
      </c>
      <c r="D186" t="s">
        <v>4831</v>
      </c>
      <c r="E186">
        <v>35.770000000000003</v>
      </c>
      <c r="F186" t="s">
        <v>4832</v>
      </c>
      <c r="G186">
        <v>60.36</v>
      </c>
      <c r="H186" t="s">
        <v>4833</v>
      </c>
      <c r="I186">
        <v>51.53</v>
      </c>
      <c r="J186" t="s">
        <v>4834</v>
      </c>
    </row>
    <row r="187" spans="1:10" x14ac:dyDescent="0.15">
      <c r="A187" s="21">
        <v>43211.45416666667</v>
      </c>
      <c r="B187">
        <v>1499</v>
      </c>
      <c r="C187">
        <v>32.32</v>
      </c>
      <c r="D187" t="s">
        <v>4835</v>
      </c>
      <c r="E187">
        <v>34.85</v>
      </c>
      <c r="F187" t="s">
        <v>4836</v>
      </c>
      <c r="G187">
        <v>62.35</v>
      </c>
      <c r="H187" t="s">
        <v>4837</v>
      </c>
      <c r="I187">
        <v>52.16</v>
      </c>
      <c r="J187" t="s">
        <v>4838</v>
      </c>
    </row>
    <row r="188" spans="1:10" x14ac:dyDescent="0.15">
      <c r="A188" s="21">
        <v>43211.45416666667</v>
      </c>
      <c r="B188">
        <v>1499</v>
      </c>
      <c r="C188">
        <v>31.81</v>
      </c>
      <c r="D188" t="s">
        <v>4839</v>
      </c>
      <c r="E188">
        <v>35.520000000000003</v>
      </c>
      <c r="F188" t="s">
        <v>4840</v>
      </c>
      <c r="G188">
        <v>62.39</v>
      </c>
      <c r="H188" t="s">
        <v>4841</v>
      </c>
      <c r="I188">
        <v>51.97</v>
      </c>
      <c r="J188" t="s">
        <v>4842</v>
      </c>
    </row>
    <row r="189" spans="1:10" x14ac:dyDescent="0.15">
      <c r="A189" s="21">
        <v>43211.45416666667</v>
      </c>
      <c r="B189">
        <v>1499</v>
      </c>
      <c r="C189">
        <v>32.770000000000003</v>
      </c>
      <c r="D189" t="s">
        <v>4843</v>
      </c>
      <c r="E189">
        <v>34.22</v>
      </c>
      <c r="F189" t="s">
        <v>4844</v>
      </c>
      <c r="G189">
        <v>61.01</v>
      </c>
      <c r="H189" t="s">
        <v>4845</v>
      </c>
      <c r="I189">
        <v>52.22</v>
      </c>
      <c r="J189" t="s">
        <v>4846</v>
      </c>
    </row>
    <row r="190" spans="1:10" x14ac:dyDescent="0.15">
      <c r="A190" s="21">
        <v>43211.45416666667</v>
      </c>
      <c r="B190">
        <v>1499</v>
      </c>
      <c r="C190">
        <v>31.67</v>
      </c>
      <c r="D190" t="s">
        <v>4847</v>
      </c>
      <c r="E190">
        <v>35.479999999999997</v>
      </c>
      <c r="F190" t="s">
        <v>4848</v>
      </c>
      <c r="G190">
        <v>61.89</v>
      </c>
      <c r="H190" t="s">
        <v>4849</v>
      </c>
      <c r="I190">
        <v>51.17</v>
      </c>
      <c r="J190" t="s">
        <v>4850</v>
      </c>
    </row>
    <row r="191" spans="1:10" x14ac:dyDescent="0.15">
      <c r="A191" s="21">
        <v>43211.45416666667</v>
      </c>
      <c r="B191">
        <v>1499</v>
      </c>
      <c r="C191">
        <v>31.54</v>
      </c>
      <c r="D191" t="s">
        <v>4851</v>
      </c>
      <c r="E191">
        <v>35.83</v>
      </c>
      <c r="F191" t="s">
        <v>4852</v>
      </c>
      <c r="G191">
        <v>61.61</v>
      </c>
      <c r="H191" t="s">
        <v>4853</v>
      </c>
      <c r="I191">
        <v>51.19</v>
      </c>
      <c r="J191" t="s">
        <v>4854</v>
      </c>
    </row>
    <row r="192" spans="1:10" x14ac:dyDescent="0.15">
      <c r="A192" s="21">
        <v>43211.45416666667</v>
      </c>
      <c r="B192">
        <v>1499</v>
      </c>
      <c r="C192">
        <v>31.88</v>
      </c>
      <c r="D192" t="s">
        <v>4855</v>
      </c>
      <c r="E192">
        <v>34.369999999999997</v>
      </c>
      <c r="F192" t="s">
        <v>4856</v>
      </c>
      <c r="G192">
        <v>62.8</v>
      </c>
      <c r="H192" t="s">
        <v>4857</v>
      </c>
      <c r="I192">
        <v>51.45</v>
      </c>
      <c r="J192" t="s">
        <v>4858</v>
      </c>
    </row>
    <row r="193" spans="1:10" x14ac:dyDescent="0.15">
      <c r="A193" s="21">
        <v>43211.45416666667</v>
      </c>
      <c r="B193">
        <v>1499</v>
      </c>
      <c r="C193">
        <v>31.98</v>
      </c>
      <c r="D193" t="s">
        <v>4859</v>
      </c>
      <c r="E193">
        <v>34.729999999999997</v>
      </c>
      <c r="F193" t="s">
        <v>4860</v>
      </c>
      <c r="G193">
        <v>60.38</v>
      </c>
      <c r="H193" t="s">
        <v>4861</v>
      </c>
      <c r="I193">
        <v>51.54</v>
      </c>
      <c r="J193" t="s">
        <v>4862</v>
      </c>
    </row>
    <row r="194" spans="1:10" x14ac:dyDescent="0.15">
      <c r="A194" s="21">
        <v>43211.45416666667</v>
      </c>
      <c r="B194">
        <v>1499</v>
      </c>
      <c r="C194">
        <v>30.93</v>
      </c>
      <c r="D194" t="s">
        <v>4798</v>
      </c>
      <c r="E194">
        <v>35.4</v>
      </c>
      <c r="F194" t="s">
        <v>4863</v>
      </c>
      <c r="G194">
        <v>63.83</v>
      </c>
      <c r="H194" t="s">
        <v>4864</v>
      </c>
      <c r="I194">
        <v>51.45</v>
      </c>
      <c r="J194" t="s">
        <v>4865</v>
      </c>
    </row>
    <row r="195" spans="1:10" x14ac:dyDescent="0.15">
      <c r="A195" s="21">
        <v>43211.45416666667</v>
      </c>
      <c r="B195">
        <v>1499</v>
      </c>
      <c r="C195">
        <v>29.97</v>
      </c>
      <c r="D195" t="s">
        <v>4866</v>
      </c>
      <c r="E195">
        <v>35.4</v>
      </c>
      <c r="F195" t="s">
        <v>4652</v>
      </c>
      <c r="G195">
        <v>61.27</v>
      </c>
      <c r="H195" t="s">
        <v>4867</v>
      </c>
      <c r="I195">
        <v>50.41</v>
      </c>
      <c r="J195" t="s">
        <v>4850</v>
      </c>
    </row>
    <row r="196" spans="1:10" x14ac:dyDescent="0.15">
      <c r="A196" s="21">
        <v>43211.45416666667</v>
      </c>
      <c r="B196">
        <v>1500</v>
      </c>
      <c r="C196">
        <v>31.83</v>
      </c>
      <c r="D196" t="s">
        <v>4868</v>
      </c>
      <c r="E196">
        <v>34.299999999999997</v>
      </c>
      <c r="F196" t="s">
        <v>4869</v>
      </c>
      <c r="G196">
        <v>61.29</v>
      </c>
      <c r="H196" t="s">
        <v>4870</v>
      </c>
      <c r="I196">
        <v>51.83</v>
      </c>
      <c r="J196" t="s">
        <v>4871</v>
      </c>
    </row>
    <row r="197" spans="1:10" x14ac:dyDescent="0.15">
      <c r="A197" s="21">
        <v>43211.45416666667</v>
      </c>
      <c r="B197">
        <v>1499</v>
      </c>
      <c r="C197">
        <v>30.97</v>
      </c>
      <c r="D197" t="s">
        <v>4872</v>
      </c>
      <c r="E197">
        <v>35.159999999999997</v>
      </c>
      <c r="F197" t="s">
        <v>4873</v>
      </c>
      <c r="G197">
        <v>62.61</v>
      </c>
      <c r="H197" t="s">
        <v>4874</v>
      </c>
      <c r="I197">
        <v>51.58</v>
      </c>
      <c r="J197" t="s">
        <v>4875</v>
      </c>
    </row>
    <row r="198" spans="1:10" x14ac:dyDescent="0.15">
      <c r="A198" s="21">
        <v>43211.45416666667</v>
      </c>
      <c r="B198">
        <v>1500</v>
      </c>
      <c r="C198">
        <v>31.05</v>
      </c>
      <c r="D198" t="s">
        <v>4876</v>
      </c>
      <c r="E198">
        <v>34.15</v>
      </c>
      <c r="F198" t="s">
        <v>4877</v>
      </c>
      <c r="G198">
        <v>63.25</v>
      </c>
      <c r="H198" t="s">
        <v>4878</v>
      </c>
      <c r="I198">
        <v>50.15</v>
      </c>
      <c r="J198" t="s">
        <v>4879</v>
      </c>
    </row>
    <row r="199" spans="1:10" x14ac:dyDescent="0.15">
      <c r="A199" s="21">
        <v>43211.45416666667</v>
      </c>
      <c r="B199">
        <v>1500</v>
      </c>
      <c r="C199">
        <v>31.3</v>
      </c>
      <c r="D199" t="s">
        <v>4880</v>
      </c>
      <c r="E199">
        <v>34.56</v>
      </c>
      <c r="F199" t="s">
        <v>4881</v>
      </c>
      <c r="G199">
        <v>63.11</v>
      </c>
      <c r="H199" t="s">
        <v>4882</v>
      </c>
      <c r="I199">
        <v>52.76</v>
      </c>
      <c r="J199" t="s">
        <v>4883</v>
      </c>
    </row>
    <row r="200" spans="1:10" x14ac:dyDescent="0.15">
      <c r="A200" s="21">
        <v>43211.45416666667</v>
      </c>
      <c r="B200">
        <v>1500</v>
      </c>
      <c r="C200">
        <v>32.18</v>
      </c>
      <c r="D200" t="s">
        <v>4884</v>
      </c>
      <c r="E200">
        <v>34.450000000000003</v>
      </c>
      <c r="F200" t="s">
        <v>4885</v>
      </c>
      <c r="G200">
        <v>60.83</v>
      </c>
      <c r="H200" t="s">
        <v>4886</v>
      </c>
      <c r="I200">
        <v>52.03</v>
      </c>
      <c r="J200" t="s">
        <v>4887</v>
      </c>
    </row>
    <row r="201" spans="1:10" x14ac:dyDescent="0.15">
      <c r="A201" s="21">
        <v>43211.45416666667</v>
      </c>
      <c r="B201">
        <v>1500</v>
      </c>
      <c r="C201">
        <v>30.79</v>
      </c>
      <c r="D201" t="s">
        <v>4888</v>
      </c>
      <c r="E201">
        <v>35.53</v>
      </c>
      <c r="F201" t="s">
        <v>4889</v>
      </c>
      <c r="G201">
        <v>64.38</v>
      </c>
      <c r="H201" t="s">
        <v>4825</v>
      </c>
      <c r="I201">
        <v>52.44</v>
      </c>
      <c r="J201" t="s">
        <v>4719</v>
      </c>
    </row>
    <row r="202" spans="1:10" x14ac:dyDescent="0.15">
      <c r="A202" s="21">
        <v>43211.45416666667</v>
      </c>
      <c r="B202">
        <v>1500</v>
      </c>
      <c r="C202">
        <v>30.89</v>
      </c>
      <c r="D202" t="s">
        <v>4890</v>
      </c>
      <c r="E202">
        <v>35.71</v>
      </c>
      <c r="F202" t="s">
        <v>4891</v>
      </c>
      <c r="G202">
        <v>63.01</v>
      </c>
      <c r="H202" t="s">
        <v>4892</v>
      </c>
      <c r="I202">
        <v>50.98</v>
      </c>
      <c r="J202" t="s">
        <v>4893</v>
      </c>
    </row>
    <row r="203" spans="1:10" x14ac:dyDescent="0.15">
      <c r="A203" s="21">
        <v>43211.45416666667</v>
      </c>
      <c r="B203">
        <v>1500</v>
      </c>
      <c r="C203">
        <v>32.01</v>
      </c>
      <c r="D203" t="s">
        <v>4894</v>
      </c>
      <c r="E203">
        <v>34.770000000000003</v>
      </c>
      <c r="F203" t="s">
        <v>4895</v>
      </c>
      <c r="G203">
        <v>60.19</v>
      </c>
      <c r="H203" t="s">
        <v>4896</v>
      </c>
      <c r="I203">
        <v>52.29</v>
      </c>
      <c r="J203" t="s">
        <v>4897</v>
      </c>
    </row>
    <row r="204" spans="1:10" x14ac:dyDescent="0.15">
      <c r="A204" s="21">
        <v>43211.45416666667</v>
      </c>
      <c r="B204">
        <v>1500</v>
      </c>
      <c r="C204">
        <v>32.46</v>
      </c>
      <c r="D204" t="s">
        <v>4898</v>
      </c>
      <c r="E204">
        <v>34.5</v>
      </c>
      <c r="F204" t="s">
        <v>4856</v>
      </c>
      <c r="G204">
        <v>63.15</v>
      </c>
      <c r="H204" t="s">
        <v>4833</v>
      </c>
      <c r="I204">
        <v>53.96</v>
      </c>
      <c r="J204" t="s">
        <v>4899</v>
      </c>
    </row>
    <row r="205" spans="1:10" x14ac:dyDescent="0.15">
      <c r="A205" s="21">
        <v>43211.45416666667</v>
      </c>
      <c r="B205">
        <v>1500</v>
      </c>
      <c r="C205">
        <v>32.82</v>
      </c>
      <c r="D205" t="s">
        <v>4900</v>
      </c>
      <c r="E205">
        <v>34.72</v>
      </c>
      <c r="F205" t="s">
        <v>4901</v>
      </c>
      <c r="G205">
        <v>63.63</v>
      </c>
      <c r="H205" t="s">
        <v>4902</v>
      </c>
      <c r="I205">
        <v>53.15</v>
      </c>
      <c r="J205" t="s">
        <v>4903</v>
      </c>
    </row>
    <row r="206" spans="1:10" x14ac:dyDescent="0.15">
      <c r="A206" s="21">
        <v>43211.45416666667</v>
      </c>
      <c r="B206">
        <v>1500</v>
      </c>
      <c r="C206">
        <v>30.62</v>
      </c>
      <c r="D206" t="s">
        <v>4904</v>
      </c>
      <c r="E206">
        <v>34.06</v>
      </c>
      <c r="F206" t="s">
        <v>4905</v>
      </c>
      <c r="G206">
        <v>63.37</v>
      </c>
      <c r="H206" t="s">
        <v>4906</v>
      </c>
      <c r="I206">
        <v>51.4</v>
      </c>
      <c r="J206" t="s">
        <v>4907</v>
      </c>
    </row>
    <row r="207" spans="1:10" x14ac:dyDescent="0.15">
      <c r="A207" s="21">
        <v>43211.45416666667</v>
      </c>
      <c r="B207">
        <v>1500</v>
      </c>
      <c r="C207">
        <v>31.15</v>
      </c>
      <c r="D207" t="s">
        <v>4908</v>
      </c>
      <c r="E207">
        <v>34.86</v>
      </c>
      <c r="F207" t="s">
        <v>4909</v>
      </c>
      <c r="G207">
        <v>61.48</v>
      </c>
      <c r="H207" t="s">
        <v>4910</v>
      </c>
      <c r="I207">
        <v>50.9</v>
      </c>
      <c r="J207" t="s">
        <v>4911</v>
      </c>
    </row>
    <row r="208" spans="1:10" x14ac:dyDescent="0.15">
      <c r="A208" s="21">
        <v>43211.454861111109</v>
      </c>
      <c r="B208">
        <v>1500</v>
      </c>
      <c r="C208">
        <v>31.46</v>
      </c>
      <c r="D208" t="s">
        <v>4912</v>
      </c>
      <c r="E208">
        <v>34.369999999999997</v>
      </c>
      <c r="F208" t="s">
        <v>4913</v>
      </c>
      <c r="G208">
        <v>60.61</v>
      </c>
      <c r="H208" t="s">
        <v>4914</v>
      </c>
      <c r="I208">
        <v>51.39</v>
      </c>
      <c r="J208" t="s">
        <v>4915</v>
      </c>
    </row>
    <row r="209" spans="1:10" x14ac:dyDescent="0.15">
      <c r="A209" s="21">
        <v>43211.454861111109</v>
      </c>
      <c r="B209">
        <v>1501</v>
      </c>
      <c r="C209">
        <v>32.229999999999997</v>
      </c>
      <c r="D209" t="s">
        <v>4916</v>
      </c>
      <c r="E209">
        <v>35.72</v>
      </c>
      <c r="F209" t="s">
        <v>4917</v>
      </c>
      <c r="G209">
        <v>61.62</v>
      </c>
      <c r="H209" t="s">
        <v>4918</v>
      </c>
      <c r="I209">
        <v>52.29</v>
      </c>
      <c r="J209" t="s">
        <v>4919</v>
      </c>
    </row>
    <row r="210" spans="1:10" x14ac:dyDescent="0.15">
      <c r="A210" s="21">
        <v>43211.454861111109</v>
      </c>
      <c r="B210">
        <v>1500</v>
      </c>
      <c r="C210">
        <v>30.76</v>
      </c>
      <c r="D210" t="s">
        <v>4920</v>
      </c>
      <c r="E210">
        <v>33.71</v>
      </c>
      <c r="F210" t="s">
        <v>4921</v>
      </c>
      <c r="G210">
        <v>60.66</v>
      </c>
      <c r="H210" t="s">
        <v>4767</v>
      </c>
      <c r="I210">
        <v>50.99</v>
      </c>
      <c r="J210" t="s">
        <v>4922</v>
      </c>
    </row>
    <row r="211" spans="1:10" x14ac:dyDescent="0.15">
      <c r="A211" s="21">
        <v>43211.454861111109</v>
      </c>
      <c r="B211">
        <v>1500</v>
      </c>
      <c r="C211">
        <v>30.56</v>
      </c>
      <c r="D211" t="s">
        <v>4923</v>
      </c>
      <c r="E211">
        <v>34.17</v>
      </c>
      <c r="F211" t="s">
        <v>4924</v>
      </c>
      <c r="G211">
        <v>60.68</v>
      </c>
      <c r="H211" t="s">
        <v>4925</v>
      </c>
      <c r="I211">
        <v>52.66</v>
      </c>
      <c r="J211" t="s">
        <v>4926</v>
      </c>
    </row>
    <row r="212" spans="1:10" x14ac:dyDescent="0.15">
      <c r="A212" s="21">
        <v>43211.454861111109</v>
      </c>
      <c r="B212">
        <v>1500</v>
      </c>
      <c r="C212">
        <v>32.049999999999997</v>
      </c>
      <c r="D212" t="s">
        <v>4927</v>
      </c>
      <c r="E212">
        <v>33.72</v>
      </c>
      <c r="F212" t="s">
        <v>4928</v>
      </c>
      <c r="G212">
        <v>60.42</v>
      </c>
      <c r="H212" t="s">
        <v>4929</v>
      </c>
      <c r="I212">
        <v>49.75</v>
      </c>
      <c r="J212" t="s">
        <v>4930</v>
      </c>
    </row>
    <row r="213" spans="1:10" x14ac:dyDescent="0.15">
      <c r="A213" s="21">
        <v>43211.454861111109</v>
      </c>
      <c r="B213">
        <v>1500</v>
      </c>
      <c r="C213">
        <v>29.49</v>
      </c>
      <c r="D213" t="s">
        <v>4931</v>
      </c>
      <c r="E213">
        <v>34.57</v>
      </c>
      <c r="F213" t="s">
        <v>4932</v>
      </c>
      <c r="G213">
        <v>61.91</v>
      </c>
      <c r="H213" t="s">
        <v>4933</v>
      </c>
      <c r="I213">
        <v>51.02</v>
      </c>
      <c r="J213" t="s">
        <v>4934</v>
      </c>
    </row>
    <row r="214" spans="1:10" x14ac:dyDescent="0.15">
      <c r="A214" s="21">
        <v>43211.454861111109</v>
      </c>
      <c r="B214">
        <v>1500</v>
      </c>
      <c r="C214">
        <v>31.14</v>
      </c>
      <c r="D214" t="s">
        <v>4935</v>
      </c>
      <c r="E214">
        <v>33.79</v>
      </c>
      <c r="F214" t="s">
        <v>4936</v>
      </c>
      <c r="G214">
        <v>61.57</v>
      </c>
      <c r="H214" t="s">
        <v>4937</v>
      </c>
      <c r="I214">
        <v>51.89</v>
      </c>
      <c r="J214" t="s">
        <v>4938</v>
      </c>
    </row>
    <row r="215" spans="1:10" x14ac:dyDescent="0.15">
      <c r="A215" s="21">
        <v>43211.454861111109</v>
      </c>
      <c r="B215">
        <v>1500</v>
      </c>
      <c r="C215">
        <v>31.53</v>
      </c>
      <c r="D215" t="s">
        <v>4939</v>
      </c>
      <c r="E215">
        <v>35.01</v>
      </c>
      <c r="F215" t="s">
        <v>4940</v>
      </c>
      <c r="G215">
        <v>61.37</v>
      </c>
      <c r="H215" t="s">
        <v>4941</v>
      </c>
      <c r="I215">
        <v>50.23</v>
      </c>
      <c r="J215" t="s">
        <v>4930</v>
      </c>
    </row>
    <row r="216" spans="1:10" x14ac:dyDescent="0.15">
      <c r="A216" s="21">
        <v>43211.454861111109</v>
      </c>
      <c r="B216">
        <v>1500</v>
      </c>
      <c r="C216">
        <v>31.38</v>
      </c>
      <c r="D216" t="s">
        <v>4942</v>
      </c>
      <c r="E216">
        <v>33.86</v>
      </c>
      <c r="F216" t="s">
        <v>4943</v>
      </c>
      <c r="G216">
        <v>61.24</v>
      </c>
      <c r="H216" t="s">
        <v>4944</v>
      </c>
      <c r="I216">
        <v>49.46</v>
      </c>
      <c r="J216" t="s">
        <v>4945</v>
      </c>
    </row>
    <row r="217" spans="1:10" x14ac:dyDescent="0.15">
      <c r="A217" s="21">
        <v>43211.454861111109</v>
      </c>
      <c r="B217">
        <v>1500</v>
      </c>
      <c r="C217">
        <v>31.6</v>
      </c>
      <c r="D217" t="s">
        <v>4946</v>
      </c>
      <c r="E217">
        <v>33.18</v>
      </c>
      <c r="F217" t="s">
        <v>4947</v>
      </c>
      <c r="G217">
        <v>63.18</v>
      </c>
      <c r="H217" t="s">
        <v>4948</v>
      </c>
      <c r="I217">
        <v>51.39</v>
      </c>
      <c r="J217" t="s">
        <v>4949</v>
      </c>
    </row>
    <row r="218" spans="1:10" x14ac:dyDescent="0.15">
      <c r="A218" s="21">
        <v>43211.454861111109</v>
      </c>
      <c r="B218">
        <v>1500</v>
      </c>
      <c r="C218">
        <v>30.08</v>
      </c>
      <c r="D218" t="s">
        <v>4950</v>
      </c>
      <c r="E218">
        <v>34.49</v>
      </c>
      <c r="F218" t="s">
        <v>4951</v>
      </c>
      <c r="G218">
        <v>61.47</v>
      </c>
      <c r="H218" t="s">
        <v>4759</v>
      </c>
      <c r="I218">
        <v>50.49</v>
      </c>
      <c r="J218" t="s">
        <v>4842</v>
      </c>
    </row>
    <row r="219" spans="1:10" x14ac:dyDescent="0.15">
      <c r="A219" s="21">
        <v>43211.454861111109</v>
      </c>
      <c r="B219">
        <v>1500</v>
      </c>
      <c r="C219">
        <v>31.93</v>
      </c>
      <c r="D219" t="s">
        <v>4952</v>
      </c>
      <c r="E219">
        <v>34.479999999999997</v>
      </c>
      <c r="F219" t="s">
        <v>4953</v>
      </c>
      <c r="G219">
        <v>62.81</v>
      </c>
      <c r="H219" t="s">
        <v>4954</v>
      </c>
      <c r="I219">
        <v>50.52</v>
      </c>
      <c r="J219" t="s">
        <v>4903</v>
      </c>
    </row>
    <row r="220" spans="1:10" x14ac:dyDescent="0.15">
      <c r="A220" s="21">
        <v>43211.454861111109</v>
      </c>
      <c r="B220">
        <v>1500</v>
      </c>
      <c r="C220">
        <v>31.76</v>
      </c>
      <c r="D220" t="s">
        <v>4955</v>
      </c>
      <c r="E220">
        <v>33.85</v>
      </c>
      <c r="F220" t="s">
        <v>4956</v>
      </c>
      <c r="G220">
        <v>59</v>
      </c>
      <c r="H220" t="s">
        <v>4957</v>
      </c>
      <c r="I220">
        <v>50.53</v>
      </c>
      <c r="J220" t="s">
        <v>4958</v>
      </c>
    </row>
    <row r="221" spans="1:10" x14ac:dyDescent="0.15">
      <c r="A221" s="21">
        <v>43211.454861111109</v>
      </c>
      <c r="B221">
        <v>1500</v>
      </c>
      <c r="C221">
        <v>31.66</v>
      </c>
      <c r="D221" t="s">
        <v>4959</v>
      </c>
      <c r="E221">
        <v>34.24</v>
      </c>
      <c r="F221" t="s">
        <v>4960</v>
      </c>
      <c r="G221">
        <v>61.6</v>
      </c>
      <c r="H221" t="s">
        <v>4961</v>
      </c>
      <c r="I221">
        <v>51.94</v>
      </c>
      <c r="J221" t="s">
        <v>4962</v>
      </c>
    </row>
    <row r="222" spans="1:10" x14ac:dyDescent="0.15">
      <c r="A222" s="21">
        <v>43211.454861111109</v>
      </c>
      <c r="B222">
        <v>1500</v>
      </c>
      <c r="C222">
        <v>30.82</v>
      </c>
      <c r="D222" t="s">
        <v>4946</v>
      </c>
      <c r="E222">
        <v>34.93</v>
      </c>
      <c r="F222" t="s">
        <v>4792</v>
      </c>
      <c r="G222">
        <v>62.99</v>
      </c>
      <c r="H222" t="s">
        <v>4963</v>
      </c>
      <c r="I222">
        <v>52.74</v>
      </c>
      <c r="J222" t="s">
        <v>4964</v>
      </c>
    </row>
    <row r="223" spans="1:10" x14ac:dyDescent="0.15">
      <c r="A223" s="21">
        <v>43211.454861111109</v>
      </c>
      <c r="B223">
        <v>1499</v>
      </c>
      <c r="C223">
        <v>29.9</v>
      </c>
      <c r="D223" t="s">
        <v>4965</v>
      </c>
      <c r="E223">
        <v>34.229999999999997</v>
      </c>
      <c r="F223" t="s">
        <v>4901</v>
      </c>
      <c r="G223">
        <v>62.25</v>
      </c>
      <c r="H223" t="s">
        <v>4966</v>
      </c>
      <c r="I223">
        <v>51.49</v>
      </c>
      <c r="J223" t="s">
        <v>4967</v>
      </c>
    </row>
    <row r="224" spans="1:10" x14ac:dyDescent="0.15">
      <c r="A224" s="21">
        <v>43211.454861111109</v>
      </c>
      <c r="B224">
        <v>1499</v>
      </c>
      <c r="C224">
        <v>31.18</v>
      </c>
      <c r="D224" t="s">
        <v>4968</v>
      </c>
      <c r="E224">
        <v>34.229999999999997</v>
      </c>
      <c r="F224" t="s">
        <v>4969</v>
      </c>
      <c r="G224">
        <v>60.25</v>
      </c>
      <c r="H224" t="s">
        <v>4970</v>
      </c>
      <c r="I224">
        <v>51.31</v>
      </c>
      <c r="J224" t="s">
        <v>4971</v>
      </c>
    </row>
    <row r="225" spans="1:10" x14ac:dyDescent="0.15">
      <c r="A225" s="21">
        <v>43211.454861111109</v>
      </c>
      <c r="B225">
        <v>1499</v>
      </c>
      <c r="C225">
        <v>31.06</v>
      </c>
      <c r="D225" t="s">
        <v>4972</v>
      </c>
      <c r="E225">
        <v>34.25</v>
      </c>
      <c r="F225" t="s">
        <v>4973</v>
      </c>
      <c r="G225">
        <v>60.19</v>
      </c>
      <c r="H225" t="s">
        <v>4974</v>
      </c>
      <c r="I225">
        <v>51.92</v>
      </c>
      <c r="J225" t="s">
        <v>4975</v>
      </c>
    </row>
    <row r="226" spans="1:10" x14ac:dyDescent="0.15">
      <c r="A226" s="21">
        <v>43211.454861111109</v>
      </c>
      <c r="B226">
        <v>1499</v>
      </c>
      <c r="C226">
        <v>31.68</v>
      </c>
      <c r="D226" t="s">
        <v>4976</v>
      </c>
      <c r="E226">
        <v>34.15</v>
      </c>
      <c r="F226" t="s">
        <v>4977</v>
      </c>
      <c r="G226">
        <v>62.67</v>
      </c>
      <c r="H226" t="s">
        <v>4978</v>
      </c>
      <c r="I226">
        <v>52.11</v>
      </c>
      <c r="J226" t="s">
        <v>4979</v>
      </c>
    </row>
    <row r="227" spans="1:10" x14ac:dyDescent="0.15">
      <c r="A227" s="21">
        <v>43211.454861111109</v>
      </c>
      <c r="B227">
        <v>1499</v>
      </c>
      <c r="C227">
        <v>30.77</v>
      </c>
      <c r="D227" t="s">
        <v>4980</v>
      </c>
      <c r="E227">
        <v>34.909999999999997</v>
      </c>
      <c r="F227" t="s">
        <v>4981</v>
      </c>
      <c r="G227">
        <v>61.45</v>
      </c>
      <c r="H227" t="s">
        <v>4982</v>
      </c>
      <c r="I227">
        <v>51.26</v>
      </c>
      <c r="J227" t="s">
        <v>4983</v>
      </c>
    </row>
    <row r="228" spans="1:10" x14ac:dyDescent="0.15">
      <c r="A228" s="21">
        <v>43211.454861111109</v>
      </c>
      <c r="B228">
        <v>1499</v>
      </c>
      <c r="C228">
        <v>31.37</v>
      </c>
      <c r="D228" t="s">
        <v>4984</v>
      </c>
      <c r="E228">
        <v>33.33</v>
      </c>
      <c r="F228" t="s">
        <v>4985</v>
      </c>
      <c r="G228">
        <v>60.04</v>
      </c>
      <c r="H228" t="s">
        <v>4986</v>
      </c>
      <c r="I228">
        <v>52.41</v>
      </c>
      <c r="J228" t="s">
        <v>4967</v>
      </c>
    </row>
    <row r="229" spans="1:10" x14ac:dyDescent="0.15">
      <c r="A229" s="21">
        <v>43211.454861111109</v>
      </c>
      <c r="B229">
        <v>1499</v>
      </c>
      <c r="C229">
        <v>30.45</v>
      </c>
      <c r="D229" t="s">
        <v>4987</v>
      </c>
      <c r="E229">
        <v>34.409999999999997</v>
      </c>
      <c r="F229" t="s">
        <v>4988</v>
      </c>
      <c r="G229">
        <v>59.98</v>
      </c>
      <c r="H229" t="s">
        <v>4989</v>
      </c>
      <c r="I229">
        <v>52.46</v>
      </c>
      <c r="J229" t="s">
        <v>4990</v>
      </c>
    </row>
    <row r="230" spans="1:10" x14ac:dyDescent="0.15">
      <c r="A230" s="21">
        <v>43211.455555555556</v>
      </c>
      <c r="B230">
        <v>1499</v>
      </c>
      <c r="C230">
        <v>31.8</v>
      </c>
      <c r="D230" t="s">
        <v>4991</v>
      </c>
      <c r="E230">
        <v>34.51</v>
      </c>
      <c r="F230" t="s">
        <v>4992</v>
      </c>
      <c r="G230">
        <v>59.91</v>
      </c>
      <c r="H230" t="s">
        <v>4993</v>
      </c>
      <c r="I230">
        <v>50.52</v>
      </c>
      <c r="J230" t="s">
        <v>4994</v>
      </c>
    </row>
    <row r="231" spans="1:10" x14ac:dyDescent="0.15">
      <c r="A231" s="21">
        <v>43211.455555555556</v>
      </c>
      <c r="B231">
        <v>1499</v>
      </c>
      <c r="C231">
        <v>30.32</v>
      </c>
      <c r="D231" t="s">
        <v>4995</v>
      </c>
      <c r="E231">
        <v>34.22</v>
      </c>
      <c r="F231" t="s">
        <v>4828</v>
      </c>
      <c r="G231">
        <v>61.99</v>
      </c>
      <c r="H231" t="s">
        <v>4996</v>
      </c>
      <c r="I231">
        <v>50.98</v>
      </c>
      <c r="J231" t="s">
        <v>4997</v>
      </c>
    </row>
    <row r="232" spans="1:10" x14ac:dyDescent="0.15">
      <c r="A232" s="21">
        <v>43211.455555555556</v>
      </c>
      <c r="B232">
        <v>1499</v>
      </c>
      <c r="C232">
        <v>31.15</v>
      </c>
      <c r="D232" t="s">
        <v>4998</v>
      </c>
      <c r="E232">
        <v>34.659999999999997</v>
      </c>
      <c r="F232" t="s">
        <v>4999</v>
      </c>
      <c r="G232">
        <v>59.61</v>
      </c>
      <c r="H232" t="s">
        <v>4957</v>
      </c>
      <c r="I232">
        <v>51.89</v>
      </c>
      <c r="J232" t="s">
        <v>5000</v>
      </c>
    </row>
    <row r="233" spans="1:10" x14ac:dyDescent="0.15">
      <c r="A233" s="21">
        <v>43211.455555555556</v>
      </c>
      <c r="B233">
        <v>1499</v>
      </c>
      <c r="C233">
        <v>32.32</v>
      </c>
      <c r="D233" t="s">
        <v>5001</v>
      </c>
      <c r="E233">
        <v>33.33</v>
      </c>
      <c r="F233" t="s">
        <v>5002</v>
      </c>
      <c r="G233">
        <v>60.86</v>
      </c>
      <c r="H233" t="s">
        <v>4861</v>
      </c>
      <c r="I233">
        <v>51.1</v>
      </c>
      <c r="J233" t="s">
        <v>5003</v>
      </c>
    </row>
    <row r="234" spans="1:10" x14ac:dyDescent="0.15">
      <c r="A234" s="21">
        <v>43211.455555555556</v>
      </c>
      <c r="B234">
        <v>1499</v>
      </c>
      <c r="C234">
        <v>30.42</v>
      </c>
      <c r="D234" t="s">
        <v>5004</v>
      </c>
      <c r="E234">
        <v>34.47</v>
      </c>
      <c r="F234" t="s">
        <v>5005</v>
      </c>
      <c r="G234">
        <v>60.05</v>
      </c>
      <c r="H234" t="s">
        <v>5006</v>
      </c>
      <c r="I234">
        <v>50.48</v>
      </c>
      <c r="J234" t="s">
        <v>4854</v>
      </c>
    </row>
    <row r="235" spans="1:10" x14ac:dyDescent="0.15">
      <c r="A235" s="21">
        <v>43211.455555555556</v>
      </c>
      <c r="B235">
        <v>1499</v>
      </c>
      <c r="C235">
        <v>31.25</v>
      </c>
      <c r="D235" t="s">
        <v>5007</v>
      </c>
      <c r="E235">
        <v>33.299999999999997</v>
      </c>
      <c r="F235" t="s">
        <v>5008</v>
      </c>
      <c r="G235">
        <v>61.15</v>
      </c>
      <c r="H235" t="s">
        <v>5009</v>
      </c>
      <c r="I235">
        <v>50.72</v>
      </c>
      <c r="J235" t="s">
        <v>5010</v>
      </c>
    </row>
    <row r="236" spans="1:10" x14ac:dyDescent="0.15">
      <c r="A236" s="21">
        <v>43211.455555555556</v>
      </c>
      <c r="B236">
        <v>1499</v>
      </c>
      <c r="C236">
        <v>29.85</v>
      </c>
      <c r="D236" t="s">
        <v>5011</v>
      </c>
      <c r="E236">
        <v>35.86</v>
      </c>
      <c r="F236" t="s">
        <v>5012</v>
      </c>
      <c r="G236">
        <v>62</v>
      </c>
      <c r="H236" t="s">
        <v>5013</v>
      </c>
      <c r="I236">
        <v>50.98</v>
      </c>
      <c r="J236" t="s">
        <v>5014</v>
      </c>
    </row>
    <row r="237" spans="1:10" x14ac:dyDescent="0.15">
      <c r="A237" s="21">
        <v>43211.455555555556</v>
      </c>
      <c r="B237">
        <v>1499</v>
      </c>
      <c r="C237">
        <v>31.54</v>
      </c>
      <c r="D237" t="s">
        <v>5015</v>
      </c>
      <c r="E237">
        <v>34.01</v>
      </c>
      <c r="F237" t="s">
        <v>5016</v>
      </c>
      <c r="G237">
        <v>59.29</v>
      </c>
      <c r="H237" t="s">
        <v>5017</v>
      </c>
      <c r="I237">
        <v>52.21</v>
      </c>
      <c r="J237" t="s">
        <v>5018</v>
      </c>
    </row>
    <row r="238" spans="1:10" x14ac:dyDescent="0.15">
      <c r="A238" s="21">
        <v>43211.455555555556</v>
      </c>
      <c r="B238">
        <v>1499</v>
      </c>
      <c r="C238">
        <v>30.98</v>
      </c>
      <c r="D238" t="s">
        <v>5019</v>
      </c>
      <c r="E238">
        <v>33.99</v>
      </c>
      <c r="F238" t="s">
        <v>5020</v>
      </c>
      <c r="G238">
        <v>61.37</v>
      </c>
      <c r="H238" t="s">
        <v>5021</v>
      </c>
      <c r="I238">
        <v>50.22</v>
      </c>
      <c r="J238" t="s">
        <v>5022</v>
      </c>
    </row>
    <row r="239" spans="1:10" x14ac:dyDescent="0.15">
      <c r="A239" s="21">
        <v>43211.455555555556</v>
      </c>
      <c r="B239">
        <v>1482</v>
      </c>
      <c r="C239">
        <v>32</v>
      </c>
      <c r="D239" t="s">
        <v>5023</v>
      </c>
      <c r="E239">
        <v>31.79</v>
      </c>
      <c r="F239" t="s">
        <v>5024</v>
      </c>
      <c r="G239">
        <v>59.03</v>
      </c>
      <c r="H239" t="s">
        <v>5025</v>
      </c>
      <c r="I239">
        <v>48.29</v>
      </c>
      <c r="J239" t="s">
        <v>5026</v>
      </c>
    </row>
    <row r="240" spans="1:10" x14ac:dyDescent="0.15">
      <c r="A240" s="21">
        <v>43211.455555555556</v>
      </c>
      <c r="B240">
        <v>1465</v>
      </c>
      <c r="C240">
        <v>31.5</v>
      </c>
      <c r="D240" t="s">
        <v>5027</v>
      </c>
      <c r="E240">
        <v>31.24</v>
      </c>
      <c r="F240" t="s">
        <v>5028</v>
      </c>
      <c r="G240">
        <v>54.8</v>
      </c>
      <c r="H240" t="s">
        <v>5029</v>
      </c>
      <c r="I240">
        <v>46.02</v>
      </c>
      <c r="J240" t="s">
        <v>5030</v>
      </c>
    </row>
    <row r="241" spans="1:10" x14ac:dyDescent="0.15">
      <c r="A241" s="21">
        <v>43211.455555555556</v>
      </c>
      <c r="B241">
        <v>1449</v>
      </c>
      <c r="C241">
        <v>30.48</v>
      </c>
      <c r="D241" t="s">
        <v>5031</v>
      </c>
      <c r="E241">
        <v>30.48</v>
      </c>
      <c r="F241" t="s">
        <v>5032</v>
      </c>
      <c r="G241">
        <v>50.49</v>
      </c>
      <c r="H241" t="s">
        <v>5033</v>
      </c>
      <c r="I241">
        <v>44.15</v>
      </c>
      <c r="J241" t="s">
        <v>5034</v>
      </c>
    </row>
    <row r="242" spans="1:10" x14ac:dyDescent="0.15">
      <c r="A242" s="21">
        <v>43211.455555555556</v>
      </c>
      <c r="B242">
        <v>1434</v>
      </c>
      <c r="C242">
        <v>28.51</v>
      </c>
      <c r="D242" t="s">
        <v>5035</v>
      </c>
      <c r="E242">
        <v>27.66</v>
      </c>
      <c r="F242" t="s">
        <v>5036</v>
      </c>
      <c r="G242">
        <v>48.29</v>
      </c>
      <c r="H242" t="s">
        <v>5037</v>
      </c>
      <c r="I242">
        <v>43.17</v>
      </c>
      <c r="J242" t="s">
        <v>5038</v>
      </c>
    </row>
    <row r="243" spans="1:10" x14ac:dyDescent="0.15">
      <c r="A243" s="21">
        <v>43211.455555555556</v>
      </c>
      <c r="B243">
        <v>1419</v>
      </c>
      <c r="C243">
        <v>26.72</v>
      </c>
      <c r="D243" t="s">
        <v>5039</v>
      </c>
      <c r="E243">
        <v>25.69</v>
      </c>
      <c r="F243" t="s">
        <v>5040</v>
      </c>
      <c r="G243">
        <v>45.18</v>
      </c>
      <c r="H243" t="s">
        <v>5041</v>
      </c>
      <c r="I243">
        <v>41.99</v>
      </c>
      <c r="J243" t="s">
        <v>5042</v>
      </c>
    </row>
    <row r="244" spans="1:10" x14ac:dyDescent="0.15">
      <c r="A244" s="21">
        <v>43211.455555555556</v>
      </c>
      <c r="B244">
        <v>1404</v>
      </c>
      <c r="C244">
        <v>31.22</v>
      </c>
      <c r="D244" t="s">
        <v>5043</v>
      </c>
      <c r="E244">
        <v>23.7</v>
      </c>
      <c r="F244" t="s">
        <v>5044</v>
      </c>
      <c r="G244">
        <v>39.1</v>
      </c>
      <c r="H244" t="s">
        <v>5045</v>
      </c>
      <c r="I244">
        <v>40.11</v>
      </c>
      <c r="J244" t="s">
        <v>5046</v>
      </c>
    </row>
    <row r="245" spans="1:10" x14ac:dyDescent="0.15">
      <c r="A245" s="21">
        <v>43211.455555555556</v>
      </c>
      <c r="B245">
        <v>1390</v>
      </c>
      <c r="C245">
        <v>26.13</v>
      </c>
      <c r="D245" t="s">
        <v>5047</v>
      </c>
      <c r="E245">
        <v>24.03</v>
      </c>
      <c r="F245" t="s">
        <v>5048</v>
      </c>
      <c r="G245">
        <v>33.31</v>
      </c>
      <c r="H245" t="s">
        <v>5049</v>
      </c>
      <c r="I245">
        <v>40.520000000000003</v>
      </c>
      <c r="J245" t="s">
        <v>5050</v>
      </c>
    </row>
    <row r="246" spans="1:10" x14ac:dyDescent="0.15">
      <c r="A246" s="21">
        <v>43211.455555555556</v>
      </c>
      <c r="B246">
        <v>1376</v>
      </c>
      <c r="C246">
        <v>20.28</v>
      </c>
      <c r="D246" t="s">
        <v>5051</v>
      </c>
      <c r="E246">
        <v>27.02</v>
      </c>
      <c r="F246" t="s">
        <v>5052</v>
      </c>
      <c r="G246">
        <v>27.39</v>
      </c>
      <c r="H246" t="s">
        <v>5053</v>
      </c>
      <c r="I246">
        <v>41.55</v>
      </c>
      <c r="J246" t="s">
        <v>5054</v>
      </c>
    </row>
    <row r="247" spans="1:10" x14ac:dyDescent="0.15">
      <c r="A247" s="21">
        <v>43211.455555555556</v>
      </c>
      <c r="B247">
        <v>1363</v>
      </c>
      <c r="C247">
        <v>15.43</v>
      </c>
      <c r="D247" t="s">
        <v>5055</v>
      </c>
      <c r="E247">
        <v>27.93</v>
      </c>
      <c r="F247" t="s">
        <v>5056</v>
      </c>
      <c r="G247">
        <v>28.34</v>
      </c>
      <c r="H247" t="s">
        <v>5057</v>
      </c>
      <c r="I247">
        <v>31.32</v>
      </c>
      <c r="J247" t="s">
        <v>5058</v>
      </c>
    </row>
    <row r="248" spans="1:10" x14ac:dyDescent="0.15">
      <c r="A248" s="21">
        <v>43211.455555555556</v>
      </c>
      <c r="B248">
        <v>1350</v>
      </c>
      <c r="C248">
        <v>29.26</v>
      </c>
      <c r="D248" t="s">
        <v>5059</v>
      </c>
      <c r="E248">
        <v>23.88</v>
      </c>
      <c r="F248" t="s">
        <v>5060</v>
      </c>
      <c r="G248">
        <v>44.12</v>
      </c>
      <c r="H248" t="s">
        <v>5061</v>
      </c>
      <c r="I248">
        <v>21.98</v>
      </c>
      <c r="J248" t="s">
        <v>5062</v>
      </c>
    </row>
    <row r="249" spans="1:10" x14ac:dyDescent="0.15">
      <c r="A249" s="21">
        <v>43211.455555555556</v>
      </c>
      <c r="B249">
        <v>1336</v>
      </c>
      <c r="C249">
        <v>24.87</v>
      </c>
      <c r="D249" t="s">
        <v>5063</v>
      </c>
      <c r="E249">
        <v>20.43</v>
      </c>
      <c r="F249" t="s">
        <v>5064</v>
      </c>
      <c r="G249">
        <v>35.49</v>
      </c>
      <c r="H249" t="s">
        <v>5065</v>
      </c>
      <c r="I249">
        <v>20.76</v>
      </c>
      <c r="J249" t="s">
        <v>5066</v>
      </c>
    </row>
    <row r="250" spans="1:10" x14ac:dyDescent="0.15">
      <c r="A250" s="21">
        <v>43211.455555555556</v>
      </c>
      <c r="B250">
        <v>1323</v>
      </c>
      <c r="C250">
        <v>24.78</v>
      </c>
      <c r="D250" t="s">
        <v>5067</v>
      </c>
      <c r="E250">
        <v>16.45</v>
      </c>
      <c r="F250" t="s">
        <v>5068</v>
      </c>
      <c r="G250">
        <v>32.82</v>
      </c>
      <c r="H250" t="s">
        <v>5069</v>
      </c>
      <c r="I250">
        <v>20.34</v>
      </c>
      <c r="J250" t="s">
        <v>5070</v>
      </c>
    </row>
    <row r="251" spans="1:10" x14ac:dyDescent="0.15">
      <c r="A251" s="21">
        <v>43211.455555555556</v>
      </c>
      <c r="B251">
        <v>1311</v>
      </c>
      <c r="C251">
        <v>24.81</v>
      </c>
      <c r="D251" t="s">
        <v>5071</v>
      </c>
      <c r="E251">
        <v>16.95</v>
      </c>
      <c r="F251" t="s">
        <v>5072</v>
      </c>
      <c r="G251">
        <v>32.78</v>
      </c>
      <c r="H251" t="s">
        <v>5073</v>
      </c>
      <c r="I251">
        <v>19.14</v>
      </c>
      <c r="J251" t="s">
        <v>5074</v>
      </c>
    </row>
    <row r="252" spans="1:10" x14ac:dyDescent="0.15">
      <c r="A252" s="21">
        <v>43211.455555555556</v>
      </c>
      <c r="B252">
        <v>1299</v>
      </c>
      <c r="C252">
        <v>23.59</v>
      </c>
      <c r="D252" t="s">
        <v>5075</v>
      </c>
      <c r="E252">
        <v>18.88</v>
      </c>
      <c r="F252" t="s">
        <v>5076</v>
      </c>
      <c r="G252">
        <v>31.09</v>
      </c>
      <c r="H252" t="s">
        <v>5077</v>
      </c>
      <c r="I252">
        <v>18.48</v>
      </c>
      <c r="J252" t="s">
        <v>5078</v>
      </c>
    </row>
    <row r="253" spans="1:10" x14ac:dyDescent="0.15">
      <c r="A253" s="21">
        <v>43211.455555555556</v>
      </c>
      <c r="B253">
        <v>1286</v>
      </c>
      <c r="C253">
        <v>22.83</v>
      </c>
      <c r="D253" t="s">
        <v>5079</v>
      </c>
      <c r="E253">
        <v>16.829999999999998</v>
      </c>
      <c r="F253" t="s">
        <v>5080</v>
      </c>
      <c r="G253">
        <v>28.67</v>
      </c>
      <c r="H253" t="s">
        <v>5081</v>
      </c>
      <c r="I253">
        <v>18.600000000000001</v>
      </c>
      <c r="J253" t="s">
        <v>5082</v>
      </c>
    </row>
    <row r="254" spans="1:10" x14ac:dyDescent="0.15">
      <c r="A254" s="21">
        <v>43211.455555555556</v>
      </c>
      <c r="B254">
        <v>1274</v>
      </c>
      <c r="C254">
        <v>23.73</v>
      </c>
      <c r="D254" t="s">
        <v>5083</v>
      </c>
      <c r="E254">
        <v>14.52</v>
      </c>
      <c r="F254" t="s">
        <v>5084</v>
      </c>
      <c r="G254">
        <v>27.24</v>
      </c>
      <c r="H254" t="s">
        <v>5085</v>
      </c>
      <c r="I254">
        <v>17.350000000000001</v>
      </c>
      <c r="J254" t="s">
        <v>5086</v>
      </c>
    </row>
    <row r="255" spans="1:10" x14ac:dyDescent="0.15">
      <c r="A255" s="21">
        <v>43211.455555555556</v>
      </c>
      <c r="B255">
        <v>1262</v>
      </c>
      <c r="C255">
        <v>23.05</v>
      </c>
      <c r="D255" t="s">
        <v>5087</v>
      </c>
      <c r="E255">
        <v>15.46</v>
      </c>
      <c r="F255" t="s">
        <v>5088</v>
      </c>
      <c r="G255">
        <v>26.64</v>
      </c>
      <c r="H255" t="s">
        <v>5089</v>
      </c>
      <c r="I255">
        <v>17.47</v>
      </c>
      <c r="J255" t="s">
        <v>5090</v>
      </c>
    </row>
    <row r="256" spans="1:10" x14ac:dyDescent="0.15">
      <c r="A256" s="21">
        <v>43211.455555555556</v>
      </c>
      <c r="B256">
        <v>1251</v>
      </c>
      <c r="C256">
        <v>21.74</v>
      </c>
      <c r="D256" t="s">
        <v>5091</v>
      </c>
      <c r="E256">
        <v>14.53</v>
      </c>
      <c r="F256" t="s">
        <v>5092</v>
      </c>
      <c r="G256">
        <v>24.6</v>
      </c>
      <c r="H256" t="s">
        <v>5093</v>
      </c>
      <c r="I256">
        <v>16.68</v>
      </c>
      <c r="J256" t="s">
        <v>5094</v>
      </c>
    </row>
    <row r="257" spans="1:10" x14ac:dyDescent="0.15">
      <c r="A257" s="21">
        <v>43211.455555555556</v>
      </c>
      <c r="B257">
        <v>1239</v>
      </c>
      <c r="C257">
        <v>21.55</v>
      </c>
      <c r="D257" t="s">
        <v>5095</v>
      </c>
      <c r="E257">
        <v>14.48</v>
      </c>
      <c r="F257" t="s">
        <v>5096</v>
      </c>
      <c r="G257">
        <v>23.66</v>
      </c>
      <c r="H257" t="s">
        <v>5097</v>
      </c>
      <c r="I257">
        <v>15.7</v>
      </c>
      <c r="J257" t="s">
        <v>5098</v>
      </c>
    </row>
    <row r="258" spans="1:10" x14ac:dyDescent="0.15">
      <c r="A258" s="21">
        <v>43211.455555555556</v>
      </c>
      <c r="B258">
        <v>1228</v>
      </c>
      <c r="C258">
        <v>20.53</v>
      </c>
      <c r="D258" t="s">
        <v>5099</v>
      </c>
      <c r="E258">
        <v>15.5</v>
      </c>
      <c r="F258" t="s">
        <v>5100</v>
      </c>
      <c r="G258">
        <v>23.16</v>
      </c>
      <c r="H258" t="s">
        <v>5101</v>
      </c>
      <c r="I258">
        <v>15.08</v>
      </c>
      <c r="J258" t="s">
        <v>5102</v>
      </c>
    </row>
    <row r="259" spans="1:10" x14ac:dyDescent="0.15">
      <c r="A259" s="21">
        <v>43211.455555555556</v>
      </c>
      <c r="B259">
        <v>1217</v>
      </c>
      <c r="C259">
        <v>20.02</v>
      </c>
      <c r="D259" t="s">
        <v>5103</v>
      </c>
      <c r="E259">
        <v>15.72</v>
      </c>
      <c r="F259" t="s">
        <v>5104</v>
      </c>
      <c r="G259">
        <v>22.05</v>
      </c>
      <c r="H259" t="s">
        <v>5105</v>
      </c>
      <c r="I259">
        <v>15.59</v>
      </c>
      <c r="J259" t="s">
        <v>5106</v>
      </c>
    </row>
    <row r="260" spans="1:10" x14ac:dyDescent="0.15">
      <c r="A260" s="21">
        <v>43211.455555555556</v>
      </c>
      <c r="B260">
        <v>1206</v>
      </c>
      <c r="C260">
        <v>19.68</v>
      </c>
      <c r="D260" t="s">
        <v>5107</v>
      </c>
      <c r="E260">
        <v>15.51</v>
      </c>
      <c r="F260" t="s">
        <v>5108</v>
      </c>
      <c r="G260">
        <v>21.66</v>
      </c>
      <c r="H260" t="s">
        <v>5109</v>
      </c>
      <c r="I260">
        <v>15.6</v>
      </c>
      <c r="J260" t="s">
        <v>5110</v>
      </c>
    </row>
    <row r="261" spans="1:10" x14ac:dyDescent="0.15">
      <c r="A261" s="21">
        <v>43211.455555555556</v>
      </c>
      <c r="B261">
        <v>1196</v>
      </c>
      <c r="C261">
        <v>19.37</v>
      </c>
      <c r="D261" t="s">
        <v>5111</v>
      </c>
      <c r="E261">
        <v>16.32</v>
      </c>
      <c r="F261" t="s">
        <v>5112</v>
      </c>
      <c r="G261">
        <v>22.14</v>
      </c>
      <c r="H261" t="s">
        <v>5113</v>
      </c>
      <c r="I261">
        <v>15.26</v>
      </c>
      <c r="J261" t="s">
        <v>5114</v>
      </c>
    </row>
    <row r="262" spans="1:10" x14ac:dyDescent="0.15">
      <c r="A262" s="21">
        <v>43211.455555555556</v>
      </c>
      <c r="B262">
        <v>1186</v>
      </c>
      <c r="C262">
        <v>20.28</v>
      </c>
      <c r="D262" t="s">
        <v>5115</v>
      </c>
      <c r="E262">
        <v>16.649999999999999</v>
      </c>
      <c r="F262" t="s">
        <v>5116</v>
      </c>
      <c r="G262">
        <v>19.87</v>
      </c>
      <c r="H262" t="s">
        <v>5117</v>
      </c>
      <c r="I262">
        <v>14.79</v>
      </c>
      <c r="J262" t="s">
        <v>5118</v>
      </c>
    </row>
    <row r="263" spans="1:10" x14ac:dyDescent="0.15">
      <c r="A263" s="21">
        <v>43211.455555555556</v>
      </c>
      <c r="B263">
        <v>1175</v>
      </c>
      <c r="C263">
        <v>20.58</v>
      </c>
      <c r="D263" t="s">
        <v>5119</v>
      </c>
      <c r="E263">
        <v>14.43</v>
      </c>
      <c r="F263" t="s">
        <v>5120</v>
      </c>
      <c r="G263">
        <v>19.8</v>
      </c>
      <c r="H263" t="s">
        <v>5121</v>
      </c>
      <c r="I263">
        <v>15.21</v>
      </c>
      <c r="J263" t="s">
        <v>5122</v>
      </c>
    </row>
    <row r="264" spans="1:10" x14ac:dyDescent="0.15">
      <c r="A264" s="21">
        <v>43211.455555555556</v>
      </c>
      <c r="B264">
        <v>1165</v>
      </c>
      <c r="C264">
        <v>20.58</v>
      </c>
      <c r="D264" t="s">
        <v>5123</v>
      </c>
      <c r="E264">
        <v>17.239999999999998</v>
      </c>
      <c r="F264" t="s">
        <v>5124</v>
      </c>
      <c r="G264">
        <v>20.63</v>
      </c>
      <c r="H264" t="s">
        <v>5125</v>
      </c>
      <c r="I264">
        <v>16.59</v>
      </c>
      <c r="J264" t="s">
        <v>5126</v>
      </c>
    </row>
    <row r="265" spans="1:10" x14ac:dyDescent="0.15">
      <c r="A265" s="21">
        <v>43211.455555555556</v>
      </c>
      <c r="B265">
        <v>1147</v>
      </c>
      <c r="C265">
        <v>19.920000000000002</v>
      </c>
      <c r="D265" t="s">
        <v>5127</v>
      </c>
      <c r="E265">
        <v>11.27</v>
      </c>
      <c r="F265" t="s">
        <v>5128</v>
      </c>
      <c r="G265">
        <v>18.95</v>
      </c>
      <c r="H265" t="s">
        <v>5129</v>
      </c>
      <c r="I265">
        <v>13.15</v>
      </c>
      <c r="J265" t="s">
        <v>5130</v>
      </c>
    </row>
    <row r="266" spans="1:10" x14ac:dyDescent="0.15">
      <c r="A266" s="21">
        <v>43211.455555555556</v>
      </c>
      <c r="B266">
        <v>1134</v>
      </c>
      <c r="C266">
        <v>18.670000000000002</v>
      </c>
      <c r="D266" t="s">
        <v>5131</v>
      </c>
      <c r="E266">
        <v>11.15</v>
      </c>
      <c r="F266" t="s">
        <v>5132</v>
      </c>
      <c r="G266">
        <v>18.43</v>
      </c>
      <c r="H266" t="s">
        <v>5133</v>
      </c>
      <c r="I266">
        <v>12.87</v>
      </c>
      <c r="J266" t="s">
        <v>5134</v>
      </c>
    </row>
    <row r="267" spans="1:10" x14ac:dyDescent="0.15">
      <c r="A267" s="21">
        <v>43211.455555555556</v>
      </c>
      <c r="B267">
        <v>1122</v>
      </c>
      <c r="C267">
        <v>18.88</v>
      </c>
      <c r="D267" t="s">
        <v>5135</v>
      </c>
      <c r="E267">
        <v>11.85</v>
      </c>
      <c r="F267" t="s">
        <v>5136</v>
      </c>
      <c r="G267">
        <v>17.559999999999999</v>
      </c>
      <c r="H267" t="s">
        <v>5137</v>
      </c>
      <c r="I267">
        <v>13.21</v>
      </c>
      <c r="J267" t="s">
        <v>5138</v>
      </c>
    </row>
    <row r="268" spans="1:10" x14ac:dyDescent="0.15">
      <c r="A268" s="21">
        <v>43211.455555555556</v>
      </c>
      <c r="B268">
        <v>1110</v>
      </c>
      <c r="C268">
        <v>20.02</v>
      </c>
      <c r="D268" t="s">
        <v>5139</v>
      </c>
      <c r="E268">
        <v>10.24</v>
      </c>
      <c r="F268" t="s">
        <v>5140</v>
      </c>
      <c r="G268">
        <v>17.559999999999999</v>
      </c>
      <c r="H268" t="s">
        <v>5141</v>
      </c>
      <c r="I268">
        <v>12.8</v>
      </c>
      <c r="J268" t="s">
        <v>5142</v>
      </c>
    </row>
    <row r="269" spans="1:10" x14ac:dyDescent="0.15">
      <c r="A269" s="21">
        <v>43211.455555555556</v>
      </c>
      <c r="B269">
        <v>1098</v>
      </c>
      <c r="C269">
        <v>19.34</v>
      </c>
      <c r="D269" t="s">
        <v>5143</v>
      </c>
      <c r="E269">
        <v>10.88</v>
      </c>
      <c r="F269" t="s">
        <v>5144</v>
      </c>
      <c r="G269">
        <v>17.43</v>
      </c>
      <c r="H269" t="s">
        <v>5145</v>
      </c>
      <c r="I269">
        <v>12.41</v>
      </c>
      <c r="J269" t="s">
        <v>5146</v>
      </c>
    </row>
    <row r="270" spans="1:10" x14ac:dyDescent="0.15">
      <c r="A270" s="21">
        <v>43211.455555555556</v>
      </c>
      <c r="B270">
        <v>1087</v>
      </c>
      <c r="C270">
        <v>19.96</v>
      </c>
      <c r="D270" t="s">
        <v>5147</v>
      </c>
      <c r="E270">
        <v>10.88</v>
      </c>
      <c r="F270" t="s">
        <v>5148</v>
      </c>
      <c r="G270">
        <v>17.989999999999998</v>
      </c>
      <c r="H270" t="s">
        <v>5149</v>
      </c>
      <c r="I270">
        <v>13.24</v>
      </c>
      <c r="J270" t="s">
        <v>5150</v>
      </c>
    </row>
    <row r="271" spans="1:10" x14ac:dyDescent="0.15">
      <c r="A271" s="21">
        <v>43211.455555555556</v>
      </c>
      <c r="B271">
        <v>1075</v>
      </c>
      <c r="C271">
        <v>21.17</v>
      </c>
      <c r="D271" t="s">
        <v>5151</v>
      </c>
      <c r="E271">
        <v>10.23</v>
      </c>
      <c r="F271" t="s">
        <v>5152</v>
      </c>
      <c r="G271">
        <v>17.54</v>
      </c>
      <c r="H271" t="s">
        <v>5153</v>
      </c>
      <c r="I271">
        <v>13.95</v>
      </c>
      <c r="J271" t="s">
        <v>5154</v>
      </c>
    </row>
    <row r="272" spans="1:10" x14ac:dyDescent="0.15">
      <c r="A272" s="21">
        <v>43211.456250000003</v>
      </c>
      <c r="B272">
        <v>1065</v>
      </c>
      <c r="C272">
        <v>21.31</v>
      </c>
      <c r="D272" t="s">
        <v>5155</v>
      </c>
      <c r="E272">
        <v>11.02</v>
      </c>
      <c r="F272" t="s">
        <v>5156</v>
      </c>
      <c r="G272">
        <v>17.809999999999999</v>
      </c>
      <c r="H272" t="s">
        <v>5157</v>
      </c>
      <c r="I272">
        <v>13.2</v>
      </c>
      <c r="J272" t="s">
        <v>5158</v>
      </c>
    </row>
    <row r="273" spans="1:10" x14ac:dyDescent="0.15">
      <c r="A273" s="21">
        <v>43211.456250000003</v>
      </c>
      <c r="B273">
        <v>1054</v>
      </c>
      <c r="C273">
        <v>20.07</v>
      </c>
      <c r="D273" t="s">
        <v>5159</v>
      </c>
      <c r="E273">
        <v>10.43</v>
      </c>
      <c r="F273" t="s">
        <v>5160</v>
      </c>
      <c r="G273">
        <v>15.96</v>
      </c>
      <c r="H273" t="s">
        <v>5161</v>
      </c>
      <c r="I273">
        <v>13.59</v>
      </c>
      <c r="J273" t="s">
        <v>5162</v>
      </c>
    </row>
    <row r="274" spans="1:10" x14ac:dyDescent="0.15">
      <c r="A274" s="21">
        <v>43211.456250000003</v>
      </c>
      <c r="B274">
        <v>1043</v>
      </c>
      <c r="C274">
        <v>19.649999999999999</v>
      </c>
      <c r="D274" t="s">
        <v>5163</v>
      </c>
      <c r="E274">
        <v>9.39</v>
      </c>
      <c r="F274" t="s">
        <v>5164</v>
      </c>
      <c r="G274">
        <v>14.81</v>
      </c>
      <c r="H274" t="s">
        <v>5165</v>
      </c>
      <c r="I274">
        <v>12.99</v>
      </c>
      <c r="J274" t="s">
        <v>5166</v>
      </c>
    </row>
    <row r="275" spans="1:10" x14ac:dyDescent="0.15">
      <c r="A275" s="21">
        <v>43211.456250000003</v>
      </c>
      <c r="B275">
        <v>1032</v>
      </c>
      <c r="C275">
        <v>18.190000000000001</v>
      </c>
      <c r="D275" t="s">
        <v>5167</v>
      </c>
      <c r="E275">
        <v>10.27</v>
      </c>
      <c r="F275" t="s">
        <v>5168</v>
      </c>
      <c r="G275">
        <v>13.4</v>
      </c>
      <c r="H275" t="s">
        <v>5169</v>
      </c>
      <c r="I275">
        <v>13.09</v>
      </c>
      <c r="J275" t="s">
        <v>5170</v>
      </c>
    </row>
    <row r="276" spans="1:10" x14ac:dyDescent="0.15">
      <c r="A276" s="21">
        <v>43211.456250000003</v>
      </c>
      <c r="B276">
        <v>1022</v>
      </c>
      <c r="C276">
        <v>18.940000000000001</v>
      </c>
      <c r="D276" t="s">
        <v>5171</v>
      </c>
      <c r="E276">
        <v>10.89</v>
      </c>
      <c r="F276" t="s">
        <v>5172</v>
      </c>
      <c r="G276">
        <v>12.07</v>
      </c>
      <c r="H276" t="s">
        <v>5173</v>
      </c>
      <c r="I276">
        <v>13.96</v>
      </c>
      <c r="J276" t="s">
        <v>5174</v>
      </c>
    </row>
    <row r="277" spans="1:10" x14ac:dyDescent="0.15">
      <c r="A277" s="21">
        <v>43211.456250000003</v>
      </c>
      <c r="B277">
        <v>1012</v>
      </c>
      <c r="C277">
        <v>20.03</v>
      </c>
      <c r="D277" t="s">
        <v>5175</v>
      </c>
      <c r="E277">
        <v>11.76</v>
      </c>
      <c r="F277" t="s">
        <v>5176</v>
      </c>
      <c r="G277">
        <v>12.07</v>
      </c>
      <c r="H277" t="s">
        <v>5173</v>
      </c>
      <c r="I277">
        <v>13.96</v>
      </c>
      <c r="J277" t="s">
        <v>5174</v>
      </c>
    </row>
    <row r="278" spans="1:10" x14ac:dyDescent="0.15">
      <c r="A278" s="21">
        <v>43211.456250000003</v>
      </c>
      <c r="B278">
        <v>1012</v>
      </c>
      <c r="C278">
        <v>20.03</v>
      </c>
      <c r="D278" t="s">
        <v>5175</v>
      </c>
      <c r="E278">
        <v>11.76</v>
      </c>
      <c r="F278" t="s">
        <v>5176</v>
      </c>
      <c r="G278">
        <v>11.3</v>
      </c>
      <c r="H278" t="s">
        <v>5177</v>
      </c>
      <c r="I278">
        <v>15.16</v>
      </c>
      <c r="J278" t="s">
        <v>5178</v>
      </c>
    </row>
    <row r="279" spans="1:10" x14ac:dyDescent="0.15">
      <c r="A279" s="21">
        <v>43211.456250000003</v>
      </c>
      <c r="B279">
        <v>1002</v>
      </c>
      <c r="C279">
        <v>21.69</v>
      </c>
      <c r="D279" t="s">
        <v>5179</v>
      </c>
      <c r="E279">
        <v>12.8</v>
      </c>
      <c r="F279" t="s">
        <v>5180</v>
      </c>
      <c r="G279">
        <v>11.3</v>
      </c>
      <c r="H279" t="s">
        <v>5177</v>
      </c>
      <c r="I279">
        <v>15.16</v>
      </c>
      <c r="J279" t="s">
        <v>5178</v>
      </c>
    </row>
    <row r="280" spans="1:10" x14ac:dyDescent="0.15">
      <c r="A280" s="21">
        <v>43211.456250000003</v>
      </c>
      <c r="B280">
        <v>992.4</v>
      </c>
      <c r="C280">
        <v>21.69</v>
      </c>
      <c r="D280" t="s">
        <v>5179</v>
      </c>
      <c r="E280">
        <v>12.8</v>
      </c>
      <c r="F280" t="s">
        <v>5180</v>
      </c>
      <c r="G280">
        <v>9.27</v>
      </c>
      <c r="H280" t="s">
        <v>5181</v>
      </c>
      <c r="I280">
        <v>17.62</v>
      </c>
      <c r="J280" t="s">
        <v>5182</v>
      </c>
    </row>
    <row r="281" spans="1:10" x14ac:dyDescent="0.15">
      <c r="A281" s="21">
        <v>43211.456250000003</v>
      </c>
      <c r="B281">
        <v>983.2</v>
      </c>
      <c r="C281">
        <v>25.41</v>
      </c>
      <c r="D281" t="s">
        <v>5183</v>
      </c>
      <c r="E281">
        <v>15.95</v>
      </c>
      <c r="F281" t="s">
        <v>5184</v>
      </c>
      <c r="G281">
        <v>9.27</v>
      </c>
      <c r="H281" t="s">
        <v>5181</v>
      </c>
      <c r="I281">
        <v>17.62</v>
      </c>
      <c r="J281" t="s">
        <v>5182</v>
      </c>
    </row>
    <row r="282" spans="1:10" x14ac:dyDescent="0.15">
      <c r="A282" s="21">
        <v>43211.456250000003</v>
      </c>
      <c r="B282">
        <v>973.6</v>
      </c>
      <c r="C282">
        <v>25.41</v>
      </c>
      <c r="D282" t="s">
        <v>5183</v>
      </c>
      <c r="E282">
        <v>15.95</v>
      </c>
      <c r="F282" t="s">
        <v>5184</v>
      </c>
      <c r="G282">
        <v>11.04</v>
      </c>
      <c r="H282" t="s">
        <v>5185</v>
      </c>
      <c r="I282">
        <v>22.13</v>
      </c>
      <c r="J282" t="s">
        <v>5186</v>
      </c>
    </row>
    <row r="283" spans="1:10" x14ac:dyDescent="0.15">
      <c r="A283" s="21">
        <v>43211.456250000003</v>
      </c>
      <c r="B283">
        <v>964.2</v>
      </c>
      <c r="C283">
        <v>30.37</v>
      </c>
      <c r="D283" t="s">
        <v>5187</v>
      </c>
      <c r="E283">
        <v>21.88</v>
      </c>
      <c r="F283" t="s">
        <v>5188</v>
      </c>
      <c r="G283">
        <v>11.04</v>
      </c>
      <c r="H283" t="s">
        <v>5185</v>
      </c>
      <c r="I283">
        <v>22.13</v>
      </c>
      <c r="J283" t="s">
        <v>5186</v>
      </c>
    </row>
    <row r="284" spans="1:10" x14ac:dyDescent="0.15">
      <c r="A284" s="21">
        <v>43211.456250000003</v>
      </c>
      <c r="B284">
        <v>955</v>
      </c>
      <c r="C284">
        <v>30.37</v>
      </c>
      <c r="D284" t="s">
        <v>5187</v>
      </c>
      <c r="E284">
        <v>21.88</v>
      </c>
      <c r="F284" t="s">
        <v>5188</v>
      </c>
      <c r="G284">
        <v>17.739999999999998</v>
      </c>
      <c r="H284" t="s">
        <v>5189</v>
      </c>
      <c r="I284">
        <v>27.96</v>
      </c>
      <c r="J284" t="s">
        <v>5190</v>
      </c>
    </row>
    <row r="285" spans="1:10" x14ac:dyDescent="0.15">
      <c r="A285" s="21">
        <v>43211.456250000003</v>
      </c>
      <c r="B285">
        <v>946.1</v>
      </c>
      <c r="C285">
        <v>35.69</v>
      </c>
      <c r="D285" t="s">
        <v>5191</v>
      </c>
      <c r="E285">
        <v>24.64</v>
      </c>
      <c r="F285" t="s">
        <v>5192</v>
      </c>
      <c r="G285">
        <v>17.739999999999998</v>
      </c>
      <c r="H285" t="s">
        <v>5189</v>
      </c>
      <c r="I285">
        <v>27.96</v>
      </c>
      <c r="J285" t="s">
        <v>5190</v>
      </c>
    </row>
    <row r="286" spans="1:10" x14ac:dyDescent="0.15">
      <c r="A286" s="21">
        <v>43211.456250000003</v>
      </c>
      <c r="B286">
        <v>937.1</v>
      </c>
      <c r="C286">
        <v>35.69</v>
      </c>
      <c r="D286" t="s">
        <v>5191</v>
      </c>
      <c r="E286">
        <v>24.64</v>
      </c>
      <c r="F286" t="s">
        <v>5192</v>
      </c>
      <c r="G286">
        <v>15.66</v>
      </c>
      <c r="H286" t="s">
        <v>5193</v>
      </c>
      <c r="I286">
        <v>6.13</v>
      </c>
      <c r="J286" t="s">
        <v>5194</v>
      </c>
    </row>
    <row r="287" spans="1:10" x14ac:dyDescent="0.15">
      <c r="A287" s="21">
        <v>43211.456250000003</v>
      </c>
      <c r="B287">
        <v>923.1</v>
      </c>
      <c r="C287">
        <v>12.6</v>
      </c>
      <c r="D287" t="s">
        <v>5195</v>
      </c>
      <c r="E287">
        <v>10.23</v>
      </c>
      <c r="F287" t="s">
        <v>5196</v>
      </c>
      <c r="G287">
        <v>18.07</v>
      </c>
      <c r="H287" t="s">
        <v>5197</v>
      </c>
      <c r="I287">
        <v>4.4800000000000004</v>
      </c>
      <c r="J287" t="s">
        <v>5198</v>
      </c>
    </row>
    <row r="288" spans="1:10" x14ac:dyDescent="0.15">
      <c r="A288" s="21">
        <v>43211.456250000003</v>
      </c>
      <c r="B288">
        <v>904</v>
      </c>
      <c r="C288">
        <v>11.49</v>
      </c>
      <c r="D288" t="s">
        <v>5199</v>
      </c>
      <c r="E288">
        <v>7.59</v>
      </c>
      <c r="F288" t="s">
        <v>5200</v>
      </c>
      <c r="G288">
        <v>15.5</v>
      </c>
      <c r="H288" t="s">
        <v>5201</v>
      </c>
      <c r="I288">
        <v>4.87</v>
      </c>
      <c r="J288" t="s">
        <v>5202</v>
      </c>
    </row>
    <row r="289" spans="1:10" x14ac:dyDescent="0.15">
      <c r="A289" s="21">
        <v>43211.456250000003</v>
      </c>
      <c r="B289">
        <v>885.2</v>
      </c>
      <c r="C289">
        <v>10.49</v>
      </c>
      <c r="D289" t="s">
        <v>5203</v>
      </c>
      <c r="E289">
        <v>8.06</v>
      </c>
      <c r="F289" t="s">
        <v>5204</v>
      </c>
      <c r="G289">
        <v>13.62</v>
      </c>
      <c r="H289" t="s">
        <v>5205</v>
      </c>
      <c r="I289">
        <v>5.32</v>
      </c>
      <c r="J289" t="s">
        <v>5206</v>
      </c>
    </row>
    <row r="290" spans="1:10" x14ac:dyDescent="0.15">
      <c r="A290" s="21">
        <v>43211.456250000003</v>
      </c>
      <c r="B290">
        <v>867</v>
      </c>
      <c r="C290">
        <v>10.77</v>
      </c>
      <c r="D290" t="s">
        <v>5207</v>
      </c>
      <c r="E290">
        <v>11.48</v>
      </c>
      <c r="F290" t="s">
        <v>5208</v>
      </c>
      <c r="G290">
        <v>11.88</v>
      </c>
      <c r="H290" t="s">
        <v>5209</v>
      </c>
      <c r="I290">
        <v>8.1999999999999993</v>
      </c>
      <c r="J290" t="s">
        <v>5210</v>
      </c>
    </row>
    <row r="291" spans="1:10" x14ac:dyDescent="0.15">
      <c r="A291" s="21">
        <v>43211.456250000003</v>
      </c>
      <c r="B291">
        <v>849.7</v>
      </c>
      <c r="C291">
        <v>10.07</v>
      </c>
      <c r="D291" t="s">
        <v>5211</v>
      </c>
      <c r="E291">
        <v>10.88</v>
      </c>
      <c r="F291" t="s">
        <v>5212</v>
      </c>
      <c r="G291">
        <v>14.16</v>
      </c>
      <c r="H291" t="s">
        <v>5213</v>
      </c>
      <c r="I291">
        <v>9.01</v>
      </c>
      <c r="J291" t="s">
        <v>5214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94F78-7C46-45D9-A909-9ABEB00F3C83}">
  <sheetPr codeName="Sheet3"/>
  <dimension ref="A1:G15"/>
  <sheetViews>
    <sheetView tabSelected="1" workbookViewId="0">
      <selection activeCell="C13" sqref="C13"/>
    </sheetView>
  </sheetViews>
  <sheetFormatPr defaultRowHeight="13.5" x14ac:dyDescent="0.15"/>
  <cols>
    <col min="1" max="1" width="27.625" bestFit="1" customWidth="1"/>
    <col min="2" max="2" width="30.375" customWidth="1"/>
    <col min="3" max="3" width="23.875" bestFit="1" customWidth="1"/>
    <col min="4" max="4" width="20.25" bestFit="1" customWidth="1"/>
    <col min="5" max="5" width="19.125" bestFit="1" customWidth="1"/>
    <col min="6" max="7" width="15.125" bestFit="1" customWidth="1"/>
  </cols>
  <sheetData>
    <row r="1" spans="1:7" s="26" customFormat="1" x14ac:dyDescent="0.15">
      <c r="A1" s="26" t="s">
        <v>2403</v>
      </c>
      <c r="B1" s="26" t="s">
        <v>2404</v>
      </c>
      <c r="C1" s="26" t="s">
        <v>2405</v>
      </c>
      <c r="D1" s="26" t="s">
        <v>2412</v>
      </c>
    </row>
    <row r="2" spans="1:7" x14ac:dyDescent="0.15">
      <c r="B2" t="s">
        <v>2398</v>
      </c>
      <c r="C2" s="26" t="s">
        <v>2406</v>
      </c>
      <c r="D2" s="26" t="s">
        <v>2400</v>
      </c>
      <c r="E2" s="26" t="s">
        <v>2399</v>
      </c>
      <c r="F2" t="s">
        <v>2407</v>
      </c>
      <c r="G2" t="s">
        <v>2408</v>
      </c>
    </row>
    <row r="3" spans="1:7" s="26" customFormat="1" x14ac:dyDescent="0.15">
      <c r="A3" s="1" t="s">
        <v>2401</v>
      </c>
      <c r="B3" s="14" t="s">
        <v>2410</v>
      </c>
      <c r="C3" s="26" t="s">
        <v>2409</v>
      </c>
    </row>
    <row r="4" spans="1:7" x14ac:dyDescent="0.15">
      <c r="A4" s="1" t="s">
        <v>805</v>
      </c>
      <c r="B4" t="s">
        <v>2402</v>
      </c>
      <c r="C4" t="s">
        <v>2411</v>
      </c>
      <c r="D4" t="s">
        <v>806</v>
      </c>
    </row>
    <row r="5" spans="1:7" s="26" customFormat="1" x14ac:dyDescent="0.15">
      <c r="A5" s="1" t="s">
        <v>2413</v>
      </c>
      <c r="C5" s="26" t="s">
        <v>2414</v>
      </c>
    </row>
    <row r="6" spans="1:7" x14ac:dyDescent="0.15">
      <c r="A6" s="1" t="s">
        <v>804</v>
      </c>
      <c r="C6" t="s">
        <v>802</v>
      </c>
      <c r="D6" t="s">
        <v>803</v>
      </c>
    </row>
    <row r="7" spans="1:7" s="26" customFormat="1" x14ac:dyDescent="0.15">
      <c r="A7" s="1" t="s">
        <v>2415</v>
      </c>
      <c r="B7" s="26" t="s">
        <v>2417</v>
      </c>
      <c r="C7" s="26" t="s">
        <v>2418</v>
      </c>
      <c r="D7" s="26" t="s">
        <v>2419</v>
      </c>
      <c r="E7" s="26" t="s">
        <v>2420</v>
      </c>
    </row>
    <row r="8" spans="1:7" x14ac:dyDescent="0.15">
      <c r="A8" s="1" t="s">
        <v>2421</v>
      </c>
    </row>
    <row r="9" spans="1:7" s="26" customFormat="1" x14ac:dyDescent="0.15">
      <c r="A9" s="1" t="s">
        <v>4104</v>
      </c>
      <c r="B9" s="26" t="s">
        <v>5226</v>
      </c>
    </row>
    <row r="10" spans="1:7" s="30" customFormat="1" x14ac:dyDescent="0.15">
      <c r="A10" s="1" t="s">
        <v>5227</v>
      </c>
      <c r="B10" s="30" t="s">
        <v>5228</v>
      </c>
      <c r="C10" s="40" t="s">
        <v>5229</v>
      </c>
    </row>
    <row r="12" spans="1:7" x14ac:dyDescent="0.15">
      <c r="A12" t="s">
        <v>2393</v>
      </c>
      <c r="B12" t="s">
        <v>2391</v>
      </c>
      <c r="C12" t="s">
        <v>2392</v>
      </c>
      <c r="D12" s="24" t="s">
        <v>2397</v>
      </c>
      <c r="E12" s="24" t="s">
        <v>2391</v>
      </c>
      <c r="F12" s="24" t="s">
        <v>2392</v>
      </c>
    </row>
    <row r="13" spans="1:7" x14ac:dyDescent="0.15">
      <c r="A13" t="s">
        <v>2395</v>
      </c>
      <c r="B13">
        <v>3.5</v>
      </c>
      <c r="C13">
        <v>4.8</v>
      </c>
    </row>
    <row r="14" spans="1:7" x14ac:dyDescent="0.15">
      <c r="A14" s="24" t="s">
        <v>2396</v>
      </c>
      <c r="B14">
        <v>3.5</v>
      </c>
      <c r="C14">
        <v>4.8</v>
      </c>
    </row>
    <row r="15" spans="1:7" x14ac:dyDescent="0.15">
      <c r="A15" s="24" t="s">
        <v>2394</v>
      </c>
      <c r="B15" s="24">
        <v>3.15</v>
      </c>
      <c r="C15" s="24">
        <v>1.3</v>
      </c>
      <c r="E15">
        <v>2.63</v>
      </c>
      <c r="F15">
        <v>1.55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F76A8-C69F-45C3-B76D-9540624AD863}">
  <sheetPr codeName="Sheet4"/>
  <dimension ref="A1:J475"/>
  <sheetViews>
    <sheetView workbookViewId="0">
      <selection activeCell="H5" sqref="H5"/>
    </sheetView>
  </sheetViews>
  <sheetFormatPr defaultRowHeight="13.5" x14ac:dyDescent="0.15"/>
  <cols>
    <col min="1" max="1" width="18.375" style="28" bestFit="1" customWidth="1"/>
    <col min="2" max="2" width="11.625" bestFit="1" customWidth="1"/>
    <col min="3" max="3" width="9.875" bestFit="1" customWidth="1"/>
    <col min="4" max="4" width="13.625" bestFit="1" customWidth="1"/>
    <col min="5" max="5" width="13" bestFit="1" customWidth="1"/>
    <col min="6" max="6" width="12.625" customWidth="1"/>
    <col min="7" max="7" width="8.875" customWidth="1"/>
    <col min="8" max="8" width="14.75" bestFit="1" customWidth="1"/>
    <col min="9" max="9" width="9.125" customWidth="1"/>
    <col min="10" max="10" width="12.125" customWidth="1"/>
  </cols>
  <sheetData>
    <row r="1" spans="1:10" x14ac:dyDescent="0.15">
      <c r="A1" s="27" t="s">
        <v>76</v>
      </c>
      <c r="B1" s="44" t="s">
        <v>77</v>
      </c>
      <c r="C1" s="31" t="s">
        <v>78</v>
      </c>
      <c r="D1" s="31"/>
      <c r="E1" s="31" t="s">
        <v>79</v>
      </c>
      <c r="F1" s="31"/>
      <c r="G1" s="31" t="s">
        <v>807</v>
      </c>
      <c r="H1" s="31"/>
      <c r="I1" s="31" t="s">
        <v>808</v>
      </c>
      <c r="J1" s="31"/>
    </row>
    <row r="2" spans="1:10" x14ac:dyDescent="0.15">
      <c r="A2" s="27"/>
      <c r="B2" s="44"/>
      <c r="C2" s="30" t="s">
        <v>80</v>
      </c>
      <c r="D2" s="30" t="s">
        <v>81</v>
      </c>
      <c r="E2" s="30" t="s">
        <v>80</v>
      </c>
      <c r="F2" s="30" t="s">
        <v>81</v>
      </c>
      <c r="G2" s="30" t="s">
        <v>80</v>
      </c>
      <c r="H2" s="30" t="s">
        <v>81</v>
      </c>
      <c r="I2" s="30" t="s">
        <v>80</v>
      </c>
      <c r="J2" s="30" t="s">
        <v>81</v>
      </c>
    </row>
    <row r="3" spans="1:10" s="30" customFormat="1" x14ac:dyDescent="0.15">
      <c r="A3" s="28"/>
      <c r="B3" s="30">
        <v>160</v>
      </c>
      <c r="C3" s="30">
        <f>B3</f>
        <v>160</v>
      </c>
      <c r="D3" s="30">
        <f t="shared" ref="D3:J3" si="0">C3</f>
        <v>160</v>
      </c>
      <c r="E3" s="30">
        <f t="shared" si="0"/>
        <v>160</v>
      </c>
      <c r="F3" s="30">
        <f t="shared" si="0"/>
        <v>160</v>
      </c>
      <c r="G3" s="30">
        <f t="shared" si="0"/>
        <v>160</v>
      </c>
      <c r="H3" s="30">
        <f t="shared" si="0"/>
        <v>160</v>
      </c>
      <c r="I3" s="30">
        <f t="shared" si="0"/>
        <v>160</v>
      </c>
      <c r="J3" s="30">
        <f t="shared" si="0"/>
        <v>160</v>
      </c>
    </row>
    <row r="4" spans="1:10" s="30" customFormat="1" x14ac:dyDescent="0.15">
      <c r="A4" s="28"/>
      <c r="B4" s="30">
        <v>315</v>
      </c>
      <c r="C4" s="30">
        <f>B4</f>
        <v>315</v>
      </c>
      <c r="D4" s="30">
        <f t="shared" ref="D4:J4" si="1">C4</f>
        <v>315</v>
      </c>
      <c r="E4" s="30">
        <f t="shared" si="1"/>
        <v>315</v>
      </c>
      <c r="F4" s="30">
        <f t="shared" si="1"/>
        <v>315</v>
      </c>
      <c r="G4" s="30">
        <f t="shared" si="1"/>
        <v>315</v>
      </c>
      <c r="H4" s="30">
        <f t="shared" si="1"/>
        <v>315</v>
      </c>
      <c r="I4" s="30">
        <f t="shared" si="1"/>
        <v>315</v>
      </c>
      <c r="J4" s="30">
        <f t="shared" si="1"/>
        <v>315</v>
      </c>
    </row>
    <row r="5" spans="1:10" s="16" customFormat="1" x14ac:dyDescent="0.15">
      <c r="A5" s="29" t="s">
        <v>2390</v>
      </c>
      <c r="B5" s="32">
        <f ca="1">AVERAGE(OFFSET(B$6,B$3-6,0,B$4-B$3+1,1))</f>
        <v>1499.8269230769231</v>
      </c>
      <c r="C5" s="32">
        <f ca="1">AVERAGE(OFFSET(C$6,C$3-6,0,C$4-C$3+1,1))</f>
        <v>52.203012820512811</v>
      </c>
      <c r="D5" s="33" t="str">
        <f ca="1">VecAverage(OFFSET(D$6,D$3-6,0,D$4-D$3+1,1),200)</f>
        <v>45.7∠2.4°</v>
      </c>
      <c r="E5" s="32">
        <f ca="1">AVERAGE(OFFSET(E$6,E$3-6,0,E$4-E$3+1,1))</f>
        <v>62.5133333333333</v>
      </c>
      <c r="F5" s="33" t="str">
        <f ca="1">VecAverage(OFFSET(F$6,F$3-6,0,F$4-F$3+1,1))</f>
        <v>58.4∠69.5°</v>
      </c>
      <c r="G5" s="32">
        <f ca="1">AVERAGE(OFFSET(G$6,G$3-6,0,G$4-G$3+1,1))</f>
        <v>60.4658333333333</v>
      </c>
      <c r="H5" s="33" t="str">
        <f ca="1">VecAverage(OFFSET(H$6,H$3-6,0,H$4-H$3+1,1))</f>
        <v>59.2∠132.8°</v>
      </c>
      <c r="I5" s="32">
        <f ca="1">AVERAGE(OFFSET(I$6,I$3-6,0,I$4-I$3+1,1))</f>
        <v>61.104999999999983</v>
      </c>
      <c r="J5" s="33" t="str">
        <f ca="1">VecAverage(OFFSET(J$6,J$3-6,0,J$4-J$3+1,1))</f>
        <v>55.8∠241.6°</v>
      </c>
    </row>
    <row r="6" spans="1:10" x14ac:dyDescent="0.15">
      <c r="A6" s="28">
        <v>43210.893125000002</v>
      </c>
      <c r="B6" s="30">
        <v>1499</v>
      </c>
      <c r="C6" s="30">
        <v>96.86</v>
      </c>
      <c r="D6" s="30" t="s">
        <v>2422</v>
      </c>
      <c r="E6" s="30">
        <v>116.9</v>
      </c>
      <c r="F6" s="30" t="s">
        <v>2423</v>
      </c>
      <c r="G6" s="30">
        <v>112.3</v>
      </c>
      <c r="H6" s="30" t="s">
        <v>2424</v>
      </c>
      <c r="I6" s="30">
        <v>108.2</v>
      </c>
      <c r="J6" s="30" t="s">
        <v>2425</v>
      </c>
    </row>
    <row r="7" spans="1:10" x14ac:dyDescent="0.15">
      <c r="A7" s="28">
        <v>43210.893159722225</v>
      </c>
      <c r="B7" s="30">
        <v>1499</v>
      </c>
      <c r="C7" s="30">
        <v>93.13</v>
      </c>
      <c r="D7" s="30" t="s">
        <v>2426</v>
      </c>
      <c r="E7" s="30">
        <v>118.2</v>
      </c>
      <c r="F7" s="30" t="s">
        <v>2427</v>
      </c>
      <c r="G7" s="30">
        <v>106.1</v>
      </c>
      <c r="H7" s="30" t="s">
        <v>2428</v>
      </c>
      <c r="I7" s="30">
        <v>108.6</v>
      </c>
      <c r="J7" s="30" t="s">
        <v>2429</v>
      </c>
    </row>
    <row r="8" spans="1:10" x14ac:dyDescent="0.15">
      <c r="A8" s="28">
        <v>43210.893194444441</v>
      </c>
      <c r="B8" s="30">
        <v>1499</v>
      </c>
      <c r="C8" s="30">
        <v>92.59</v>
      </c>
      <c r="D8" s="30" t="s">
        <v>2430</v>
      </c>
      <c r="E8" s="30">
        <v>115.8</v>
      </c>
      <c r="F8" s="30" t="s">
        <v>2431</v>
      </c>
      <c r="G8" s="30">
        <v>105.8</v>
      </c>
      <c r="H8" s="30" t="s">
        <v>2432</v>
      </c>
      <c r="I8" s="30">
        <v>105.9</v>
      </c>
      <c r="J8" s="30" t="s">
        <v>2433</v>
      </c>
    </row>
    <row r="9" spans="1:10" x14ac:dyDescent="0.15">
      <c r="A9" s="28">
        <v>43210.893217592595</v>
      </c>
      <c r="B9" s="30">
        <v>1498</v>
      </c>
      <c r="C9" s="30">
        <v>92.67</v>
      </c>
      <c r="D9" s="30" t="s">
        <v>2434</v>
      </c>
      <c r="E9" s="30">
        <v>114.9</v>
      </c>
      <c r="F9" s="30" t="s">
        <v>2435</v>
      </c>
      <c r="G9" s="30">
        <v>107</v>
      </c>
      <c r="H9" s="30" t="s">
        <v>2436</v>
      </c>
      <c r="I9" s="30">
        <v>105.7</v>
      </c>
      <c r="J9" s="30" t="s">
        <v>2437</v>
      </c>
    </row>
    <row r="10" spans="1:10" x14ac:dyDescent="0.15">
      <c r="A10" s="28">
        <v>43210.893252314818</v>
      </c>
      <c r="B10" s="30">
        <v>1499</v>
      </c>
      <c r="C10" s="30">
        <v>87.22</v>
      </c>
      <c r="D10" s="30" t="s">
        <v>2438</v>
      </c>
      <c r="E10" s="30">
        <v>116.8</v>
      </c>
      <c r="F10" s="30" t="s">
        <v>2439</v>
      </c>
      <c r="G10" s="30">
        <v>102.1</v>
      </c>
      <c r="H10" s="30" t="s">
        <v>2440</v>
      </c>
      <c r="I10" s="30">
        <v>106.8</v>
      </c>
      <c r="J10" s="30" t="s">
        <v>2441</v>
      </c>
    </row>
    <row r="11" spans="1:10" x14ac:dyDescent="0.15">
      <c r="A11" s="28">
        <v>43210.893287037034</v>
      </c>
      <c r="B11" s="30">
        <v>1499</v>
      </c>
      <c r="C11" s="30">
        <v>88.39</v>
      </c>
      <c r="D11" s="30" t="s">
        <v>2442</v>
      </c>
      <c r="E11" s="30">
        <v>112.6</v>
      </c>
      <c r="F11" s="30" t="s">
        <v>2443</v>
      </c>
      <c r="G11" s="30">
        <v>102.2</v>
      </c>
      <c r="H11" s="30" t="s">
        <v>2444</v>
      </c>
      <c r="I11" s="30">
        <v>103.1</v>
      </c>
      <c r="J11" s="30" t="s">
        <v>2445</v>
      </c>
    </row>
    <row r="12" spans="1:10" x14ac:dyDescent="0.15">
      <c r="A12" s="28">
        <v>43210.893310185187</v>
      </c>
      <c r="B12" s="30">
        <v>1499</v>
      </c>
      <c r="C12" s="30">
        <v>89.26</v>
      </c>
      <c r="D12" s="30" t="s">
        <v>2446</v>
      </c>
      <c r="E12" s="30">
        <v>109.1</v>
      </c>
      <c r="F12" s="30" t="s">
        <v>2447</v>
      </c>
      <c r="G12" s="30">
        <v>100.3</v>
      </c>
      <c r="H12" s="30" t="s">
        <v>2448</v>
      </c>
      <c r="I12" s="30">
        <v>101.9</v>
      </c>
      <c r="J12" s="30" t="s">
        <v>2449</v>
      </c>
    </row>
    <row r="13" spans="1:10" x14ac:dyDescent="0.15">
      <c r="A13" s="28">
        <v>43210.89334490741</v>
      </c>
      <c r="B13" s="30">
        <v>1499</v>
      </c>
      <c r="C13" s="30">
        <v>89.26</v>
      </c>
      <c r="D13" s="30" t="s">
        <v>2450</v>
      </c>
      <c r="E13" s="30">
        <v>108.5</v>
      </c>
      <c r="F13" s="30" t="s">
        <v>2451</v>
      </c>
      <c r="G13" s="30">
        <v>99.91</v>
      </c>
      <c r="H13" s="30" t="s">
        <v>2452</v>
      </c>
      <c r="I13" s="30">
        <v>101.9</v>
      </c>
      <c r="J13" s="30" t="s">
        <v>2453</v>
      </c>
    </row>
    <row r="14" spans="1:10" x14ac:dyDescent="0.15">
      <c r="A14" s="28">
        <v>43210.893379629626</v>
      </c>
      <c r="B14" s="30">
        <v>1499</v>
      </c>
      <c r="C14" s="30">
        <v>85.53</v>
      </c>
      <c r="D14" s="30" t="s">
        <v>2454</v>
      </c>
      <c r="E14" s="30">
        <v>109.7</v>
      </c>
      <c r="F14" s="30" t="s">
        <v>2455</v>
      </c>
      <c r="G14" s="30">
        <v>98.13</v>
      </c>
      <c r="H14" s="30" t="s">
        <v>2456</v>
      </c>
      <c r="I14" s="30">
        <v>101.7</v>
      </c>
      <c r="J14" s="30" t="s">
        <v>2457</v>
      </c>
    </row>
    <row r="15" spans="1:10" x14ac:dyDescent="0.15">
      <c r="A15" s="28">
        <v>43210.89340277778</v>
      </c>
      <c r="B15" s="30">
        <v>1499</v>
      </c>
      <c r="C15" s="30">
        <v>87.27</v>
      </c>
      <c r="D15" s="30" t="s">
        <v>2458</v>
      </c>
      <c r="E15" s="30">
        <v>109.7</v>
      </c>
      <c r="F15" s="30" t="s">
        <v>2455</v>
      </c>
      <c r="G15" s="30">
        <v>98.13</v>
      </c>
      <c r="H15" s="30" t="s">
        <v>2456</v>
      </c>
      <c r="I15" s="30">
        <v>101.7</v>
      </c>
      <c r="J15" s="30" t="s">
        <v>2457</v>
      </c>
    </row>
    <row r="16" spans="1:10" x14ac:dyDescent="0.15">
      <c r="A16" s="28">
        <v>43210.893414351849</v>
      </c>
      <c r="B16" s="30">
        <v>1499</v>
      </c>
      <c r="C16" s="30">
        <v>87.27</v>
      </c>
      <c r="D16" s="30" t="s">
        <v>2458</v>
      </c>
      <c r="E16" s="30">
        <v>106.7</v>
      </c>
      <c r="F16" s="30" t="s">
        <v>2459</v>
      </c>
      <c r="G16" s="30">
        <v>97.18</v>
      </c>
      <c r="H16" s="30" t="s">
        <v>2460</v>
      </c>
      <c r="I16" s="30">
        <v>100.5</v>
      </c>
      <c r="J16" s="30" t="s">
        <v>2461</v>
      </c>
    </row>
    <row r="17" spans="1:10" x14ac:dyDescent="0.15">
      <c r="A17" s="28">
        <v>43210.893437500003</v>
      </c>
      <c r="B17" s="30">
        <v>1499</v>
      </c>
      <c r="C17" s="30">
        <v>85.18</v>
      </c>
      <c r="D17" s="30" t="s">
        <v>2462</v>
      </c>
      <c r="E17" s="30">
        <v>104.8</v>
      </c>
      <c r="F17" s="30" t="s">
        <v>2463</v>
      </c>
      <c r="G17" s="30">
        <v>98.27</v>
      </c>
      <c r="H17" s="30" t="s">
        <v>2464</v>
      </c>
      <c r="I17" s="30">
        <v>97.97</v>
      </c>
      <c r="J17" s="30" t="s">
        <v>2465</v>
      </c>
    </row>
    <row r="18" spans="1:10" x14ac:dyDescent="0.15">
      <c r="A18" s="28">
        <v>43210.893472222226</v>
      </c>
      <c r="B18" s="30">
        <v>1499</v>
      </c>
      <c r="C18" s="30">
        <v>82.86</v>
      </c>
      <c r="D18" s="30" t="s">
        <v>2466</v>
      </c>
      <c r="E18" s="30">
        <v>105.5</v>
      </c>
      <c r="F18" s="30" t="s">
        <v>2467</v>
      </c>
      <c r="G18" s="30">
        <v>95.75</v>
      </c>
      <c r="H18" s="30" t="s">
        <v>2468</v>
      </c>
      <c r="I18" s="30">
        <v>99.84</v>
      </c>
      <c r="J18" s="30" t="s">
        <v>2469</v>
      </c>
    </row>
    <row r="19" spans="1:10" x14ac:dyDescent="0.15">
      <c r="A19" s="28">
        <v>43210.893506944441</v>
      </c>
      <c r="B19" s="30">
        <v>1499</v>
      </c>
      <c r="C19" s="30">
        <v>82.5</v>
      </c>
      <c r="D19" s="30" t="s">
        <v>2470</v>
      </c>
      <c r="E19" s="30">
        <v>103.6</v>
      </c>
      <c r="F19" s="30" t="s">
        <v>2471</v>
      </c>
      <c r="G19" s="30">
        <v>98.64</v>
      </c>
      <c r="H19" s="30" t="s">
        <v>2472</v>
      </c>
      <c r="I19" s="30">
        <v>95.11</v>
      </c>
      <c r="J19" s="30" t="s">
        <v>2473</v>
      </c>
    </row>
    <row r="20" spans="1:10" x14ac:dyDescent="0.15">
      <c r="A20" s="28">
        <v>43210.893530092595</v>
      </c>
      <c r="B20" s="30">
        <v>1499</v>
      </c>
      <c r="C20" s="30">
        <v>81.91</v>
      </c>
      <c r="D20" s="30" t="s">
        <v>2474</v>
      </c>
      <c r="E20" s="30">
        <v>102.7</v>
      </c>
      <c r="F20" s="30" t="s">
        <v>2475</v>
      </c>
      <c r="G20" s="30">
        <v>95.11</v>
      </c>
      <c r="H20" s="30" t="s">
        <v>2476</v>
      </c>
      <c r="I20" s="30">
        <v>96.48</v>
      </c>
      <c r="J20" s="30" t="s">
        <v>2477</v>
      </c>
    </row>
    <row r="21" spans="1:10" x14ac:dyDescent="0.15">
      <c r="A21" s="28">
        <v>43210.893564814818</v>
      </c>
      <c r="B21" s="30">
        <v>1499</v>
      </c>
      <c r="C21" s="30">
        <v>78.69</v>
      </c>
      <c r="D21" s="30" t="s">
        <v>2478</v>
      </c>
      <c r="E21" s="30">
        <v>105.1</v>
      </c>
      <c r="F21" s="30" t="s">
        <v>2479</v>
      </c>
      <c r="G21" s="30">
        <v>92.61</v>
      </c>
      <c r="H21" s="30" t="s">
        <v>2480</v>
      </c>
      <c r="I21" s="30">
        <v>96.35</v>
      </c>
      <c r="J21" s="30" t="s">
        <v>2481</v>
      </c>
    </row>
    <row r="22" spans="1:10" x14ac:dyDescent="0.15">
      <c r="A22" s="28">
        <v>43210.893599537034</v>
      </c>
      <c r="B22" s="30">
        <v>1500</v>
      </c>
      <c r="C22" s="30">
        <v>77.099999999999994</v>
      </c>
      <c r="D22" s="30" t="s">
        <v>2482</v>
      </c>
      <c r="E22" s="30">
        <v>100.5</v>
      </c>
      <c r="F22" s="30" t="s">
        <v>2483</v>
      </c>
      <c r="G22" s="30">
        <v>91.21</v>
      </c>
      <c r="H22" s="30" t="s">
        <v>2484</v>
      </c>
      <c r="I22" s="30">
        <v>94.49</v>
      </c>
      <c r="J22" s="30" t="s">
        <v>2485</v>
      </c>
    </row>
    <row r="23" spans="1:10" x14ac:dyDescent="0.15">
      <c r="A23" s="28">
        <v>43210.893622685187</v>
      </c>
      <c r="B23" s="30">
        <v>1500</v>
      </c>
      <c r="C23" s="30">
        <v>78.81</v>
      </c>
      <c r="D23" s="30" t="s">
        <v>2486</v>
      </c>
      <c r="E23" s="30">
        <v>99.07</v>
      </c>
      <c r="F23" s="30" t="s">
        <v>2487</v>
      </c>
      <c r="G23" s="30">
        <v>92.72</v>
      </c>
      <c r="H23" s="30" t="s">
        <v>2488</v>
      </c>
      <c r="I23" s="30">
        <v>92.56</v>
      </c>
      <c r="J23" s="30" t="s">
        <v>2489</v>
      </c>
    </row>
    <row r="24" spans="1:10" x14ac:dyDescent="0.15">
      <c r="A24" s="28">
        <v>43210.893657407411</v>
      </c>
      <c r="B24" s="30">
        <v>1500</v>
      </c>
      <c r="C24" s="30">
        <v>77.180000000000007</v>
      </c>
      <c r="D24" s="30" t="s">
        <v>2490</v>
      </c>
      <c r="E24" s="30">
        <v>100.5</v>
      </c>
      <c r="F24" s="30" t="s">
        <v>2491</v>
      </c>
      <c r="G24" s="30">
        <v>89.27</v>
      </c>
      <c r="H24" s="30" t="s">
        <v>2492</v>
      </c>
      <c r="I24" s="30">
        <v>92.78</v>
      </c>
      <c r="J24" s="30" t="s">
        <v>2493</v>
      </c>
    </row>
    <row r="25" spans="1:10" x14ac:dyDescent="0.15">
      <c r="A25" s="28">
        <v>43210.893692129626</v>
      </c>
      <c r="B25" s="30">
        <v>1500</v>
      </c>
      <c r="C25" s="30">
        <v>78.069999999999993</v>
      </c>
      <c r="D25" s="30" t="s">
        <v>2494</v>
      </c>
      <c r="E25" s="30">
        <v>96.38</v>
      </c>
      <c r="F25" s="30" t="s">
        <v>2495</v>
      </c>
      <c r="G25" s="30">
        <v>90.46</v>
      </c>
      <c r="H25" s="30" t="s">
        <v>2496</v>
      </c>
      <c r="I25" s="30">
        <v>91.11</v>
      </c>
      <c r="J25" s="30" t="s">
        <v>2497</v>
      </c>
    </row>
    <row r="26" spans="1:10" x14ac:dyDescent="0.15">
      <c r="A26" s="28">
        <v>43210.89371527778</v>
      </c>
      <c r="B26" s="30">
        <v>1500</v>
      </c>
      <c r="C26" s="30">
        <v>75.92</v>
      </c>
      <c r="D26" s="30" t="s">
        <v>2498</v>
      </c>
      <c r="E26" s="30">
        <v>99.23</v>
      </c>
      <c r="F26" s="30" t="s">
        <v>2499</v>
      </c>
      <c r="G26" s="30">
        <v>90.34</v>
      </c>
      <c r="H26" s="30" t="s">
        <v>2500</v>
      </c>
      <c r="I26" s="30">
        <v>92.58</v>
      </c>
      <c r="J26" s="30" t="s">
        <v>2501</v>
      </c>
    </row>
    <row r="27" spans="1:10" x14ac:dyDescent="0.15">
      <c r="A27" s="28">
        <v>43210.893750000003</v>
      </c>
      <c r="B27" s="30">
        <v>1500</v>
      </c>
      <c r="C27" s="30">
        <v>74.900000000000006</v>
      </c>
      <c r="D27" s="30" t="s">
        <v>2502</v>
      </c>
      <c r="E27" s="30">
        <v>94.79</v>
      </c>
      <c r="F27" s="30" t="s">
        <v>2503</v>
      </c>
      <c r="G27" s="30">
        <v>88.57</v>
      </c>
      <c r="H27" s="30" t="s">
        <v>2504</v>
      </c>
      <c r="I27" s="30">
        <v>89.44</v>
      </c>
      <c r="J27" s="30" t="s">
        <v>2505</v>
      </c>
    </row>
    <row r="28" spans="1:10" x14ac:dyDescent="0.15">
      <c r="A28" s="28">
        <v>43210.893784722219</v>
      </c>
      <c r="B28" s="30">
        <v>1500</v>
      </c>
      <c r="C28" s="30">
        <v>76.790000000000006</v>
      </c>
      <c r="D28" s="30" t="s">
        <v>2506</v>
      </c>
      <c r="E28" s="30">
        <v>94.82</v>
      </c>
      <c r="F28" s="30" t="s">
        <v>2507</v>
      </c>
      <c r="G28" s="30">
        <v>88.39</v>
      </c>
      <c r="H28" s="30" t="s">
        <v>2508</v>
      </c>
      <c r="I28" s="30">
        <v>88.38</v>
      </c>
      <c r="J28" s="30" t="s">
        <v>2509</v>
      </c>
    </row>
    <row r="29" spans="1:10" x14ac:dyDescent="0.15">
      <c r="A29" s="28">
        <v>43210.893807870372</v>
      </c>
      <c r="B29" s="30">
        <v>1500</v>
      </c>
      <c r="C29" s="30">
        <v>75.540000000000006</v>
      </c>
      <c r="D29" s="30" t="s">
        <v>2510</v>
      </c>
      <c r="E29" s="30">
        <v>93.72</v>
      </c>
      <c r="F29" s="30" t="s">
        <v>2511</v>
      </c>
      <c r="G29" s="30">
        <v>90.68</v>
      </c>
      <c r="H29" s="30" t="s">
        <v>2512</v>
      </c>
      <c r="I29" s="30">
        <v>88.58</v>
      </c>
      <c r="J29" s="30" t="s">
        <v>2513</v>
      </c>
    </row>
    <row r="30" spans="1:10" x14ac:dyDescent="0.15">
      <c r="A30" s="28">
        <v>43210.893842592595</v>
      </c>
      <c r="B30" s="30">
        <v>1500</v>
      </c>
      <c r="C30" s="30">
        <v>72.98</v>
      </c>
      <c r="D30" s="30" t="s">
        <v>2514</v>
      </c>
      <c r="E30" s="30">
        <v>94.82</v>
      </c>
      <c r="F30" s="30" t="s">
        <v>2515</v>
      </c>
      <c r="G30" s="30">
        <v>88.98</v>
      </c>
      <c r="H30" s="30" t="s">
        <v>2516</v>
      </c>
      <c r="I30" s="30">
        <v>91.23</v>
      </c>
      <c r="J30" s="30" t="s">
        <v>2517</v>
      </c>
    </row>
    <row r="31" spans="1:10" x14ac:dyDescent="0.15">
      <c r="A31" s="28">
        <v>43210.893877314818</v>
      </c>
      <c r="B31" s="30">
        <v>1501</v>
      </c>
      <c r="C31" s="30">
        <v>74.22</v>
      </c>
      <c r="D31" s="30" t="s">
        <v>2518</v>
      </c>
      <c r="E31" s="30">
        <v>91.53</v>
      </c>
      <c r="F31" s="30" t="s">
        <v>2519</v>
      </c>
      <c r="G31" s="30">
        <v>87.75</v>
      </c>
      <c r="H31" s="30" t="s">
        <v>2520</v>
      </c>
      <c r="I31" s="30">
        <v>88.78</v>
      </c>
      <c r="J31" s="30" t="s">
        <v>2521</v>
      </c>
    </row>
    <row r="32" spans="1:10" x14ac:dyDescent="0.15">
      <c r="A32" s="28">
        <v>43210.893912037034</v>
      </c>
      <c r="B32" s="30">
        <v>1501</v>
      </c>
      <c r="C32" s="30">
        <v>74.2</v>
      </c>
      <c r="D32" s="30" t="s">
        <v>2522</v>
      </c>
      <c r="E32" s="30">
        <v>90.25</v>
      </c>
      <c r="F32" s="30" t="s">
        <v>2523</v>
      </c>
      <c r="G32" s="30">
        <v>86.64</v>
      </c>
      <c r="H32" s="30" t="s">
        <v>2524</v>
      </c>
      <c r="I32" s="30">
        <v>87.13</v>
      </c>
      <c r="J32" s="30" t="s">
        <v>2525</v>
      </c>
    </row>
    <row r="33" spans="1:10" x14ac:dyDescent="0.15">
      <c r="A33" s="28">
        <v>43210.893935185188</v>
      </c>
      <c r="B33" s="30">
        <v>1501</v>
      </c>
      <c r="C33" s="30">
        <v>73.08</v>
      </c>
      <c r="D33" s="30" t="s">
        <v>2526</v>
      </c>
      <c r="E33" s="30">
        <v>92.22</v>
      </c>
      <c r="F33" s="30" t="s">
        <v>2527</v>
      </c>
      <c r="G33" s="30">
        <v>85.8</v>
      </c>
      <c r="H33" s="30" t="s">
        <v>2528</v>
      </c>
      <c r="I33" s="30">
        <v>88.16</v>
      </c>
      <c r="J33" s="30" t="s">
        <v>2529</v>
      </c>
    </row>
    <row r="34" spans="1:10" x14ac:dyDescent="0.15">
      <c r="A34" s="28">
        <v>43210.893969907411</v>
      </c>
      <c r="B34" s="30">
        <v>1501</v>
      </c>
      <c r="C34" s="30">
        <v>72.06</v>
      </c>
      <c r="D34" s="30" t="s">
        <v>2530</v>
      </c>
      <c r="E34" s="30">
        <v>90.08</v>
      </c>
      <c r="F34" s="30" t="s">
        <v>2531</v>
      </c>
      <c r="G34" s="30">
        <v>88.3</v>
      </c>
      <c r="H34" s="30" t="s">
        <v>2532</v>
      </c>
      <c r="I34" s="30">
        <v>86.01</v>
      </c>
      <c r="J34" s="30" t="s">
        <v>2533</v>
      </c>
    </row>
    <row r="35" spans="1:10" x14ac:dyDescent="0.15">
      <c r="A35" s="28">
        <v>43210.894004629627</v>
      </c>
      <c r="B35" s="30">
        <v>1501</v>
      </c>
      <c r="C35" s="30">
        <v>73.489999999999995</v>
      </c>
      <c r="D35" s="30" t="s">
        <v>2534</v>
      </c>
      <c r="E35" s="30">
        <v>89.68</v>
      </c>
      <c r="F35" s="30" t="s">
        <v>2535</v>
      </c>
      <c r="G35" s="30">
        <v>84.98</v>
      </c>
      <c r="H35" s="30" t="s">
        <v>2536</v>
      </c>
      <c r="I35" s="30">
        <v>84.89</v>
      </c>
      <c r="J35" s="30" t="s">
        <v>2537</v>
      </c>
    </row>
    <row r="36" spans="1:10" x14ac:dyDescent="0.15">
      <c r="A36" s="28">
        <v>43210.89402777778</v>
      </c>
      <c r="B36" s="30">
        <v>1501</v>
      </c>
      <c r="C36" s="30">
        <v>72.12</v>
      </c>
      <c r="D36" s="30" t="s">
        <v>2538</v>
      </c>
      <c r="E36" s="30">
        <v>88.81</v>
      </c>
      <c r="F36" s="30" t="s">
        <v>2539</v>
      </c>
      <c r="G36" s="30">
        <v>84.62</v>
      </c>
      <c r="H36" s="30" t="s">
        <v>2540</v>
      </c>
      <c r="I36" s="30">
        <v>86.43</v>
      </c>
      <c r="J36" s="30" t="s">
        <v>2541</v>
      </c>
    </row>
    <row r="37" spans="1:10" x14ac:dyDescent="0.15">
      <c r="A37" s="28">
        <v>43210.894062500003</v>
      </c>
      <c r="B37" s="30">
        <v>1501</v>
      </c>
      <c r="C37" s="30">
        <v>76.75</v>
      </c>
      <c r="D37" s="30" t="s">
        <v>2542</v>
      </c>
      <c r="E37" s="30">
        <v>87.37</v>
      </c>
      <c r="F37" s="30" t="s">
        <v>2543</v>
      </c>
      <c r="G37" s="30">
        <v>85.45</v>
      </c>
      <c r="H37" s="30" t="s">
        <v>2544</v>
      </c>
      <c r="I37" s="30">
        <v>82.96</v>
      </c>
      <c r="J37" s="30" t="s">
        <v>2545</v>
      </c>
    </row>
    <row r="38" spans="1:10" x14ac:dyDescent="0.15">
      <c r="A38" s="28">
        <v>43210.894097222219</v>
      </c>
      <c r="B38" s="30">
        <v>1501</v>
      </c>
      <c r="C38" s="30">
        <v>72.510000000000005</v>
      </c>
      <c r="D38" s="30" t="s">
        <v>2546</v>
      </c>
      <c r="E38" s="30">
        <v>87.94</v>
      </c>
      <c r="F38" s="30" t="s">
        <v>2547</v>
      </c>
      <c r="G38" s="30">
        <v>86.63</v>
      </c>
      <c r="H38" s="30" t="s">
        <v>2548</v>
      </c>
      <c r="I38" s="30">
        <v>83.27</v>
      </c>
      <c r="J38" s="30" t="s">
        <v>2549</v>
      </c>
    </row>
    <row r="39" spans="1:10" x14ac:dyDescent="0.15">
      <c r="A39" s="28">
        <v>43210.894120370373</v>
      </c>
      <c r="B39" s="30">
        <v>1501</v>
      </c>
      <c r="C39" s="30">
        <v>71.69</v>
      </c>
      <c r="D39" s="30" t="s">
        <v>2550</v>
      </c>
      <c r="E39" s="30">
        <v>88.11</v>
      </c>
      <c r="F39" s="30" t="s">
        <v>2551</v>
      </c>
      <c r="G39" s="30">
        <v>83.17</v>
      </c>
      <c r="H39" s="30" t="s">
        <v>2552</v>
      </c>
      <c r="I39" s="30">
        <v>87.69</v>
      </c>
      <c r="J39" s="30" t="s">
        <v>2553</v>
      </c>
    </row>
    <row r="40" spans="1:10" x14ac:dyDescent="0.15">
      <c r="A40" s="28">
        <v>43210.894155092596</v>
      </c>
      <c r="B40" s="30">
        <v>1501</v>
      </c>
      <c r="C40" s="30">
        <v>72.88</v>
      </c>
      <c r="D40" s="30" t="s">
        <v>2554</v>
      </c>
      <c r="E40" s="30">
        <v>85.61</v>
      </c>
      <c r="F40" s="30" t="s">
        <v>2555</v>
      </c>
      <c r="G40" s="30">
        <v>83.36</v>
      </c>
      <c r="H40" s="30" t="s">
        <v>2556</v>
      </c>
      <c r="I40" s="30">
        <v>80.959999999999994</v>
      </c>
      <c r="J40" s="30" t="s">
        <v>2557</v>
      </c>
    </row>
    <row r="41" spans="1:10" x14ac:dyDescent="0.15">
      <c r="A41" s="28">
        <v>43210.894189814811</v>
      </c>
      <c r="B41" s="30">
        <v>1500</v>
      </c>
      <c r="C41" s="30">
        <v>72.760000000000005</v>
      </c>
      <c r="D41" s="30" t="s">
        <v>2558</v>
      </c>
      <c r="E41" s="30">
        <v>86</v>
      </c>
      <c r="F41" s="30" t="s">
        <v>2551</v>
      </c>
      <c r="G41" s="30">
        <v>84.69</v>
      </c>
      <c r="H41" s="30" t="s">
        <v>2559</v>
      </c>
      <c r="I41" s="30">
        <v>82.13</v>
      </c>
      <c r="J41" s="30" t="s">
        <v>2560</v>
      </c>
    </row>
    <row r="42" spans="1:10" x14ac:dyDescent="0.15">
      <c r="A42" s="28">
        <v>43210.894212962965</v>
      </c>
      <c r="B42" s="30">
        <v>1501</v>
      </c>
      <c r="C42" s="30">
        <v>69.45</v>
      </c>
      <c r="D42" s="30" t="s">
        <v>2561</v>
      </c>
      <c r="E42" s="30">
        <v>87.77</v>
      </c>
      <c r="F42" s="30" t="s">
        <v>2562</v>
      </c>
      <c r="G42" s="30">
        <v>81.97</v>
      </c>
      <c r="H42" s="30" t="s">
        <v>2563</v>
      </c>
      <c r="I42" s="30">
        <v>84.33</v>
      </c>
      <c r="J42" s="30" t="s">
        <v>2564</v>
      </c>
    </row>
    <row r="43" spans="1:10" x14ac:dyDescent="0.15">
      <c r="A43" s="28">
        <v>43210.894247685188</v>
      </c>
      <c r="B43" s="30">
        <v>1501</v>
      </c>
      <c r="C43" s="30">
        <v>71.8</v>
      </c>
      <c r="D43" s="30" t="s">
        <v>2565</v>
      </c>
      <c r="E43" s="30">
        <v>84.32</v>
      </c>
      <c r="F43" s="30" t="s">
        <v>2566</v>
      </c>
      <c r="G43" s="30">
        <v>81.599999999999994</v>
      </c>
      <c r="H43" s="30" t="s">
        <v>2567</v>
      </c>
      <c r="I43" s="30">
        <v>80.77</v>
      </c>
      <c r="J43" s="30" t="s">
        <v>2568</v>
      </c>
    </row>
    <row r="44" spans="1:10" x14ac:dyDescent="0.15">
      <c r="A44" s="28">
        <v>43210.894282407404</v>
      </c>
      <c r="B44" s="30">
        <v>1501</v>
      </c>
      <c r="C44" s="30">
        <v>67.84</v>
      </c>
      <c r="D44" s="30" t="s">
        <v>2569</v>
      </c>
      <c r="E44" s="30">
        <v>83.83</v>
      </c>
      <c r="F44" s="30" t="s">
        <v>2570</v>
      </c>
      <c r="G44" s="30">
        <v>84.05</v>
      </c>
      <c r="H44" s="30" t="s">
        <v>2571</v>
      </c>
      <c r="I44" s="30">
        <v>80.010000000000005</v>
      </c>
      <c r="J44" s="30" t="s">
        <v>2572</v>
      </c>
    </row>
    <row r="45" spans="1:10" x14ac:dyDescent="0.15">
      <c r="A45" s="28">
        <v>43210.894305555557</v>
      </c>
      <c r="B45" s="30">
        <v>1501</v>
      </c>
      <c r="C45" s="30">
        <v>69.53</v>
      </c>
      <c r="D45" s="30" t="s">
        <v>2573</v>
      </c>
      <c r="E45" s="30">
        <v>82.87</v>
      </c>
      <c r="F45" s="30" t="s">
        <v>2574</v>
      </c>
      <c r="G45" s="30">
        <v>81.53</v>
      </c>
      <c r="H45" s="30" t="s">
        <v>2575</v>
      </c>
      <c r="I45" s="30">
        <v>79.52</v>
      </c>
      <c r="J45" s="30" t="s">
        <v>2576</v>
      </c>
    </row>
    <row r="46" spans="1:10" x14ac:dyDescent="0.15">
      <c r="A46" s="28">
        <v>43210.89434027778</v>
      </c>
      <c r="B46" s="30">
        <v>1500</v>
      </c>
      <c r="C46" s="30">
        <v>67.08</v>
      </c>
      <c r="D46" s="30" t="s">
        <v>2577</v>
      </c>
      <c r="E46" s="30">
        <v>83.36</v>
      </c>
      <c r="F46" s="30" t="s">
        <v>2578</v>
      </c>
      <c r="G46" s="30">
        <v>80.430000000000007</v>
      </c>
      <c r="H46" s="30" t="s">
        <v>2579</v>
      </c>
      <c r="I46" s="30">
        <v>81.13</v>
      </c>
      <c r="J46" s="30" t="s">
        <v>2580</v>
      </c>
    </row>
    <row r="47" spans="1:10" x14ac:dyDescent="0.15">
      <c r="A47" s="28">
        <v>43210.894375000003</v>
      </c>
      <c r="B47" s="30">
        <v>1500</v>
      </c>
      <c r="C47" s="30">
        <v>71.64</v>
      </c>
      <c r="D47" s="30" t="s">
        <v>2581</v>
      </c>
      <c r="E47" s="30">
        <v>81.53</v>
      </c>
      <c r="F47" s="30" t="s">
        <v>2582</v>
      </c>
      <c r="G47" s="30">
        <v>79.36</v>
      </c>
      <c r="H47" s="30" t="s">
        <v>2583</v>
      </c>
      <c r="I47" s="30">
        <v>79.37</v>
      </c>
      <c r="J47" s="30" t="s">
        <v>2584</v>
      </c>
    </row>
    <row r="48" spans="1:10" x14ac:dyDescent="0.15">
      <c r="A48" s="28">
        <v>43210.894409722219</v>
      </c>
      <c r="B48" s="30">
        <v>1500</v>
      </c>
      <c r="C48" s="30">
        <v>67.260000000000005</v>
      </c>
      <c r="D48" s="30" t="s">
        <v>2585</v>
      </c>
      <c r="E48" s="30">
        <v>81.69</v>
      </c>
      <c r="F48" s="30" t="s">
        <v>2586</v>
      </c>
      <c r="G48" s="30">
        <v>79.709999999999994</v>
      </c>
      <c r="H48" s="30" t="s">
        <v>2587</v>
      </c>
      <c r="I48" s="30">
        <v>78.95</v>
      </c>
      <c r="J48" s="30" t="s">
        <v>2588</v>
      </c>
    </row>
    <row r="49" spans="1:10" x14ac:dyDescent="0.15">
      <c r="A49" s="28">
        <v>43210.894432870373</v>
      </c>
      <c r="B49" s="30">
        <v>1500</v>
      </c>
      <c r="C49" s="30">
        <v>67.55</v>
      </c>
      <c r="D49" s="30" t="s">
        <v>2589</v>
      </c>
      <c r="E49" s="30">
        <v>81.56</v>
      </c>
      <c r="F49" s="30" t="s">
        <v>2590</v>
      </c>
      <c r="G49" s="30">
        <v>81.52</v>
      </c>
      <c r="H49" s="30" t="s">
        <v>2591</v>
      </c>
      <c r="I49" s="30">
        <v>78.28</v>
      </c>
      <c r="J49" s="30" t="s">
        <v>2592</v>
      </c>
    </row>
    <row r="50" spans="1:10" x14ac:dyDescent="0.15">
      <c r="A50" s="28">
        <v>43210.894467592596</v>
      </c>
      <c r="B50" s="30">
        <v>1500</v>
      </c>
      <c r="C50" s="30">
        <v>65.13</v>
      </c>
      <c r="D50" s="30" t="s">
        <v>2593</v>
      </c>
      <c r="E50" s="30">
        <v>81.319999999999993</v>
      </c>
      <c r="F50" s="30" t="s">
        <v>2594</v>
      </c>
      <c r="G50" s="30">
        <v>81.849999999999994</v>
      </c>
      <c r="H50" s="30" t="s">
        <v>2595</v>
      </c>
      <c r="I50" s="30">
        <v>77.569999999999993</v>
      </c>
      <c r="J50" s="30" t="s">
        <v>2596</v>
      </c>
    </row>
    <row r="51" spans="1:10" x14ac:dyDescent="0.15">
      <c r="A51" s="28">
        <v>43210.894513888888</v>
      </c>
      <c r="B51" s="30">
        <v>1500</v>
      </c>
      <c r="C51" s="30">
        <v>66.040000000000006</v>
      </c>
      <c r="D51" s="30" t="s">
        <v>2597</v>
      </c>
      <c r="E51" s="30">
        <v>80.95</v>
      </c>
      <c r="F51" s="30" t="s">
        <v>2598</v>
      </c>
      <c r="G51" s="30">
        <v>78</v>
      </c>
      <c r="H51" s="30" t="s">
        <v>2599</v>
      </c>
      <c r="I51" s="30">
        <v>77.150000000000006</v>
      </c>
      <c r="J51" s="30" t="s">
        <v>2600</v>
      </c>
    </row>
    <row r="52" spans="1:10" x14ac:dyDescent="0.15">
      <c r="A52" s="28">
        <v>43210.894548611112</v>
      </c>
      <c r="B52" s="30">
        <v>1500</v>
      </c>
      <c r="C52" s="30">
        <v>66.430000000000007</v>
      </c>
      <c r="D52" s="30" t="s">
        <v>2601</v>
      </c>
      <c r="E52" s="30">
        <v>80.66</v>
      </c>
      <c r="F52" s="30" t="s">
        <v>2602</v>
      </c>
      <c r="G52" s="30">
        <v>77.36</v>
      </c>
      <c r="H52" s="30" t="s">
        <v>2603</v>
      </c>
      <c r="I52" s="30">
        <v>78.989999999999995</v>
      </c>
      <c r="J52" s="30" t="s">
        <v>2604</v>
      </c>
    </row>
    <row r="53" spans="1:10" x14ac:dyDescent="0.15">
      <c r="A53" s="28">
        <v>43210.894583333335</v>
      </c>
      <c r="B53" s="30">
        <v>1500</v>
      </c>
      <c r="C53" s="30">
        <v>65.7</v>
      </c>
      <c r="D53" s="30" t="s">
        <v>2605</v>
      </c>
      <c r="E53" s="30">
        <v>80.849999999999994</v>
      </c>
      <c r="F53" s="30" t="s">
        <v>2606</v>
      </c>
      <c r="G53" s="30">
        <v>77.66</v>
      </c>
      <c r="H53" s="30" t="s">
        <v>2607</v>
      </c>
      <c r="I53" s="30">
        <v>77.98</v>
      </c>
      <c r="J53" s="30" t="s">
        <v>2608</v>
      </c>
    </row>
    <row r="54" spans="1:10" x14ac:dyDescent="0.15">
      <c r="A54" s="28">
        <v>43210.894618055558</v>
      </c>
      <c r="B54" s="30">
        <v>1499</v>
      </c>
      <c r="C54" s="30">
        <v>66.7</v>
      </c>
      <c r="D54" s="30" t="s">
        <v>2609</v>
      </c>
      <c r="E54" s="30">
        <v>78.69</v>
      </c>
      <c r="F54" s="30" t="s">
        <v>2610</v>
      </c>
      <c r="G54" s="30">
        <v>77.569999999999993</v>
      </c>
      <c r="H54" s="30" t="s">
        <v>2611</v>
      </c>
      <c r="I54" s="30">
        <v>75.760000000000005</v>
      </c>
      <c r="J54" s="30" t="s">
        <v>2612</v>
      </c>
    </row>
    <row r="55" spans="1:10" x14ac:dyDescent="0.15">
      <c r="A55" s="28">
        <v>43210.894652777781</v>
      </c>
      <c r="B55" s="30">
        <v>1500</v>
      </c>
      <c r="C55" s="30">
        <v>61.97</v>
      </c>
      <c r="D55" s="30" t="s">
        <v>2613</v>
      </c>
      <c r="E55" s="30">
        <v>81.599999999999994</v>
      </c>
      <c r="F55" s="30" t="s">
        <v>2614</v>
      </c>
      <c r="G55" s="30">
        <v>76.58</v>
      </c>
      <c r="H55" s="30" t="s">
        <v>2615</v>
      </c>
      <c r="I55" s="30">
        <v>77.83</v>
      </c>
      <c r="J55" s="30" t="s">
        <v>2616</v>
      </c>
    </row>
    <row r="56" spans="1:10" x14ac:dyDescent="0.15">
      <c r="A56" s="28">
        <v>43210.894687499997</v>
      </c>
      <c r="B56" s="30">
        <v>1500</v>
      </c>
      <c r="C56" s="30">
        <v>62.19</v>
      </c>
      <c r="D56" s="30" t="s">
        <v>2617</v>
      </c>
      <c r="E56" s="30">
        <v>78.38</v>
      </c>
      <c r="F56" s="30" t="s">
        <v>2618</v>
      </c>
      <c r="G56" s="30">
        <v>78.12</v>
      </c>
      <c r="H56" s="30" t="s">
        <v>2619</v>
      </c>
      <c r="I56" s="30">
        <v>75.459999999999994</v>
      </c>
      <c r="J56" s="30" t="s">
        <v>2620</v>
      </c>
    </row>
    <row r="57" spans="1:10" x14ac:dyDescent="0.15">
      <c r="A57" s="28">
        <v>43210.89471064815</v>
      </c>
      <c r="B57" s="30">
        <v>1499</v>
      </c>
      <c r="C57" s="30">
        <v>61.21</v>
      </c>
      <c r="D57" s="30" t="s">
        <v>2621</v>
      </c>
      <c r="E57" s="30">
        <v>80.94</v>
      </c>
      <c r="F57" s="30" t="s">
        <v>2622</v>
      </c>
      <c r="G57" s="30">
        <v>76.97</v>
      </c>
      <c r="H57" s="30" t="s">
        <v>2623</v>
      </c>
      <c r="I57" s="30">
        <v>77.33</v>
      </c>
      <c r="J57" s="30" t="s">
        <v>2624</v>
      </c>
    </row>
    <row r="58" spans="1:10" x14ac:dyDescent="0.15">
      <c r="A58" s="28">
        <v>43210.894745370373</v>
      </c>
      <c r="B58" s="30">
        <v>1500</v>
      </c>
      <c r="C58" s="30">
        <v>62.62</v>
      </c>
      <c r="D58" s="30" t="s">
        <v>2625</v>
      </c>
      <c r="E58" s="30">
        <v>79.63</v>
      </c>
      <c r="F58" s="30" t="s">
        <v>2626</v>
      </c>
      <c r="G58" s="30">
        <v>75.62</v>
      </c>
      <c r="H58" s="30" t="s">
        <v>2627</v>
      </c>
      <c r="I58" s="30">
        <v>76.48</v>
      </c>
      <c r="J58" s="30" t="s">
        <v>2628</v>
      </c>
    </row>
    <row r="59" spans="1:10" x14ac:dyDescent="0.15">
      <c r="A59" s="28">
        <v>43210.894780092596</v>
      </c>
      <c r="B59" s="30">
        <v>1500</v>
      </c>
      <c r="C59" s="30">
        <v>62.61</v>
      </c>
      <c r="D59" s="30" t="s">
        <v>2629</v>
      </c>
      <c r="E59" s="30">
        <v>77.53</v>
      </c>
      <c r="F59" s="30" t="s">
        <v>2630</v>
      </c>
      <c r="G59" s="30">
        <v>75.760000000000005</v>
      </c>
      <c r="H59" s="30" t="s">
        <v>2631</v>
      </c>
      <c r="I59" s="30">
        <v>74.27</v>
      </c>
      <c r="J59" s="30" t="s">
        <v>2632</v>
      </c>
    </row>
    <row r="60" spans="1:10" x14ac:dyDescent="0.15">
      <c r="A60" s="28">
        <v>43210.894814814812</v>
      </c>
      <c r="B60" s="30">
        <v>1500</v>
      </c>
      <c r="C60" s="30">
        <v>63.12</v>
      </c>
      <c r="D60" s="30" t="s">
        <v>2633</v>
      </c>
      <c r="E60" s="30">
        <v>78.91</v>
      </c>
      <c r="F60" s="30" t="s">
        <v>2634</v>
      </c>
      <c r="G60" s="30">
        <v>74.739999999999995</v>
      </c>
      <c r="H60" s="30" t="s">
        <v>2635</v>
      </c>
      <c r="I60" s="30">
        <v>75.98</v>
      </c>
      <c r="J60" s="30" t="s">
        <v>2636</v>
      </c>
    </row>
    <row r="61" spans="1:10" x14ac:dyDescent="0.15">
      <c r="A61" s="28">
        <v>43210.894837962966</v>
      </c>
      <c r="B61" s="30">
        <v>1500</v>
      </c>
      <c r="C61" s="30">
        <v>59.55</v>
      </c>
      <c r="D61" s="30" t="s">
        <v>2637</v>
      </c>
      <c r="E61" s="30">
        <v>76.92</v>
      </c>
      <c r="F61" s="30" t="s">
        <v>2638</v>
      </c>
      <c r="G61" s="30">
        <v>76.150000000000006</v>
      </c>
      <c r="H61" s="30" t="s">
        <v>2639</v>
      </c>
      <c r="I61" s="30">
        <v>75.849999999999994</v>
      </c>
      <c r="J61" s="30" t="s">
        <v>2640</v>
      </c>
    </row>
    <row r="62" spans="1:10" x14ac:dyDescent="0.15">
      <c r="A62" s="28">
        <v>43210.894872685189</v>
      </c>
      <c r="B62" s="30">
        <v>1500</v>
      </c>
      <c r="C62" s="30">
        <v>61.69</v>
      </c>
      <c r="D62" s="30" t="s">
        <v>2641</v>
      </c>
      <c r="E62" s="30">
        <v>75.650000000000006</v>
      </c>
      <c r="F62" s="30" t="s">
        <v>2642</v>
      </c>
      <c r="G62" s="30">
        <v>76.5</v>
      </c>
      <c r="H62" s="30" t="s">
        <v>2643</v>
      </c>
      <c r="I62" s="30">
        <v>73.599999999999994</v>
      </c>
      <c r="J62" s="30" t="s">
        <v>2644</v>
      </c>
    </row>
    <row r="63" spans="1:10" x14ac:dyDescent="0.15">
      <c r="A63" s="28">
        <v>43210.894907407404</v>
      </c>
      <c r="B63" s="30">
        <v>1500</v>
      </c>
      <c r="C63" s="30">
        <v>60.58</v>
      </c>
      <c r="D63" s="30" t="s">
        <v>2645</v>
      </c>
      <c r="E63" s="30">
        <v>76.510000000000005</v>
      </c>
      <c r="F63" s="30" t="s">
        <v>2646</v>
      </c>
      <c r="G63" s="30">
        <v>74.09</v>
      </c>
      <c r="H63" s="30" t="s">
        <v>2647</v>
      </c>
      <c r="I63" s="30">
        <v>74.47</v>
      </c>
      <c r="J63" s="30" t="s">
        <v>2648</v>
      </c>
    </row>
    <row r="64" spans="1:10" x14ac:dyDescent="0.15">
      <c r="A64" s="28">
        <v>43210.894930555558</v>
      </c>
      <c r="B64" s="30">
        <v>1500</v>
      </c>
      <c r="C64" s="30">
        <v>63.65</v>
      </c>
      <c r="D64" s="30" t="s">
        <v>2649</v>
      </c>
      <c r="E64" s="30">
        <v>76.59</v>
      </c>
      <c r="F64" s="30" t="s">
        <v>2650</v>
      </c>
      <c r="G64" s="30">
        <v>74.34</v>
      </c>
      <c r="H64" s="30" t="s">
        <v>2651</v>
      </c>
      <c r="I64" s="30">
        <v>73</v>
      </c>
      <c r="J64" s="30" t="s">
        <v>2652</v>
      </c>
    </row>
    <row r="65" spans="1:10" x14ac:dyDescent="0.15">
      <c r="A65" s="28">
        <v>43210.894965277781</v>
      </c>
      <c r="B65" s="30">
        <v>1500</v>
      </c>
      <c r="C65" s="30">
        <v>60.89</v>
      </c>
      <c r="D65" s="30" t="s">
        <v>2653</v>
      </c>
      <c r="E65" s="30">
        <v>76.91</v>
      </c>
      <c r="F65" s="30" t="s">
        <v>2654</v>
      </c>
      <c r="G65" s="30">
        <v>74.14</v>
      </c>
      <c r="H65" s="30" t="s">
        <v>2655</v>
      </c>
      <c r="I65" s="30">
        <v>73.47</v>
      </c>
      <c r="J65" s="30" t="s">
        <v>2656</v>
      </c>
    </row>
    <row r="66" spans="1:10" x14ac:dyDescent="0.15">
      <c r="A66" s="28">
        <v>43210.894999999997</v>
      </c>
      <c r="B66" s="30">
        <v>1500</v>
      </c>
      <c r="C66" s="30">
        <v>63.98</v>
      </c>
      <c r="D66" s="30" t="s">
        <v>2657</v>
      </c>
      <c r="E66" s="30">
        <v>74.540000000000006</v>
      </c>
      <c r="F66" s="30" t="s">
        <v>2658</v>
      </c>
      <c r="G66" s="30">
        <v>73.709999999999994</v>
      </c>
      <c r="H66" s="30" t="s">
        <v>2659</v>
      </c>
      <c r="I66" s="30">
        <v>72.95</v>
      </c>
      <c r="J66" s="30" t="s">
        <v>2660</v>
      </c>
    </row>
    <row r="67" spans="1:10" x14ac:dyDescent="0.15">
      <c r="A67" s="28">
        <v>43210.89502314815</v>
      </c>
      <c r="B67" s="30">
        <v>1500</v>
      </c>
      <c r="C67" s="30">
        <v>62.56</v>
      </c>
      <c r="D67" s="30" t="s">
        <v>2661</v>
      </c>
      <c r="E67" s="30">
        <v>77.540000000000006</v>
      </c>
      <c r="F67" s="30" t="s">
        <v>2662</v>
      </c>
      <c r="G67" s="30">
        <v>72.569999999999993</v>
      </c>
      <c r="H67" s="30" t="s">
        <v>2663</v>
      </c>
      <c r="I67" s="30">
        <v>75.2</v>
      </c>
      <c r="J67" s="30" t="s">
        <v>2664</v>
      </c>
    </row>
    <row r="68" spans="1:10" x14ac:dyDescent="0.15">
      <c r="A68" s="28">
        <v>43210.895057870373</v>
      </c>
      <c r="B68" s="30">
        <v>1500</v>
      </c>
      <c r="C68" s="30">
        <v>59.65</v>
      </c>
      <c r="D68" s="30" t="s">
        <v>2665</v>
      </c>
      <c r="E68" s="30">
        <v>75.41</v>
      </c>
      <c r="F68" s="30" t="s">
        <v>2666</v>
      </c>
      <c r="G68" s="30">
        <v>75.180000000000007</v>
      </c>
      <c r="H68" s="30" t="s">
        <v>2667</v>
      </c>
      <c r="I68" s="30">
        <v>72.41</v>
      </c>
      <c r="J68" s="30" t="s">
        <v>2668</v>
      </c>
    </row>
    <row r="69" spans="1:10" x14ac:dyDescent="0.15">
      <c r="A69" s="28">
        <v>43210.895092592589</v>
      </c>
      <c r="B69" s="30">
        <v>1501</v>
      </c>
      <c r="C69" s="30">
        <v>59.78</v>
      </c>
      <c r="D69" s="30" t="s">
        <v>2669</v>
      </c>
      <c r="E69" s="30">
        <v>75.11</v>
      </c>
      <c r="F69" s="30" t="s">
        <v>2670</v>
      </c>
      <c r="G69" s="30">
        <v>73.260000000000005</v>
      </c>
      <c r="H69" s="30" t="s">
        <v>2671</v>
      </c>
      <c r="I69" s="30">
        <v>72.86</v>
      </c>
      <c r="J69" s="30" t="s">
        <v>2672</v>
      </c>
    </row>
    <row r="70" spans="1:10" x14ac:dyDescent="0.15">
      <c r="A70" s="28">
        <v>43210.895115740743</v>
      </c>
      <c r="B70" s="30">
        <v>1500</v>
      </c>
      <c r="C70" s="30">
        <v>59.97</v>
      </c>
      <c r="D70" s="30" t="s">
        <v>2673</v>
      </c>
      <c r="E70" s="30">
        <v>74.58</v>
      </c>
      <c r="F70" s="30" t="s">
        <v>2674</v>
      </c>
      <c r="G70" s="30">
        <v>74.12</v>
      </c>
      <c r="H70" s="30" t="s">
        <v>2675</v>
      </c>
      <c r="I70" s="30">
        <v>72.430000000000007</v>
      </c>
      <c r="J70" s="30" t="s">
        <v>2676</v>
      </c>
    </row>
    <row r="71" spans="1:10" x14ac:dyDescent="0.15">
      <c r="A71" s="28">
        <v>43210.895150462966</v>
      </c>
      <c r="B71" s="30">
        <v>1501</v>
      </c>
      <c r="C71" s="30">
        <v>60.7</v>
      </c>
      <c r="D71" s="30" t="s">
        <v>2677</v>
      </c>
      <c r="E71" s="30">
        <v>73.86</v>
      </c>
      <c r="F71" s="30" t="s">
        <v>2678</v>
      </c>
      <c r="G71" s="30">
        <v>72.819999999999993</v>
      </c>
      <c r="H71" s="30" t="s">
        <v>2679</v>
      </c>
      <c r="I71" s="30">
        <v>73.97</v>
      </c>
      <c r="J71" s="30" t="s">
        <v>2680</v>
      </c>
    </row>
    <row r="72" spans="1:10" x14ac:dyDescent="0.15">
      <c r="A72" s="28">
        <v>43210.895185185182</v>
      </c>
      <c r="B72" s="30">
        <v>1501</v>
      </c>
      <c r="C72" s="30">
        <v>59.09</v>
      </c>
      <c r="D72" s="30" t="s">
        <v>2681</v>
      </c>
      <c r="E72" s="30">
        <v>75.27</v>
      </c>
      <c r="F72" s="30" t="s">
        <v>2682</v>
      </c>
      <c r="G72" s="30">
        <v>76.260000000000005</v>
      </c>
      <c r="H72" s="30" t="s">
        <v>2683</v>
      </c>
      <c r="I72" s="30">
        <v>74.81</v>
      </c>
      <c r="J72" s="30" t="s">
        <v>2684</v>
      </c>
    </row>
    <row r="73" spans="1:10" x14ac:dyDescent="0.15">
      <c r="A73" s="28">
        <v>43210.895208333335</v>
      </c>
      <c r="B73" s="30">
        <v>1500</v>
      </c>
      <c r="C73" s="30">
        <v>59.87</v>
      </c>
      <c r="D73" s="30" t="s">
        <v>2685</v>
      </c>
      <c r="E73" s="30">
        <v>73.94</v>
      </c>
      <c r="F73" s="30" t="s">
        <v>2686</v>
      </c>
      <c r="G73" s="30">
        <v>73.8</v>
      </c>
      <c r="H73" s="30" t="s">
        <v>2687</v>
      </c>
      <c r="I73" s="30">
        <v>71.42</v>
      </c>
      <c r="J73" s="30" t="s">
        <v>2688</v>
      </c>
    </row>
    <row r="74" spans="1:10" x14ac:dyDescent="0.15">
      <c r="A74" s="28">
        <v>43210.895243055558</v>
      </c>
      <c r="B74" s="30">
        <v>1501</v>
      </c>
      <c r="C74" s="30">
        <v>60.48</v>
      </c>
      <c r="D74" s="30" t="s">
        <v>2689</v>
      </c>
      <c r="E74" s="30">
        <v>75.2</v>
      </c>
      <c r="F74" s="30" t="s">
        <v>2690</v>
      </c>
      <c r="G74" s="30">
        <v>71.400000000000006</v>
      </c>
      <c r="H74" s="30" t="s">
        <v>2691</v>
      </c>
      <c r="I74" s="30">
        <v>73.069999999999993</v>
      </c>
      <c r="J74" s="30" t="s">
        <v>2692</v>
      </c>
    </row>
    <row r="75" spans="1:10" x14ac:dyDescent="0.15">
      <c r="A75" s="28">
        <v>43210.895289351851</v>
      </c>
      <c r="B75" s="30">
        <v>1500</v>
      </c>
      <c r="C75" s="30">
        <v>61.96</v>
      </c>
      <c r="D75" s="30" t="s">
        <v>2693</v>
      </c>
      <c r="E75" s="30">
        <v>73</v>
      </c>
      <c r="F75" s="30" t="s">
        <v>2694</v>
      </c>
      <c r="G75" s="30">
        <v>72.84</v>
      </c>
      <c r="H75" s="30" t="s">
        <v>2695</v>
      </c>
      <c r="I75" s="30">
        <v>71.48</v>
      </c>
      <c r="J75" s="30" t="s">
        <v>2696</v>
      </c>
    </row>
    <row r="76" spans="1:10" x14ac:dyDescent="0.15">
      <c r="A76" s="28">
        <v>43210.895324074074</v>
      </c>
      <c r="B76" s="30">
        <v>1500</v>
      </c>
      <c r="C76" s="30">
        <v>59.3</v>
      </c>
      <c r="D76" s="30" t="s">
        <v>2697</v>
      </c>
      <c r="E76" s="30">
        <v>72.400000000000006</v>
      </c>
      <c r="F76" s="30" t="s">
        <v>2698</v>
      </c>
      <c r="G76" s="30">
        <v>75.16</v>
      </c>
      <c r="H76" s="30" t="s">
        <v>2699</v>
      </c>
      <c r="I76" s="30">
        <v>71.44</v>
      </c>
      <c r="J76" s="30" t="s">
        <v>2700</v>
      </c>
    </row>
    <row r="77" spans="1:10" x14ac:dyDescent="0.15">
      <c r="A77" s="28">
        <v>43210.895358796297</v>
      </c>
      <c r="B77" s="30">
        <v>1500</v>
      </c>
      <c r="C77" s="30">
        <v>59.18</v>
      </c>
      <c r="D77" s="30" t="s">
        <v>2701</v>
      </c>
      <c r="E77" s="30">
        <v>73.88</v>
      </c>
      <c r="F77" s="30" t="s">
        <v>2702</v>
      </c>
      <c r="G77" s="30">
        <v>70.459999999999994</v>
      </c>
      <c r="H77" s="30" t="s">
        <v>2703</v>
      </c>
      <c r="I77" s="30">
        <v>71.06</v>
      </c>
      <c r="J77" s="30" t="s">
        <v>2704</v>
      </c>
    </row>
    <row r="78" spans="1:10" x14ac:dyDescent="0.15">
      <c r="A78" s="28">
        <v>43210.89539351852</v>
      </c>
      <c r="B78" s="30">
        <v>1500</v>
      </c>
      <c r="C78" s="30">
        <v>60.72</v>
      </c>
      <c r="D78" s="30" t="s">
        <v>2705</v>
      </c>
      <c r="E78" s="30">
        <v>73.13</v>
      </c>
      <c r="F78" s="30" t="s">
        <v>2706</v>
      </c>
      <c r="G78" s="30">
        <v>69.599999999999994</v>
      </c>
      <c r="H78" s="30" t="s">
        <v>2707</v>
      </c>
      <c r="I78" s="30">
        <v>71.38</v>
      </c>
      <c r="J78" s="30" t="s">
        <v>2708</v>
      </c>
    </row>
    <row r="79" spans="1:10" x14ac:dyDescent="0.15">
      <c r="A79" s="28">
        <v>43210.895428240743</v>
      </c>
      <c r="B79" s="30">
        <v>1501</v>
      </c>
      <c r="C79" s="30">
        <v>58.81</v>
      </c>
      <c r="D79" s="30" t="s">
        <v>2709</v>
      </c>
      <c r="E79" s="30">
        <v>72.83</v>
      </c>
      <c r="F79" s="30" t="s">
        <v>2710</v>
      </c>
      <c r="G79" s="30">
        <v>73.900000000000006</v>
      </c>
      <c r="H79" s="30" t="s">
        <v>2711</v>
      </c>
      <c r="I79" s="30">
        <v>69.959999999999994</v>
      </c>
      <c r="J79" s="30" t="s">
        <v>2712</v>
      </c>
    </row>
    <row r="80" spans="1:10" x14ac:dyDescent="0.15">
      <c r="A80" s="28">
        <v>43210.895462962966</v>
      </c>
      <c r="B80" s="30">
        <v>1500</v>
      </c>
      <c r="C80" s="30">
        <v>58.95</v>
      </c>
      <c r="D80" s="30" t="s">
        <v>2713</v>
      </c>
      <c r="E80" s="30">
        <v>72.02</v>
      </c>
      <c r="F80" s="30" t="s">
        <v>2714</v>
      </c>
      <c r="G80" s="30">
        <v>71.680000000000007</v>
      </c>
      <c r="H80" s="30" t="s">
        <v>2715</v>
      </c>
      <c r="I80" s="30">
        <v>70.47</v>
      </c>
      <c r="J80" s="30" t="s">
        <v>2716</v>
      </c>
    </row>
    <row r="81" spans="1:10" x14ac:dyDescent="0.15">
      <c r="A81" s="28">
        <v>43210.895497685182</v>
      </c>
      <c r="B81" s="30">
        <v>1501</v>
      </c>
      <c r="C81" s="30">
        <v>59.36</v>
      </c>
      <c r="D81" s="30" t="s">
        <v>2717</v>
      </c>
      <c r="E81" s="30">
        <v>73.3</v>
      </c>
      <c r="F81" s="30" t="s">
        <v>2718</v>
      </c>
      <c r="G81" s="30">
        <v>71.87</v>
      </c>
      <c r="H81" s="30" t="s">
        <v>2719</v>
      </c>
      <c r="I81" s="30">
        <v>70.81</v>
      </c>
      <c r="J81" s="30" t="s">
        <v>2720</v>
      </c>
    </row>
    <row r="82" spans="1:10" x14ac:dyDescent="0.15">
      <c r="A82" s="28">
        <v>43210.895520833335</v>
      </c>
      <c r="B82" s="30">
        <v>1500</v>
      </c>
      <c r="C82" s="30">
        <v>57.63</v>
      </c>
      <c r="D82" s="30" t="s">
        <v>2721</v>
      </c>
      <c r="E82" s="30">
        <v>71.599999999999994</v>
      </c>
      <c r="F82" s="30" t="s">
        <v>2722</v>
      </c>
      <c r="G82" s="30">
        <v>70.02</v>
      </c>
      <c r="H82" s="30" t="s">
        <v>2723</v>
      </c>
      <c r="I82" s="30">
        <v>70.989999999999995</v>
      </c>
      <c r="J82" s="30" t="s">
        <v>2724</v>
      </c>
    </row>
    <row r="83" spans="1:10" x14ac:dyDescent="0.15">
      <c r="A83" s="28">
        <v>43210.895555555559</v>
      </c>
      <c r="B83" s="30">
        <v>1500</v>
      </c>
      <c r="C83" s="30">
        <v>59.86</v>
      </c>
      <c r="D83" s="30" t="s">
        <v>2725</v>
      </c>
      <c r="E83" s="30">
        <v>74.28</v>
      </c>
      <c r="F83" s="30" t="s">
        <v>2726</v>
      </c>
      <c r="G83" s="30">
        <v>69.13</v>
      </c>
      <c r="H83" s="30" t="s">
        <v>2727</v>
      </c>
      <c r="I83" s="30">
        <v>71.83</v>
      </c>
      <c r="J83" s="30" t="s">
        <v>2728</v>
      </c>
    </row>
    <row r="84" spans="1:10" x14ac:dyDescent="0.15">
      <c r="A84" s="28">
        <v>43210.895590277774</v>
      </c>
      <c r="B84" s="30">
        <v>1501</v>
      </c>
      <c r="C84" s="30">
        <v>58.5</v>
      </c>
      <c r="D84" s="30" t="s">
        <v>2729</v>
      </c>
      <c r="E84" s="30">
        <v>70.709999999999994</v>
      </c>
      <c r="F84" s="30" t="s">
        <v>2730</v>
      </c>
      <c r="G84" s="30">
        <v>72.040000000000006</v>
      </c>
      <c r="H84" s="30" t="s">
        <v>2731</v>
      </c>
      <c r="I84" s="30">
        <v>67.790000000000006</v>
      </c>
      <c r="J84" s="30" t="s">
        <v>2732</v>
      </c>
    </row>
    <row r="85" spans="1:10" x14ac:dyDescent="0.15">
      <c r="A85" s="28">
        <v>43210.895613425928</v>
      </c>
      <c r="B85" s="30">
        <v>1500</v>
      </c>
      <c r="C85" s="30">
        <v>57.66</v>
      </c>
      <c r="D85" s="30" t="s">
        <v>2733</v>
      </c>
      <c r="E85" s="30">
        <v>71.430000000000007</v>
      </c>
      <c r="F85" s="30" t="s">
        <v>2734</v>
      </c>
      <c r="G85" s="30">
        <v>71.34</v>
      </c>
      <c r="H85" s="30" t="s">
        <v>2735</v>
      </c>
      <c r="I85" s="30">
        <v>68.05</v>
      </c>
      <c r="J85" s="30" t="s">
        <v>2736</v>
      </c>
    </row>
    <row r="86" spans="1:10" x14ac:dyDescent="0.15">
      <c r="A86" s="28">
        <v>43210.895648148151</v>
      </c>
      <c r="B86" s="30">
        <v>1501</v>
      </c>
      <c r="C86" s="30">
        <v>56.7</v>
      </c>
      <c r="D86" s="30" t="s">
        <v>2737</v>
      </c>
      <c r="E86" s="30">
        <v>70.86</v>
      </c>
      <c r="F86" s="30" t="s">
        <v>2738</v>
      </c>
      <c r="G86" s="30">
        <v>71.34</v>
      </c>
      <c r="H86" s="30" t="s">
        <v>2735</v>
      </c>
      <c r="I86" s="30">
        <v>68.05</v>
      </c>
      <c r="J86" s="30" t="s">
        <v>2736</v>
      </c>
    </row>
    <row r="87" spans="1:10" x14ac:dyDescent="0.15">
      <c r="A87" s="28">
        <v>43210.89565972222</v>
      </c>
      <c r="B87" s="30">
        <v>1501</v>
      </c>
      <c r="C87" s="30">
        <v>56.7</v>
      </c>
      <c r="D87" s="30" t="s">
        <v>2737</v>
      </c>
      <c r="E87" s="30">
        <v>70.86</v>
      </c>
      <c r="F87" s="30" t="s">
        <v>2738</v>
      </c>
      <c r="G87" s="30">
        <v>69.8</v>
      </c>
      <c r="H87" s="30" t="s">
        <v>2739</v>
      </c>
      <c r="I87" s="30">
        <v>70.31</v>
      </c>
      <c r="J87" s="30" t="s">
        <v>2740</v>
      </c>
    </row>
    <row r="88" spans="1:10" x14ac:dyDescent="0.15">
      <c r="A88" s="28">
        <v>43210.895682870374</v>
      </c>
      <c r="B88" s="30">
        <v>1501</v>
      </c>
      <c r="C88" s="30">
        <v>57.71</v>
      </c>
      <c r="D88" s="30" t="s">
        <v>2741</v>
      </c>
      <c r="E88" s="30">
        <v>69.87</v>
      </c>
      <c r="F88" s="30" t="s">
        <v>2742</v>
      </c>
      <c r="G88" s="30">
        <v>69.930000000000007</v>
      </c>
      <c r="H88" s="30" t="s">
        <v>2743</v>
      </c>
      <c r="I88" s="30">
        <v>69.680000000000007</v>
      </c>
      <c r="J88" s="30" t="s">
        <v>2744</v>
      </c>
    </row>
    <row r="89" spans="1:10" x14ac:dyDescent="0.15">
      <c r="A89" s="28">
        <v>43210.89571759259</v>
      </c>
      <c r="B89" s="30">
        <v>1500</v>
      </c>
      <c r="C89" s="30">
        <v>59.36</v>
      </c>
      <c r="D89" s="30" t="s">
        <v>2745</v>
      </c>
      <c r="E89" s="30">
        <v>70.209999999999994</v>
      </c>
      <c r="F89" s="30" t="s">
        <v>2746</v>
      </c>
      <c r="G89" s="30">
        <v>70.88</v>
      </c>
      <c r="H89" s="30" t="s">
        <v>2747</v>
      </c>
      <c r="I89" s="30">
        <v>68.569999999999993</v>
      </c>
      <c r="J89" s="30" t="s">
        <v>2748</v>
      </c>
    </row>
    <row r="90" spans="1:10" x14ac:dyDescent="0.15">
      <c r="A90" s="28">
        <v>43210.895740740743</v>
      </c>
      <c r="B90" s="30">
        <v>1501</v>
      </c>
      <c r="C90" s="30">
        <v>56.86</v>
      </c>
      <c r="D90" s="30" t="s">
        <v>2749</v>
      </c>
      <c r="E90" s="30">
        <v>69.52</v>
      </c>
      <c r="F90" s="30" t="s">
        <v>2750</v>
      </c>
      <c r="G90" s="30">
        <v>70.53</v>
      </c>
      <c r="H90" s="30" t="s">
        <v>2751</v>
      </c>
      <c r="I90" s="30">
        <v>68.38</v>
      </c>
      <c r="J90" s="30" t="s">
        <v>2752</v>
      </c>
    </row>
    <row r="91" spans="1:10" x14ac:dyDescent="0.15">
      <c r="A91" s="28">
        <v>43210.895775462966</v>
      </c>
      <c r="B91" s="30">
        <v>1500</v>
      </c>
      <c r="C91" s="30">
        <v>57.5</v>
      </c>
      <c r="D91" s="30" t="s">
        <v>2753</v>
      </c>
      <c r="E91" s="30">
        <v>72.069999999999993</v>
      </c>
      <c r="F91" s="30" t="s">
        <v>2754</v>
      </c>
      <c r="G91" s="30">
        <v>68.099999999999994</v>
      </c>
      <c r="H91" s="30" t="s">
        <v>2755</v>
      </c>
      <c r="I91" s="30">
        <v>69.349999999999994</v>
      </c>
      <c r="J91" s="30" t="s">
        <v>2756</v>
      </c>
    </row>
    <row r="92" spans="1:10" x14ac:dyDescent="0.15">
      <c r="A92" s="28">
        <v>43210.895810185182</v>
      </c>
      <c r="B92" s="30">
        <v>1500</v>
      </c>
      <c r="C92" s="30">
        <v>57.82</v>
      </c>
      <c r="D92" s="30" t="s">
        <v>2757</v>
      </c>
      <c r="E92" s="30">
        <v>70.290000000000006</v>
      </c>
      <c r="F92" s="30" t="s">
        <v>2758</v>
      </c>
      <c r="G92" s="30">
        <v>70.599999999999994</v>
      </c>
      <c r="H92" s="30" t="s">
        <v>2759</v>
      </c>
      <c r="I92" s="30">
        <v>69.36</v>
      </c>
      <c r="J92" s="30" t="s">
        <v>2760</v>
      </c>
    </row>
    <row r="93" spans="1:10" x14ac:dyDescent="0.15">
      <c r="A93" s="28">
        <v>43210.895833333336</v>
      </c>
      <c r="B93" s="30">
        <v>1500</v>
      </c>
      <c r="C93" s="30">
        <v>56.13</v>
      </c>
      <c r="D93" s="30" t="s">
        <v>2761</v>
      </c>
      <c r="E93" s="30">
        <v>70.38</v>
      </c>
      <c r="F93" s="30" t="s">
        <v>2762</v>
      </c>
      <c r="G93" s="30">
        <v>69.849999999999994</v>
      </c>
      <c r="H93" s="30" t="s">
        <v>2763</v>
      </c>
      <c r="I93" s="30">
        <v>69.3</v>
      </c>
      <c r="J93" s="30" t="s">
        <v>2764</v>
      </c>
    </row>
    <row r="94" spans="1:10" x14ac:dyDescent="0.15">
      <c r="A94" s="28">
        <v>43210.895868055559</v>
      </c>
      <c r="B94" s="30">
        <v>1500</v>
      </c>
      <c r="C94" s="30">
        <v>56.39</v>
      </c>
      <c r="D94" s="30" t="s">
        <v>2765</v>
      </c>
      <c r="E94" s="30">
        <v>68.739999999999995</v>
      </c>
      <c r="F94" s="30" t="s">
        <v>2766</v>
      </c>
      <c r="G94" s="30">
        <v>68.760000000000005</v>
      </c>
      <c r="H94" s="30" t="s">
        <v>2767</v>
      </c>
      <c r="I94" s="30">
        <v>67.260000000000005</v>
      </c>
      <c r="J94" s="30" t="s">
        <v>2768</v>
      </c>
    </row>
    <row r="95" spans="1:10" x14ac:dyDescent="0.15">
      <c r="A95" s="28">
        <v>43210.895902777775</v>
      </c>
      <c r="B95" s="30">
        <v>1500</v>
      </c>
      <c r="C95" s="30">
        <v>56.73</v>
      </c>
      <c r="D95" s="30" t="s">
        <v>2769</v>
      </c>
      <c r="E95" s="30">
        <v>70.03</v>
      </c>
      <c r="F95" s="30" t="s">
        <v>2770</v>
      </c>
      <c r="G95" s="30">
        <v>68</v>
      </c>
      <c r="H95" s="30" t="s">
        <v>2771</v>
      </c>
      <c r="I95" s="30">
        <v>68.36</v>
      </c>
      <c r="J95" s="30" t="s">
        <v>2772</v>
      </c>
    </row>
    <row r="96" spans="1:10" x14ac:dyDescent="0.15">
      <c r="A96" s="28">
        <v>43210.895925925928</v>
      </c>
      <c r="B96" s="30">
        <v>1500</v>
      </c>
      <c r="C96" s="30">
        <v>56.93</v>
      </c>
      <c r="D96" s="30" t="s">
        <v>2773</v>
      </c>
      <c r="E96" s="30">
        <v>69</v>
      </c>
      <c r="F96" s="30" t="s">
        <v>2774</v>
      </c>
      <c r="G96" s="30">
        <v>68.06</v>
      </c>
      <c r="H96" s="30" t="s">
        <v>2775</v>
      </c>
      <c r="I96" s="30">
        <v>67.16</v>
      </c>
      <c r="J96" s="30" t="s">
        <v>2776</v>
      </c>
    </row>
    <row r="97" spans="1:10" x14ac:dyDescent="0.15">
      <c r="A97" s="28">
        <v>43210.895960648151</v>
      </c>
      <c r="B97" s="30">
        <v>1500</v>
      </c>
      <c r="C97" s="30">
        <v>56.4</v>
      </c>
      <c r="D97" s="30" t="s">
        <v>2777</v>
      </c>
      <c r="E97" s="30">
        <v>68</v>
      </c>
      <c r="F97" s="30" t="s">
        <v>2778</v>
      </c>
      <c r="G97" s="30">
        <v>67.61</v>
      </c>
      <c r="H97" s="30" t="s">
        <v>2779</v>
      </c>
      <c r="I97" s="30">
        <v>66.209999999999994</v>
      </c>
      <c r="J97" s="30" t="s">
        <v>2780</v>
      </c>
    </row>
    <row r="98" spans="1:10" x14ac:dyDescent="0.15">
      <c r="A98" s="28">
        <v>43210.895995370367</v>
      </c>
      <c r="B98" s="30">
        <v>1500</v>
      </c>
      <c r="C98" s="30">
        <v>55.46</v>
      </c>
      <c r="D98" s="30" t="s">
        <v>2781</v>
      </c>
      <c r="E98" s="30">
        <v>70.22</v>
      </c>
      <c r="F98" s="30" t="s">
        <v>2782</v>
      </c>
      <c r="G98" s="30">
        <v>69.75</v>
      </c>
      <c r="H98" s="30" t="s">
        <v>2783</v>
      </c>
      <c r="I98" s="30">
        <v>67.67</v>
      </c>
      <c r="J98" s="30" t="s">
        <v>2784</v>
      </c>
    </row>
    <row r="99" spans="1:10" x14ac:dyDescent="0.15">
      <c r="A99" s="28">
        <v>43210.89603009259</v>
      </c>
      <c r="B99" s="30">
        <v>1499</v>
      </c>
      <c r="C99" s="30">
        <v>58.25</v>
      </c>
      <c r="D99" s="30" t="s">
        <v>2785</v>
      </c>
      <c r="E99" s="30">
        <v>69.349999999999994</v>
      </c>
      <c r="F99" s="30" t="s">
        <v>2786</v>
      </c>
      <c r="G99" s="30">
        <v>67.69</v>
      </c>
      <c r="H99" s="30" t="s">
        <v>2787</v>
      </c>
      <c r="I99" s="30">
        <v>67.12</v>
      </c>
      <c r="J99" s="30" t="s">
        <v>2788</v>
      </c>
    </row>
    <row r="100" spans="1:10" x14ac:dyDescent="0.15">
      <c r="A100" s="28">
        <v>43210.896053240744</v>
      </c>
      <c r="B100" s="30">
        <v>1500</v>
      </c>
      <c r="C100" s="30">
        <v>55.49</v>
      </c>
      <c r="D100" s="30" t="s">
        <v>2789</v>
      </c>
      <c r="E100" s="30">
        <v>68.53</v>
      </c>
      <c r="F100" s="30" t="s">
        <v>2790</v>
      </c>
      <c r="G100" s="30">
        <v>68.569999999999993</v>
      </c>
      <c r="H100" s="30" t="s">
        <v>2791</v>
      </c>
      <c r="I100" s="30">
        <v>67.510000000000005</v>
      </c>
      <c r="J100" s="30" t="s">
        <v>2792</v>
      </c>
    </row>
    <row r="101" spans="1:10" x14ac:dyDescent="0.15">
      <c r="A101" s="28">
        <v>43210.896087962959</v>
      </c>
      <c r="B101" s="30">
        <v>1499</v>
      </c>
      <c r="C101" s="30">
        <v>55.23</v>
      </c>
      <c r="D101" s="30" t="s">
        <v>2793</v>
      </c>
      <c r="E101" s="30">
        <v>68.849999999999994</v>
      </c>
      <c r="F101" s="30" t="s">
        <v>2794</v>
      </c>
      <c r="G101" s="30">
        <v>67.760000000000005</v>
      </c>
      <c r="H101" s="30" t="s">
        <v>2795</v>
      </c>
      <c r="I101" s="30">
        <v>66.92</v>
      </c>
      <c r="J101" s="30" t="s">
        <v>2796</v>
      </c>
    </row>
    <row r="102" spans="1:10" x14ac:dyDescent="0.15">
      <c r="A102" s="28">
        <v>43210.896111111113</v>
      </c>
      <c r="B102" s="30">
        <v>1499</v>
      </c>
      <c r="C102" s="30">
        <v>54.45</v>
      </c>
      <c r="D102" s="30" t="s">
        <v>2797</v>
      </c>
      <c r="E102" s="30">
        <v>69.41</v>
      </c>
      <c r="F102" s="30" t="s">
        <v>2798</v>
      </c>
      <c r="G102" s="30">
        <v>67.459999999999994</v>
      </c>
      <c r="H102" s="30" t="s">
        <v>2799</v>
      </c>
      <c r="I102" s="30">
        <v>66.28</v>
      </c>
      <c r="J102" s="30" t="s">
        <v>2800</v>
      </c>
    </row>
    <row r="103" spans="1:10" x14ac:dyDescent="0.15">
      <c r="A103" s="28">
        <v>43210.896145833336</v>
      </c>
      <c r="B103" s="30">
        <v>1499</v>
      </c>
      <c r="C103" s="30">
        <v>56.04</v>
      </c>
      <c r="D103" s="30" t="s">
        <v>2801</v>
      </c>
      <c r="E103" s="30">
        <v>68.16</v>
      </c>
      <c r="F103" s="30" t="s">
        <v>2802</v>
      </c>
      <c r="G103" s="30">
        <v>66.819999999999993</v>
      </c>
      <c r="H103" s="30" t="s">
        <v>2803</v>
      </c>
      <c r="I103" s="30">
        <v>68.099999999999994</v>
      </c>
      <c r="J103" s="30" t="s">
        <v>2804</v>
      </c>
    </row>
    <row r="104" spans="1:10" x14ac:dyDescent="0.15">
      <c r="A104" s="28">
        <v>43210.896180555559</v>
      </c>
      <c r="B104" s="30">
        <v>1499</v>
      </c>
      <c r="C104" s="30">
        <v>56.34</v>
      </c>
      <c r="D104" s="30" t="s">
        <v>2805</v>
      </c>
      <c r="E104" s="30">
        <v>70.319999999999993</v>
      </c>
      <c r="F104" s="30" t="s">
        <v>2806</v>
      </c>
      <c r="G104" s="30">
        <v>66.290000000000006</v>
      </c>
      <c r="H104" s="30" t="s">
        <v>2807</v>
      </c>
      <c r="I104" s="30">
        <v>67.33</v>
      </c>
      <c r="J104" s="30" t="s">
        <v>2808</v>
      </c>
    </row>
    <row r="105" spans="1:10" x14ac:dyDescent="0.15">
      <c r="A105" s="28">
        <v>43210.896215277775</v>
      </c>
      <c r="B105" s="30">
        <v>1499</v>
      </c>
      <c r="C105" s="30">
        <v>54.44</v>
      </c>
      <c r="D105" s="30" t="s">
        <v>2809</v>
      </c>
      <c r="E105" s="30">
        <v>67.88</v>
      </c>
      <c r="F105" s="30" t="s">
        <v>2810</v>
      </c>
      <c r="G105" s="30">
        <v>66.59</v>
      </c>
      <c r="H105" s="30" t="s">
        <v>2811</v>
      </c>
      <c r="I105" s="30">
        <v>67.099999999999994</v>
      </c>
      <c r="J105" s="30" t="s">
        <v>2812</v>
      </c>
    </row>
    <row r="106" spans="1:10" x14ac:dyDescent="0.15">
      <c r="A106" s="28">
        <v>43210.896238425928</v>
      </c>
      <c r="B106" s="30">
        <v>1499</v>
      </c>
      <c r="C106" s="30">
        <v>55.71</v>
      </c>
      <c r="D106" s="30" t="s">
        <v>2813</v>
      </c>
      <c r="E106" s="30">
        <v>67.92</v>
      </c>
      <c r="F106" s="30" t="s">
        <v>2814</v>
      </c>
      <c r="G106" s="30">
        <v>67.569999999999993</v>
      </c>
      <c r="H106" s="30" t="s">
        <v>2815</v>
      </c>
      <c r="I106" s="30">
        <v>65.569999999999993</v>
      </c>
      <c r="J106" s="30" t="s">
        <v>2816</v>
      </c>
    </row>
    <row r="107" spans="1:10" x14ac:dyDescent="0.15">
      <c r="A107" s="28">
        <v>43210.896273148152</v>
      </c>
      <c r="B107" s="30">
        <v>1499</v>
      </c>
      <c r="C107" s="30">
        <v>54.46</v>
      </c>
      <c r="D107" s="30" t="s">
        <v>2817</v>
      </c>
      <c r="E107" s="30">
        <v>67.73</v>
      </c>
      <c r="F107" s="30" t="s">
        <v>2818</v>
      </c>
      <c r="G107" s="30">
        <v>67.94</v>
      </c>
      <c r="H107" s="30" t="s">
        <v>2819</v>
      </c>
      <c r="I107" s="30">
        <v>67.25</v>
      </c>
      <c r="J107" s="30" t="s">
        <v>2820</v>
      </c>
    </row>
    <row r="108" spans="1:10" x14ac:dyDescent="0.15">
      <c r="A108" s="28">
        <v>43210.896307870367</v>
      </c>
      <c r="B108" s="30">
        <v>1499</v>
      </c>
      <c r="C108" s="30">
        <v>56.11</v>
      </c>
      <c r="D108" s="30" t="s">
        <v>2821</v>
      </c>
      <c r="E108" s="30">
        <v>68.44</v>
      </c>
      <c r="F108" s="30" t="s">
        <v>2822</v>
      </c>
      <c r="G108" s="30">
        <v>65.89</v>
      </c>
      <c r="H108" s="30" t="s">
        <v>2811</v>
      </c>
      <c r="I108" s="30">
        <v>66.16</v>
      </c>
      <c r="J108" s="30" t="s">
        <v>2823</v>
      </c>
    </row>
    <row r="109" spans="1:10" x14ac:dyDescent="0.15">
      <c r="A109" s="28">
        <v>43210.896331018521</v>
      </c>
      <c r="B109" s="30">
        <v>1499</v>
      </c>
      <c r="C109" s="30">
        <v>55.37</v>
      </c>
      <c r="D109" s="30" t="s">
        <v>2824</v>
      </c>
      <c r="E109" s="30">
        <v>69.56</v>
      </c>
      <c r="F109" s="30" t="s">
        <v>2825</v>
      </c>
      <c r="G109" s="30">
        <v>66.39</v>
      </c>
      <c r="H109" s="30" t="s">
        <v>2826</v>
      </c>
      <c r="I109" s="30">
        <v>66.349999999999994</v>
      </c>
      <c r="J109" s="30" t="s">
        <v>2827</v>
      </c>
    </row>
    <row r="110" spans="1:10" x14ac:dyDescent="0.15">
      <c r="A110" s="28">
        <v>43210.896365740744</v>
      </c>
      <c r="B110" s="30">
        <v>1499</v>
      </c>
      <c r="C110" s="30">
        <v>57.26</v>
      </c>
      <c r="D110" s="30" t="s">
        <v>2828</v>
      </c>
      <c r="E110" s="30">
        <v>67.31</v>
      </c>
      <c r="F110" s="30" t="s">
        <v>2829</v>
      </c>
      <c r="G110" s="30">
        <v>65.319999999999993</v>
      </c>
      <c r="H110" s="30" t="s">
        <v>2830</v>
      </c>
      <c r="I110" s="30">
        <v>65.34</v>
      </c>
      <c r="J110" s="30" t="s">
        <v>2831</v>
      </c>
    </row>
    <row r="111" spans="1:10" x14ac:dyDescent="0.15">
      <c r="A111" s="28">
        <v>43210.89640046296</v>
      </c>
      <c r="B111" s="30">
        <v>1499</v>
      </c>
      <c r="C111" s="30">
        <v>55.45</v>
      </c>
      <c r="D111" s="30" t="s">
        <v>2832</v>
      </c>
      <c r="E111" s="30">
        <v>69.12</v>
      </c>
      <c r="F111" s="30" t="s">
        <v>2833</v>
      </c>
      <c r="G111" s="30">
        <v>65.319999999999993</v>
      </c>
      <c r="H111" s="30" t="s">
        <v>2830</v>
      </c>
      <c r="I111" s="30">
        <v>65.34</v>
      </c>
      <c r="J111" s="30" t="s">
        <v>2831</v>
      </c>
    </row>
    <row r="112" spans="1:10" x14ac:dyDescent="0.15">
      <c r="A112" s="28">
        <v>43210.896412037036</v>
      </c>
      <c r="B112" s="30">
        <v>1499</v>
      </c>
      <c r="C112" s="30">
        <v>55.45</v>
      </c>
      <c r="D112" s="30" t="s">
        <v>2832</v>
      </c>
      <c r="E112" s="30">
        <v>69.12</v>
      </c>
      <c r="F112" s="30" t="s">
        <v>2833</v>
      </c>
      <c r="G112" s="30">
        <v>65.260000000000005</v>
      </c>
      <c r="H112" s="30" t="s">
        <v>2834</v>
      </c>
      <c r="I112" s="30">
        <v>67.55</v>
      </c>
      <c r="J112" s="30" t="s">
        <v>2835</v>
      </c>
    </row>
    <row r="113" spans="1:10" x14ac:dyDescent="0.15">
      <c r="A113" s="28">
        <v>43210.896423611113</v>
      </c>
      <c r="B113" s="30">
        <v>1499</v>
      </c>
      <c r="C113" s="30">
        <v>55.43</v>
      </c>
      <c r="D113" s="30" t="s">
        <v>2836</v>
      </c>
      <c r="E113" s="30">
        <v>67.08</v>
      </c>
      <c r="F113" s="30" t="s">
        <v>2837</v>
      </c>
      <c r="G113" s="30">
        <v>65.260000000000005</v>
      </c>
      <c r="H113" s="30" t="s">
        <v>2834</v>
      </c>
      <c r="I113" s="30">
        <v>67.55</v>
      </c>
      <c r="J113" s="30" t="s">
        <v>2835</v>
      </c>
    </row>
    <row r="114" spans="1:10" x14ac:dyDescent="0.15">
      <c r="A114" s="28">
        <v>43210.89644675926</v>
      </c>
      <c r="B114" s="30">
        <v>1499</v>
      </c>
      <c r="C114" s="30">
        <v>55.43</v>
      </c>
      <c r="D114" s="30" t="s">
        <v>2836</v>
      </c>
      <c r="E114" s="30">
        <v>67.08</v>
      </c>
      <c r="F114" s="30" t="s">
        <v>2837</v>
      </c>
      <c r="G114" s="30">
        <v>65.67</v>
      </c>
      <c r="H114" s="30" t="s">
        <v>2838</v>
      </c>
      <c r="I114" s="30">
        <v>66.180000000000007</v>
      </c>
      <c r="J114" s="30" t="s">
        <v>2839</v>
      </c>
    </row>
    <row r="115" spans="1:10" x14ac:dyDescent="0.15">
      <c r="A115" s="28">
        <v>43210.896458333336</v>
      </c>
      <c r="B115" s="30">
        <v>1499</v>
      </c>
      <c r="C115" s="30">
        <v>56.91</v>
      </c>
      <c r="D115" s="30" t="s">
        <v>2840</v>
      </c>
      <c r="E115" s="30">
        <v>66.86</v>
      </c>
      <c r="F115" s="30" t="s">
        <v>2841</v>
      </c>
      <c r="G115" s="30">
        <v>65.67</v>
      </c>
      <c r="H115" s="30" t="s">
        <v>2838</v>
      </c>
      <c r="I115" s="30">
        <v>66.180000000000007</v>
      </c>
      <c r="J115" s="30" t="s">
        <v>2839</v>
      </c>
    </row>
    <row r="116" spans="1:10" x14ac:dyDescent="0.15">
      <c r="A116" s="28">
        <v>43210.896481481483</v>
      </c>
      <c r="B116" s="30">
        <v>1499</v>
      </c>
      <c r="C116" s="30">
        <v>56.91</v>
      </c>
      <c r="D116" s="30" t="s">
        <v>2840</v>
      </c>
      <c r="E116" s="30">
        <v>66.86</v>
      </c>
      <c r="F116" s="30" t="s">
        <v>2841</v>
      </c>
      <c r="G116" s="30">
        <v>66.650000000000006</v>
      </c>
      <c r="H116" s="30" t="s">
        <v>2842</v>
      </c>
      <c r="I116" s="30">
        <v>65.23</v>
      </c>
      <c r="J116" s="30" t="s">
        <v>2843</v>
      </c>
    </row>
    <row r="117" spans="1:10" x14ac:dyDescent="0.15">
      <c r="A117" s="28">
        <v>43210.896493055552</v>
      </c>
      <c r="B117" s="30">
        <v>1499</v>
      </c>
      <c r="C117" s="30">
        <v>54.11</v>
      </c>
      <c r="D117" s="30" t="s">
        <v>2844</v>
      </c>
      <c r="E117" s="30">
        <v>67.62</v>
      </c>
      <c r="F117" s="30" t="s">
        <v>2845</v>
      </c>
      <c r="G117" s="30">
        <v>66.650000000000006</v>
      </c>
      <c r="H117" s="30" t="s">
        <v>2842</v>
      </c>
      <c r="I117" s="30">
        <v>65.23</v>
      </c>
      <c r="J117" s="30" t="s">
        <v>2843</v>
      </c>
    </row>
    <row r="118" spans="1:10" x14ac:dyDescent="0.15">
      <c r="A118" s="28">
        <v>43210.896516203706</v>
      </c>
      <c r="B118" s="30">
        <v>1499</v>
      </c>
      <c r="C118" s="30">
        <v>53.84</v>
      </c>
      <c r="D118" s="30" t="s">
        <v>2846</v>
      </c>
      <c r="E118" s="30">
        <v>67.11</v>
      </c>
      <c r="F118" s="30" t="s">
        <v>2847</v>
      </c>
      <c r="G118" s="30">
        <v>67.69</v>
      </c>
      <c r="H118" s="30" t="s">
        <v>2848</v>
      </c>
      <c r="I118" s="30">
        <v>65.23</v>
      </c>
      <c r="J118" s="30" t="s">
        <v>2849</v>
      </c>
    </row>
    <row r="119" spans="1:10" x14ac:dyDescent="0.15">
      <c r="A119" s="28">
        <v>43210.896550925929</v>
      </c>
      <c r="B119" s="30">
        <v>1499</v>
      </c>
      <c r="C119" s="30">
        <v>56.65</v>
      </c>
      <c r="D119" s="30" t="s">
        <v>2850</v>
      </c>
      <c r="E119" s="30">
        <v>67.37</v>
      </c>
      <c r="F119" s="30" t="s">
        <v>2851</v>
      </c>
      <c r="G119" s="30">
        <v>65.37</v>
      </c>
      <c r="H119" s="30" t="s">
        <v>2852</v>
      </c>
      <c r="I119" s="30">
        <v>65.52</v>
      </c>
      <c r="J119" s="30" t="s">
        <v>2853</v>
      </c>
    </row>
    <row r="120" spans="1:10" x14ac:dyDescent="0.15">
      <c r="A120" s="28">
        <v>43210.896585648145</v>
      </c>
      <c r="B120" s="30">
        <v>1499</v>
      </c>
      <c r="C120" s="30">
        <v>54.63</v>
      </c>
      <c r="D120" s="30" t="s">
        <v>2854</v>
      </c>
      <c r="E120" s="30">
        <v>67.069999999999993</v>
      </c>
      <c r="F120" s="30" t="s">
        <v>2855</v>
      </c>
      <c r="G120" s="30">
        <v>67.87</v>
      </c>
      <c r="H120" s="30" t="s">
        <v>2856</v>
      </c>
      <c r="I120" s="30">
        <v>66.64</v>
      </c>
      <c r="J120" s="30" t="s">
        <v>2857</v>
      </c>
    </row>
    <row r="121" spans="1:10" x14ac:dyDescent="0.15">
      <c r="A121" s="28">
        <v>43210.896608796298</v>
      </c>
      <c r="B121" s="30">
        <v>1499</v>
      </c>
      <c r="C121" s="30">
        <v>55.04</v>
      </c>
      <c r="D121" s="30" t="s">
        <v>2858</v>
      </c>
      <c r="E121" s="30">
        <v>67.28</v>
      </c>
      <c r="F121" s="30" t="s">
        <v>2859</v>
      </c>
      <c r="G121" s="30">
        <v>65.44</v>
      </c>
      <c r="H121" s="30" t="s">
        <v>2860</v>
      </c>
      <c r="I121" s="30">
        <v>65.7</v>
      </c>
      <c r="J121" s="30" t="s">
        <v>2861</v>
      </c>
    </row>
    <row r="122" spans="1:10" x14ac:dyDescent="0.15">
      <c r="A122" s="28">
        <v>43210.896643518521</v>
      </c>
      <c r="B122" s="30">
        <v>1499</v>
      </c>
      <c r="C122" s="30">
        <v>56.77</v>
      </c>
      <c r="D122" s="30" t="s">
        <v>2862</v>
      </c>
      <c r="E122" s="30">
        <v>66.3</v>
      </c>
      <c r="F122" s="30" t="s">
        <v>2863</v>
      </c>
      <c r="G122" s="30">
        <v>64.760000000000005</v>
      </c>
      <c r="H122" s="30" t="s">
        <v>2864</v>
      </c>
      <c r="I122" s="30">
        <v>65.62</v>
      </c>
      <c r="J122" s="30" t="s">
        <v>2865</v>
      </c>
    </row>
    <row r="123" spans="1:10" x14ac:dyDescent="0.15">
      <c r="A123" s="28">
        <v>43210.896678240744</v>
      </c>
      <c r="B123" s="30">
        <v>1498</v>
      </c>
      <c r="C123" s="30">
        <v>55.84</v>
      </c>
      <c r="D123" s="30" t="s">
        <v>2866</v>
      </c>
      <c r="E123" s="30">
        <v>66.040000000000006</v>
      </c>
      <c r="F123" s="30" t="s">
        <v>2867</v>
      </c>
      <c r="G123" s="30">
        <v>64.92</v>
      </c>
      <c r="H123" s="30" t="s">
        <v>2868</v>
      </c>
      <c r="I123" s="30">
        <v>63.61</v>
      </c>
      <c r="J123" s="30" t="s">
        <v>2869</v>
      </c>
    </row>
    <row r="124" spans="1:10" x14ac:dyDescent="0.15">
      <c r="A124" s="28">
        <v>43210.89671296296</v>
      </c>
      <c r="B124" s="30">
        <v>1499</v>
      </c>
      <c r="C124" s="30">
        <v>53.7</v>
      </c>
      <c r="D124" s="30" t="s">
        <v>2870</v>
      </c>
      <c r="E124" s="30">
        <v>67.319999999999993</v>
      </c>
      <c r="F124" s="30" t="s">
        <v>2871</v>
      </c>
      <c r="G124" s="30">
        <v>65.459999999999994</v>
      </c>
      <c r="H124" s="30" t="s">
        <v>2872</v>
      </c>
      <c r="I124" s="30">
        <v>65.69</v>
      </c>
      <c r="J124" s="30" t="s">
        <v>2873</v>
      </c>
    </row>
    <row r="125" spans="1:10" x14ac:dyDescent="0.15">
      <c r="A125" s="28">
        <v>43210.896736111114</v>
      </c>
      <c r="B125" s="30">
        <v>1498</v>
      </c>
      <c r="C125" s="30">
        <v>53.32</v>
      </c>
      <c r="D125" s="30" t="s">
        <v>2874</v>
      </c>
      <c r="E125" s="30">
        <v>66.3</v>
      </c>
      <c r="F125" s="30" t="s">
        <v>2875</v>
      </c>
      <c r="G125" s="30">
        <v>64.48</v>
      </c>
      <c r="H125" s="30" t="s">
        <v>2876</v>
      </c>
      <c r="I125" s="30">
        <v>65.22</v>
      </c>
      <c r="J125" s="30" t="s">
        <v>2877</v>
      </c>
    </row>
    <row r="126" spans="1:10" x14ac:dyDescent="0.15">
      <c r="A126" s="28">
        <v>43210.896782407406</v>
      </c>
      <c r="B126" s="30">
        <v>1499</v>
      </c>
      <c r="C126" s="30">
        <v>53.47</v>
      </c>
      <c r="D126" s="30" t="s">
        <v>2878</v>
      </c>
      <c r="E126" s="30">
        <v>67.53</v>
      </c>
      <c r="F126" s="30" t="s">
        <v>2879</v>
      </c>
      <c r="G126" s="30">
        <v>64.8</v>
      </c>
      <c r="H126" s="30" t="s">
        <v>2880</v>
      </c>
      <c r="I126" s="30">
        <v>66.86</v>
      </c>
      <c r="J126" s="30" t="s">
        <v>2881</v>
      </c>
    </row>
    <row r="127" spans="1:10" x14ac:dyDescent="0.15">
      <c r="A127" s="28">
        <v>43210.896817129629</v>
      </c>
      <c r="B127" s="30">
        <v>1499</v>
      </c>
      <c r="C127" s="30">
        <v>53.14</v>
      </c>
      <c r="D127" s="30" t="s">
        <v>2882</v>
      </c>
      <c r="E127" s="30">
        <v>67.78</v>
      </c>
      <c r="F127" s="30" t="s">
        <v>2883</v>
      </c>
      <c r="G127" s="30">
        <v>64.91</v>
      </c>
      <c r="H127" s="30" t="s">
        <v>2884</v>
      </c>
      <c r="I127" s="30">
        <v>66.180000000000007</v>
      </c>
      <c r="J127" s="30" t="s">
        <v>2885</v>
      </c>
    </row>
    <row r="128" spans="1:10" x14ac:dyDescent="0.15">
      <c r="A128" s="28">
        <v>43210.896851851852</v>
      </c>
      <c r="B128" s="30">
        <v>1499</v>
      </c>
      <c r="C128" s="30">
        <v>55.1</v>
      </c>
      <c r="D128" s="30" t="s">
        <v>2886</v>
      </c>
      <c r="E128" s="30">
        <v>65.97</v>
      </c>
      <c r="F128" s="30" t="s">
        <v>2875</v>
      </c>
      <c r="G128" s="30">
        <v>63.92</v>
      </c>
      <c r="H128" s="30" t="s">
        <v>2887</v>
      </c>
      <c r="I128" s="30">
        <v>63.73</v>
      </c>
      <c r="J128" s="30" t="s">
        <v>2888</v>
      </c>
    </row>
    <row r="129" spans="1:10" x14ac:dyDescent="0.15">
      <c r="A129" s="28">
        <v>43210.896886574075</v>
      </c>
      <c r="B129" s="30">
        <v>1499</v>
      </c>
      <c r="C129" s="30">
        <v>54.84</v>
      </c>
      <c r="D129" s="30" t="s">
        <v>2889</v>
      </c>
      <c r="E129" s="30">
        <v>64.94</v>
      </c>
      <c r="F129" s="30" t="s">
        <v>2890</v>
      </c>
      <c r="G129" s="30">
        <v>65.87</v>
      </c>
      <c r="H129" s="30" t="s">
        <v>2891</v>
      </c>
      <c r="I129" s="30">
        <v>64.540000000000006</v>
      </c>
      <c r="J129" s="30" t="s">
        <v>2892</v>
      </c>
    </row>
    <row r="130" spans="1:10" x14ac:dyDescent="0.15">
      <c r="A130" s="28">
        <v>43210.896921296298</v>
      </c>
      <c r="B130" s="30">
        <v>1499</v>
      </c>
      <c r="C130" s="30">
        <v>54.67</v>
      </c>
      <c r="D130" s="30" t="s">
        <v>2893</v>
      </c>
      <c r="E130" s="30">
        <v>67.760000000000005</v>
      </c>
      <c r="F130" s="30" t="s">
        <v>2894</v>
      </c>
      <c r="G130" s="30">
        <v>63.58</v>
      </c>
      <c r="H130" s="30" t="s">
        <v>2895</v>
      </c>
      <c r="I130" s="30">
        <v>64.709999999999994</v>
      </c>
      <c r="J130" s="30" t="s">
        <v>2896</v>
      </c>
    </row>
    <row r="131" spans="1:10" x14ac:dyDescent="0.15">
      <c r="A131" s="28">
        <v>43210.896956018521</v>
      </c>
      <c r="B131" s="30">
        <v>1499</v>
      </c>
      <c r="C131" s="30">
        <v>54.83</v>
      </c>
      <c r="D131" s="30" t="s">
        <v>2897</v>
      </c>
      <c r="E131" s="30">
        <v>65</v>
      </c>
      <c r="F131" s="30" t="s">
        <v>2898</v>
      </c>
      <c r="G131" s="30">
        <v>66.83</v>
      </c>
      <c r="H131" s="30" t="s">
        <v>2899</v>
      </c>
      <c r="I131" s="30">
        <v>64.010000000000005</v>
      </c>
      <c r="J131" s="30" t="s">
        <v>2900</v>
      </c>
    </row>
    <row r="132" spans="1:10" x14ac:dyDescent="0.15">
      <c r="A132" s="28">
        <v>43210.896990740737</v>
      </c>
      <c r="B132" s="30">
        <v>1499</v>
      </c>
      <c r="C132" s="30">
        <v>53.31</v>
      </c>
      <c r="D132" s="30" t="s">
        <v>2901</v>
      </c>
      <c r="E132" s="30">
        <v>67.23</v>
      </c>
      <c r="F132" s="30" t="s">
        <v>2902</v>
      </c>
      <c r="G132" s="30">
        <v>65.290000000000006</v>
      </c>
      <c r="H132" s="30" t="s">
        <v>2903</v>
      </c>
      <c r="I132" s="30">
        <v>66.38</v>
      </c>
      <c r="J132" s="30" t="s">
        <v>2904</v>
      </c>
    </row>
    <row r="133" spans="1:10" x14ac:dyDescent="0.15">
      <c r="A133" s="28">
        <v>43210.897013888891</v>
      </c>
      <c r="B133" s="30">
        <v>1499</v>
      </c>
      <c r="C133" s="30">
        <v>52.57</v>
      </c>
      <c r="D133" s="30" t="s">
        <v>2905</v>
      </c>
      <c r="E133" s="30">
        <v>65.599999999999994</v>
      </c>
      <c r="F133" s="30" t="s">
        <v>2906</v>
      </c>
      <c r="G133" s="30">
        <v>63.57</v>
      </c>
      <c r="H133" s="30" t="s">
        <v>2907</v>
      </c>
      <c r="I133" s="30">
        <v>63.4</v>
      </c>
      <c r="J133" s="30" t="s">
        <v>2908</v>
      </c>
    </row>
    <row r="134" spans="1:10" x14ac:dyDescent="0.15">
      <c r="A134" s="28">
        <v>43210.897048611114</v>
      </c>
      <c r="B134" s="30">
        <v>1498</v>
      </c>
      <c r="C134" s="30">
        <v>54.03</v>
      </c>
      <c r="D134" s="30" t="s">
        <v>2909</v>
      </c>
      <c r="E134" s="30">
        <v>64.47</v>
      </c>
      <c r="F134" s="30" t="s">
        <v>2910</v>
      </c>
      <c r="G134" s="30">
        <v>64.34</v>
      </c>
      <c r="H134" s="30" t="s">
        <v>2911</v>
      </c>
      <c r="I134" s="30">
        <v>62.73</v>
      </c>
      <c r="J134" s="30" t="s">
        <v>2912</v>
      </c>
    </row>
    <row r="135" spans="1:10" x14ac:dyDescent="0.15">
      <c r="A135" s="28">
        <v>43210.897083333337</v>
      </c>
      <c r="B135" s="30">
        <v>1499</v>
      </c>
      <c r="C135" s="30">
        <v>53.27</v>
      </c>
      <c r="D135" s="30" t="s">
        <v>2913</v>
      </c>
      <c r="E135" s="30">
        <v>65.510000000000005</v>
      </c>
      <c r="F135" s="30" t="s">
        <v>2914</v>
      </c>
      <c r="G135" s="30">
        <v>63.99</v>
      </c>
      <c r="H135" s="30" t="s">
        <v>2915</v>
      </c>
      <c r="I135" s="30">
        <v>64.05</v>
      </c>
      <c r="J135" s="30" t="s">
        <v>2916</v>
      </c>
    </row>
    <row r="136" spans="1:10" x14ac:dyDescent="0.15">
      <c r="A136" s="28">
        <v>43210.897129629629</v>
      </c>
      <c r="B136" s="30">
        <v>1499</v>
      </c>
      <c r="C136" s="30">
        <v>54.26</v>
      </c>
      <c r="D136" s="30" t="s">
        <v>2917</v>
      </c>
      <c r="E136" s="30">
        <v>64.17</v>
      </c>
      <c r="F136" s="30" t="s">
        <v>2883</v>
      </c>
      <c r="G136" s="30">
        <v>62.91</v>
      </c>
      <c r="H136" s="30" t="s">
        <v>2918</v>
      </c>
      <c r="I136" s="30">
        <v>64.19</v>
      </c>
      <c r="J136" s="30" t="s">
        <v>2919</v>
      </c>
    </row>
    <row r="137" spans="1:10" x14ac:dyDescent="0.15">
      <c r="A137" s="28">
        <v>43210.897164351853</v>
      </c>
      <c r="B137" s="30">
        <v>1498</v>
      </c>
      <c r="C137" s="30">
        <v>53.42</v>
      </c>
      <c r="D137" s="30" t="s">
        <v>2920</v>
      </c>
      <c r="E137" s="30">
        <v>66.900000000000006</v>
      </c>
      <c r="F137" s="30" t="s">
        <v>2921</v>
      </c>
      <c r="G137" s="30">
        <v>63.38</v>
      </c>
      <c r="H137" s="30" t="s">
        <v>2922</v>
      </c>
      <c r="I137" s="30">
        <v>64.89</v>
      </c>
      <c r="J137" s="30" t="s">
        <v>2923</v>
      </c>
    </row>
    <row r="138" spans="1:10" x14ac:dyDescent="0.15">
      <c r="A138" s="28">
        <v>43210.897199074076</v>
      </c>
      <c r="B138" s="30">
        <v>1499</v>
      </c>
      <c r="C138" s="30">
        <v>56.8</v>
      </c>
      <c r="D138" s="30" t="s">
        <v>2924</v>
      </c>
      <c r="E138" s="30">
        <v>65.099999999999994</v>
      </c>
      <c r="F138" s="30" t="s">
        <v>2925</v>
      </c>
      <c r="G138" s="30">
        <v>63.74</v>
      </c>
      <c r="H138" s="30" t="s">
        <v>2926</v>
      </c>
      <c r="I138" s="30">
        <v>63.9</v>
      </c>
      <c r="J138" s="30" t="s">
        <v>2927</v>
      </c>
    </row>
    <row r="139" spans="1:10" x14ac:dyDescent="0.15">
      <c r="A139" s="28">
        <v>43210.897233796299</v>
      </c>
      <c r="B139" s="30">
        <v>1498</v>
      </c>
      <c r="C139" s="30">
        <v>52.83</v>
      </c>
      <c r="D139" s="30" t="s">
        <v>2928</v>
      </c>
      <c r="E139" s="30">
        <v>64.58</v>
      </c>
      <c r="F139" s="30" t="s">
        <v>2929</v>
      </c>
      <c r="G139" s="30">
        <v>66.22</v>
      </c>
      <c r="H139" s="30" t="s">
        <v>2930</v>
      </c>
      <c r="I139" s="30">
        <v>64.099999999999994</v>
      </c>
      <c r="J139" s="30" t="s">
        <v>2931</v>
      </c>
    </row>
    <row r="140" spans="1:10" x14ac:dyDescent="0.15">
      <c r="A140" s="28">
        <v>43210.897268518522</v>
      </c>
      <c r="B140" s="30">
        <v>1498</v>
      </c>
      <c r="C140" s="30">
        <v>52.6</v>
      </c>
      <c r="D140" s="30" t="s">
        <v>2932</v>
      </c>
      <c r="E140" s="30">
        <v>64.84</v>
      </c>
      <c r="F140" s="30" t="s">
        <v>2933</v>
      </c>
      <c r="G140" s="30">
        <v>63.57</v>
      </c>
      <c r="H140" s="30" t="s">
        <v>2934</v>
      </c>
      <c r="I140" s="30">
        <v>65.010000000000005</v>
      </c>
      <c r="J140" s="30" t="s">
        <v>2935</v>
      </c>
    </row>
    <row r="141" spans="1:10" x14ac:dyDescent="0.15">
      <c r="A141" s="28">
        <v>43210.897303240738</v>
      </c>
      <c r="B141" s="30">
        <v>1498</v>
      </c>
      <c r="C141" s="30">
        <v>52.58</v>
      </c>
      <c r="D141" s="30" t="s">
        <v>2936</v>
      </c>
      <c r="E141" s="30">
        <v>66.069999999999993</v>
      </c>
      <c r="F141" s="30" t="s">
        <v>2937</v>
      </c>
      <c r="G141" s="30">
        <v>63.65</v>
      </c>
      <c r="H141" s="30" t="s">
        <v>2938</v>
      </c>
      <c r="I141" s="30">
        <v>64.680000000000007</v>
      </c>
      <c r="J141" s="30" t="s">
        <v>2939</v>
      </c>
    </row>
    <row r="142" spans="1:10" x14ac:dyDescent="0.15">
      <c r="A142" s="28">
        <v>43210.897326388891</v>
      </c>
      <c r="B142" s="30">
        <v>1499</v>
      </c>
      <c r="C142" s="30">
        <v>51.64</v>
      </c>
      <c r="D142" s="30" t="s">
        <v>2940</v>
      </c>
      <c r="E142" s="30">
        <v>66.14</v>
      </c>
      <c r="F142" s="30" t="s">
        <v>2941</v>
      </c>
      <c r="G142" s="30">
        <v>63.86</v>
      </c>
      <c r="H142" s="30" t="s">
        <v>2942</v>
      </c>
      <c r="I142" s="30">
        <v>65.400000000000006</v>
      </c>
      <c r="J142" s="30" t="s">
        <v>2943</v>
      </c>
    </row>
    <row r="143" spans="1:10" x14ac:dyDescent="0.15">
      <c r="A143" s="28">
        <v>43210.897361111114</v>
      </c>
      <c r="B143" s="30">
        <v>1499</v>
      </c>
      <c r="C143" s="30">
        <v>54.63</v>
      </c>
      <c r="D143" s="30" t="s">
        <v>2944</v>
      </c>
      <c r="E143" s="30">
        <v>66.33</v>
      </c>
      <c r="F143" s="30" t="s">
        <v>2945</v>
      </c>
      <c r="G143" s="30">
        <v>62.3</v>
      </c>
      <c r="H143" s="30" t="s">
        <v>2946</v>
      </c>
      <c r="I143" s="30">
        <v>64.989999999999995</v>
      </c>
      <c r="J143" s="30" t="s">
        <v>2947</v>
      </c>
    </row>
    <row r="144" spans="1:10" x14ac:dyDescent="0.15">
      <c r="A144" s="28">
        <v>43210.89739583333</v>
      </c>
      <c r="B144" s="30">
        <v>1499</v>
      </c>
      <c r="C144" s="30">
        <v>53.52</v>
      </c>
      <c r="D144" s="30" t="s">
        <v>2948</v>
      </c>
      <c r="E144" s="30">
        <v>64.209999999999994</v>
      </c>
      <c r="F144" s="30" t="s">
        <v>2949</v>
      </c>
      <c r="G144" s="30">
        <v>64.290000000000006</v>
      </c>
      <c r="H144" s="30" t="s">
        <v>2950</v>
      </c>
      <c r="I144" s="30">
        <v>63.88</v>
      </c>
      <c r="J144" s="30" t="s">
        <v>2951</v>
      </c>
    </row>
    <row r="145" spans="1:10" x14ac:dyDescent="0.15">
      <c r="A145" s="28">
        <v>43210.897418981483</v>
      </c>
      <c r="B145" s="30">
        <v>1499</v>
      </c>
      <c r="C145" s="30">
        <v>52.43</v>
      </c>
      <c r="D145" s="30" t="s">
        <v>2952</v>
      </c>
      <c r="E145" s="30">
        <v>65.25</v>
      </c>
      <c r="F145" s="30" t="s">
        <v>2953</v>
      </c>
      <c r="G145" s="30">
        <v>64.5</v>
      </c>
      <c r="H145" s="30" t="s">
        <v>2954</v>
      </c>
      <c r="I145" s="30">
        <v>63.52</v>
      </c>
      <c r="J145" s="30" t="s">
        <v>2955</v>
      </c>
    </row>
    <row r="146" spans="1:10" x14ac:dyDescent="0.15">
      <c r="A146" s="28">
        <v>43210.897453703707</v>
      </c>
      <c r="B146" s="30">
        <v>1499</v>
      </c>
      <c r="C146" s="30">
        <v>54.28</v>
      </c>
      <c r="D146" s="30" t="s">
        <v>2956</v>
      </c>
      <c r="E146" s="30">
        <v>65.48</v>
      </c>
      <c r="F146" s="30" t="s">
        <v>2957</v>
      </c>
      <c r="G146" s="30">
        <v>62.17</v>
      </c>
      <c r="H146" s="30" t="s">
        <v>2958</v>
      </c>
      <c r="I146" s="30">
        <v>61.85</v>
      </c>
      <c r="J146" s="30" t="s">
        <v>2959</v>
      </c>
    </row>
    <row r="147" spans="1:10" x14ac:dyDescent="0.15">
      <c r="A147" s="28">
        <v>43210.897499999999</v>
      </c>
      <c r="B147" s="30">
        <v>1499</v>
      </c>
      <c r="C147" s="30">
        <v>52.66</v>
      </c>
      <c r="D147" s="30" t="s">
        <v>2960</v>
      </c>
      <c r="E147" s="30">
        <v>64.69</v>
      </c>
      <c r="F147" s="30" t="s">
        <v>2961</v>
      </c>
      <c r="G147" s="30">
        <v>61.94</v>
      </c>
      <c r="H147" s="30" t="s">
        <v>2962</v>
      </c>
      <c r="I147" s="30">
        <v>63.77</v>
      </c>
      <c r="J147" s="30" t="s">
        <v>2963</v>
      </c>
    </row>
    <row r="148" spans="1:10" x14ac:dyDescent="0.15">
      <c r="A148" s="28">
        <v>43210.897534722222</v>
      </c>
      <c r="B148" s="30">
        <v>1499</v>
      </c>
      <c r="C148" s="30">
        <v>54.79</v>
      </c>
      <c r="D148" s="30" t="s">
        <v>2964</v>
      </c>
      <c r="E148" s="30">
        <v>64.91</v>
      </c>
      <c r="F148" s="30" t="s">
        <v>2965</v>
      </c>
      <c r="G148" s="30">
        <v>62.51</v>
      </c>
      <c r="H148" s="30" t="s">
        <v>2966</v>
      </c>
      <c r="I148" s="30">
        <v>63.89</v>
      </c>
      <c r="J148" s="30" t="s">
        <v>2967</v>
      </c>
    </row>
    <row r="149" spans="1:10" x14ac:dyDescent="0.15">
      <c r="A149" s="28">
        <v>43210.897569444445</v>
      </c>
      <c r="B149" s="30">
        <v>1499</v>
      </c>
      <c r="C149" s="30">
        <v>52.56</v>
      </c>
      <c r="D149" s="30" t="s">
        <v>2968</v>
      </c>
      <c r="E149" s="30">
        <v>65.47</v>
      </c>
      <c r="F149" s="30" t="s">
        <v>2969</v>
      </c>
      <c r="G149" s="30">
        <v>63.26</v>
      </c>
      <c r="H149" s="30" t="s">
        <v>2970</v>
      </c>
      <c r="I149" s="30">
        <v>65.680000000000007</v>
      </c>
      <c r="J149" s="30" t="s">
        <v>2959</v>
      </c>
    </row>
    <row r="150" spans="1:10" x14ac:dyDescent="0.15">
      <c r="A150" s="28">
        <v>43210.897604166668</v>
      </c>
      <c r="B150" s="30">
        <v>1499</v>
      </c>
      <c r="C150" s="30">
        <v>54.75</v>
      </c>
      <c r="D150" s="30" t="s">
        <v>2971</v>
      </c>
      <c r="E150" s="30">
        <v>64.23</v>
      </c>
      <c r="F150" s="30" t="s">
        <v>2972</v>
      </c>
      <c r="G150" s="30">
        <v>61.66</v>
      </c>
      <c r="H150" s="30" t="s">
        <v>2973</v>
      </c>
      <c r="I150" s="30">
        <v>62.99</v>
      </c>
      <c r="J150" s="30" t="s">
        <v>2974</v>
      </c>
    </row>
    <row r="151" spans="1:10" x14ac:dyDescent="0.15">
      <c r="A151" s="28">
        <v>43210.897638888891</v>
      </c>
      <c r="B151" s="30">
        <v>1499</v>
      </c>
      <c r="C151" s="30">
        <v>54.6</v>
      </c>
      <c r="D151" s="30" t="s">
        <v>2975</v>
      </c>
      <c r="E151" s="30">
        <v>63.52</v>
      </c>
      <c r="F151" s="30" t="s">
        <v>2976</v>
      </c>
      <c r="G151" s="30">
        <v>63.88</v>
      </c>
      <c r="H151" s="30" t="s">
        <v>2977</v>
      </c>
      <c r="I151" s="30">
        <v>61.7</v>
      </c>
      <c r="J151" s="30" t="s">
        <v>2978</v>
      </c>
    </row>
    <row r="152" spans="1:10" x14ac:dyDescent="0.15">
      <c r="A152" s="28">
        <v>43210.897673611114</v>
      </c>
      <c r="B152" s="30">
        <v>1499</v>
      </c>
      <c r="C152" s="30">
        <v>53.84</v>
      </c>
      <c r="D152" s="30" t="s">
        <v>2979</v>
      </c>
      <c r="E152" s="30">
        <v>65.27</v>
      </c>
      <c r="F152" s="30" t="s">
        <v>2980</v>
      </c>
      <c r="G152" s="30">
        <v>61.83</v>
      </c>
      <c r="H152" s="30" t="s">
        <v>2981</v>
      </c>
      <c r="I152" s="30">
        <v>64.989999999999995</v>
      </c>
      <c r="J152" s="30" t="s">
        <v>2982</v>
      </c>
    </row>
    <row r="153" spans="1:10" x14ac:dyDescent="0.15">
      <c r="A153" s="28">
        <v>43210.89770833333</v>
      </c>
      <c r="B153" s="30">
        <v>1499</v>
      </c>
      <c r="C153" s="30">
        <v>52.63</v>
      </c>
      <c r="D153" s="30" t="s">
        <v>2983</v>
      </c>
      <c r="E153" s="30">
        <v>64.34</v>
      </c>
      <c r="F153" s="30" t="s">
        <v>2984</v>
      </c>
      <c r="G153" s="30">
        <v>62.27</v>
      </c>
      <c r="H153" s="30" t="s">
        <v>2985</v>
      </c>
      <c r="I153" s="30">
        <v>64.430000000000007</v>
      </c>
      <c r="J153" s="30" t="s">
        <v>2986</v>
      </c>
    </row>
    <row r="154" spans="1:10" x14ac:dyDescent="0.15">
      <c r="A154" s="28">
        <v>43210.897731481484</v>
      </c>
      <c r="B154" s="30">
        <v>1500</v>
      </c>
      <c r="C154" s="30">
        <v>54.86</v>
      </c>
      <c r="D154" s="30" t="s">
        <v>2987</v>
      </c>
      <c r="E154" s="30">
        <v>63.73</v>
      </c>
      <c r="F154" s="30" t="s">
        <v>2988</v>
      </c>
      <c r="G154" s="30">
        <v>62.54</v>
      </c>
      <c r="H154" s="30" t="s">
        <v>2989</v>
      </c>
      <c r="I154" s="30">
        <v>62.29</v>
      </c>
      <c r="J154" s="30" t="s">
        <v>2990</v>
      </c>
    </row>
    <row r="155" spans="1:10" x14ac:dyDescent="0.15">
      <c r="A155" s="28">
        <v>43210.897766203707</v>
      </c>
      <c r="B155" s="30">
        <v>1500</v>
      </c>
      <c r="C155" s="30">
        <v>52.77</v>
      </c>
      <c r="D155" s="30" t="s">
        <v>2991</v>
      </c>
      <c r="E155" s="30">
        <v>65.400000000000006</v>
      </c>
      <c r="F155" s="30" t="s">
        <v>2992</v>
      </c>
      <c r="G155" s="30">
        <v>62.98</v>
      </c>
      <c r="H155" s="30" t="s">
        <v>2993</v>
      </c>
      <c r="I155" s="30">
        <v>64.69</v>
      </c>
      <c r="J155" s="30" t="s">
        <v>2967</v>
      </c>
    </row>
    <row r="156" spans="1:10" x14ac:dyDescent="0.15">
      <c r="A156" s="28">
        <v>43210.897800925923</v>
      </c>
      <c r="B156" s="30">
        <v>1500</v>
      </c>
      <c r="C156" s="30">
        <v>52.31</v>
      </c>
      <c r="D156" s="30" t="s">
        <v>2994</v>
      </c>
      <c r="E156" s="30">
        <v>65.239999999999995</v>
      </c>
      <c r="F156" s="30" t="s">
        <v>2995</v>
      </c>
      <c r="G156" s="30">
        <v>61.87</v>
      </c>
      <c r="H156" s="30" t="s">
        <v>2996</v>
      </c>
      <c r="I156" s="30">
        <v>63.97</v>
      </c>
      <c r="J156" s="30" t="s">
        <v>2997</v>
      </c>
    </row>
    <row r="157" spans="1:10" x14ac:dyDescent="0.15">
      <c r="A157" s="28">
        <v>43210.897824074076</v>
      </c>
      <c r="B157" s="30">
        <v>1500</v>
      </c>
      <c r="C157" s="30">
        <v>52.68</v>
      </c>
      <c r="D157" s="30" t="s">
        <v>2998</v>
      </c>
      <c r="E157" s="30">
        <v>64.75</v>
      </c>
      <c r="F157" s="30" t="s">
        <v>2999</v>
      </c>
      <c r="G157" s="30">
        <v>61.79</v>
      </c>
      <c r="H157" s="30" t="s">
        <v>3000</v>
      </c>
      <c r="I157" s="30">
        <v>64.150000000000006</v>
      </c>
      <c r="J157" s="30" t="s">
        <v>2947</v>
      </c>
    </row>
    <row r="158" spans="1:10" x14ac:dyDescent="0.15">
      <c r="A158" s="28">
        <v>43210.897858796299</v>
      </c>
      <c r="B158" s="30">
        <v>1500</v>
      </c>
      <c r="C158" s="30">
        <v>52.42</v>
      </c>
      <c r="D158" s="30" t="s">
        <v>2960</v>
      </c>
      <c r="E158" s="30">
        <v>64.36</v>
      </c>
      <c r="F158" s="30" t="s">
        <v>3001</v>
      </c>
      <c r="G158" s="30">
        <v>63.87</v>
      </c>
      <c r="H158" s="30" t="s">
        <v>3002</v>
      </c>
      <c r="I158" s="30">
        <v>62.96</v>
      </c>
      <c r="J158" s="30" t="s">
        <v>3003</v>
      </c>
    </row>
    <row r="159" spans="1:10" x14ac:dyDescent="0.15">
      <c r="A159" s="28">
        <v>43210.897893518515</v>
      </c>
      <c r="B159" s="30">
        <v>1500</v>
      </c>
      <c r="C159" s="30">
        <v>53.67</v>
      </c>
      <c r="D159" s="30" t="s">
        <v>2979</v>
      </c>
      <c r="E159" s="30">
        <v>63.49</v>
      </c>
      <c r="F159" s="30" t="s">
        <v>3004</v>
      </c>
      <c r="G159" s="30">
        <v>61.49</v>
      </c>
      <c r="H159" s="30" t="s">
        <v>3005</v>
      </c>
      <c r="I159" s="30">
        <v>62.23</v>
      </c>
      <c r="J159" s="30" t="s">
        <v>3006</v>
      </c>
    </row>
    <row r="160" spans="1:10" x14ac:dyDescent="0.15">
      <c r="A160" s="28">
        <v>43210.897916666669</v>
      </c>
      <c r="B160" s="30">
        <v>1500</v>
      </c>
      <c r="C160" s="30">
        <v>53.58</v>
      </c>
      <c r="D160" s="30" t="s">
        <v>3007</v>
      </c>
      <c r="E160" s="30">
        <v>63.6</v>
      </c>
      <c r="F160" s="30" t="s">
        <v>3008</v>
      </c>
      <c r="G160" s="30">
        <v>62.87</v>
      </c>
      <c r="H160" s="30" t="s">
        <v>3009</v>
      </c>
      <c r="I160" s="30">
        <v>62.39</v>
      </c>
      <c r="J160" s="30" t="s">
        <v>3010</v>
      </c>
    </row>
    <row r="161" spans="1:10" x14ac:dyDescent="0.15">
      <c r="A161" s="28">
        <v>43210.897951388892</v>
      </c>
      <c r="B161" s="30">
        <v>1500</v>
      </c>
      <c r="C161" s="30">
        <v>53.04</v>
      </c>
      <c r="D161" s="30" t="s">
        <v>3011</v>
      </c>
      <c r="E161" s="30">
        <v>63.8</v>
      </c>
      <c r="F161" s="30" t="s">
        <v>3012</v>
      </c>
      <c r="G161" s="30">
        <v>65.17</v>
      </c>
      <c r="H161" s="30" t="s">
        <v>3013</v>
      </c>
      <c r="I161" s="30">
        <v>62.86</v>
      </c>
      <c r="J161" s="30" t="s">
        <v>3014</v>
      </c>
    </row>
    <row r="162" spans="1:10" x14ac:dyDescent="0.15">
      <c r="A162" s="28">
        <v>43210.897986111115</v>
      </c>
      <c r="B162" s="30">
        <v>1500</v>
      </c>
      <c r="C162" s="30">
        <v>52.8</v>
      </c>
      <c r="D162" s="30" t="s">
        <v>3015</v>
      </c>
      <c r="E162" s="30">
        <v>64.19</v>
      </c>
      <c r="F162" s="30" t="s">
        <v>3016</v>
      </c>
      <c r="G162" s="30">
        <v>61.33</v>
      </c>
      <c r="H162" s="30" t="s">
        <v>3009</v>
      </c>
      <c r="I162" s="30">
        <v>62.69</v>
      </c>
      <c r="J162" s="30" t="s">
        <v>3017</v>
      </c>
    </row>
    <row r="163" spans="1:10" x14ac:dyDescent="0.15">
      <c r="A163" s="28">
        <v>43210.898020833331</v>
      </c>
      <c r="B163" s="30">
        <v>1500</v>
      </c>
      <c r="C163" s="30">
        <v>53.8</v>
      </c>
      <c r="D163" s="30" t="s">
        <v>3018</v>
      </c>
      <c r="E163" s="30">
        <v>64.5</v>
      </c>
      <c r="F163" s="30" t="s">
        <v>3019</v>
      </c>
      <c r="G163" s="30">
        <v>62.54</v>
      </c>
      <c r="H163" s="30" t="s">
        <v>2996</v>
      </c>
      <c r="I163" s="30">
        <v>64.16</v>
      </c>
      <c r="J163" s="30" t="s">
        <v>3020</v>
      </c>
    </row>
    <row r="164" spans="1:10" x14ac:dyDescent="0.15">
      <c r="A164" s="28">
        <v>43210.898043981484</v>
      </c>
      <c r="B164" s="30">
        <v>1500</v>
      </c>
      <c r="C164" s="30">
        <v>52.38</v>
      </c>
      <c r="D164" s="30" t="s">
        <v>3021</v>
      </c>
      <c r="E164" s="30">
        <v>65.25</v>
      </c>
      <c r="F164" s="30" t="s">
        <v>3022</v>
      </c>
      <c r="G164" s="30">
        <v>62.95</v>
      </c>
      <c r="H164" s="30" t="s">
        <v>3023</v>
      </c>
      <c r="I164" s="30">
        <v>62.73</v>
      </c>
      <c r="J164" s="30" t="s">
        <v>3024</v>
      </c>
    </row>
    <row r="165" spans="1:10" x14ac:dyDescent="0.15">
      <c r="A165" s="28">
        <v>43210.898078703707</v>
      </c>
      <c r="B165" s="30">
        <v>1501</v>
      </c>
      <c r="C165" s="30">
        <v>52.45</v>
      </c>
      <c r="D165" s="30" t="s">
        <v>3025</v>
      </c>
      <c r="E165" s="30">
        <v>64.02</v>
      </c>
      <c r="F165" s="30" t="s">
        <v>3026</v>
      </c>
      <c r="G165" s="30">
        <v>61.38</v>
      </c>
      <c r="H165" s="30" t="s">
        <v>3027</v>
      </c>
      <c r="I165" s="30">
        <v>62.73</v>
      </c>
      <c r="J165" s="30" t="s">
        <v>3017</v>
      </c>
    </row>
    <row r="166" spans="1:10" x14ac:dyDescent="0.15">
      <c r="A166" s="28">
        <v>43210.898113425923</v>
      </c>
      <c r="B166" s="30">
        <v>1500</v>
      </c>
      <c r="C166" s="30">
        <v>53.17</v>
      </c>
      <c r="D166" s="30" t="s">
        <v>3028</v>
      </c>
      <c r="E166" s="30">
        <v>63.53</v>
      </c>
      <c r="F166" s="30" t="s">
        <v>3029</v>
      </c>
      <c r="G166" s="30">
        <v>63.12</v>
      </c>
      <c r="H166" s="30" t="s">
        <v>3030</v>
      </c>
      <c r="I166" s="30">
        <v>61.82</v>
      </c>
      <c r="J166" s="30" t="s">
        <v>2982</v>
      </c>
    </row>
    <row r="167" spans="1:10" x14ac:dyDescent="0.15">
      <c r="A167" s="28">
        <v>43210.898136574076</v>
      </c>
      <c r="B167" s="30">
        <v>1500</v>
      </c>
      <c r="C167" s="30">
        <v>53.72</v>
      </c>
      <c r="D167" s="30" t="s">
        <v>3031</v>
      </c>
      <c r="E167" s="30">
        <v>62.97</v>
      </c>
      <c r="F167" s="30" t="s">
        <v>3032</v>
      </c>
      <c r="G167" s="30">
        <v>60.89</v>
      </c>
      <c r="H167" s="30" t="s">
        <v>3033</v>
      </c>
      <c r="I167" s="30">
        <v>63.43</v>
      </c>
      <c r="J167" s="30" t="s">
        <v>3034</v>
      </c>
    </row>
    <row r="168" spans="1:10" x14ac:dyDescent="0.15">
      <c r="A168" s="28">
        <v>43210.8981712963</v>
      </c>
      <c r="B168" s="30">
        <v>1501</v>
      </c>
      <c r="C168" s="30">
        <v>52.96</v>
      </c>
      <c r="D168" s="30" t="s">
        <v>3035</v>
      </c>
      <c r="E168" s="30">
        <v>63.09</v>
      </c>
      <c r="F168" s="30" t="s">
        <v>3036</v>
      </c>
      <c r="G168" s="30">
        <v>63.12</v>
      </c>
      <c r="H168" s="30" t="s">
        <v>3037</v>
      </c>
      <c r="I168" s="30">
        <v>62.75</v>
      </c>
      <c r="J168" s="30" t="s">
        <v>3038</v>
      </c>
    </row>
    <row r="169" spans="1:10" x14ac:dyDescent="0.15">
      <c r="A169" s="28">
        <v>43210.898206018515</v>
      </c>
      <c r="B169" s="30">
        <v>1500</v>
      </c>
      <c r="C169" s="30">
        <v>52.52</v>
      </c>
      <c r="D169" s="30" t="s">
        <v>3039</v>
      </c>
      <c r="E169" s="30">
        <v>63.89</v>
      </c>
      <c r="F169" s="30" t="s">
        <v>3040</v>
      </c>
      <c r="G169" s="30">
        <v>61.01</v>
      </c>
      <c r="H169" s="30" t="s">
        <v>3041</v>
      </c>
      <c r="I169" s="30">
        <v>62</v>
      </c>
      <c r="J169" s="30" t="s">
        <v>3042</v>
      </c>
    </row>
    <row r="170" spans="1:10" x14ac:dyDescent="0.15">
      <c r="A170" s="28">
        <v>43210.898229166669</v>
      </c>
      <c r="B170" s="30">
        <v>1500</v>
      </c>
      <c r="C170" s="30">
        <v>53.35</v>
      </c>
      <c r="D170" s="30" t="s">
        <v>3043</v>
      </c>
      <c r="E170" s="30">
        <v>64.22</v>
      </c>
      <c r="F170" s="30" t="s">
        <v>3044</v>
      </c>
      <c r="G170" s="30">
        <v>63.35</v>
      </c>
      <c r="H170" s="30" t="s">
        <v>3045</v>
      </c>
      <c r="I170" s="30">
        <v>64.25</v>
      </c>
      <c r="J170" s="30" t="s">
        <v>3046</v>
      </c>
    </row>
    <row r="171" spans="1:10" x14ac:dyDescent="0.15">
      <c r="A171" s="28">
        <v>43210.898263888892</v>
      </c>
      <c r="B171" s="30">
        <v>1500</v>
      </c>
      <c r="C171" s="30">
        <v>53.51</v>
      </c>
      <c r="D171" s="30" t="s">
        <v>3047</v>
      </c>
      <c r="E171" s="30">
        <v>62.77</v>
      </c>
      <c r="F171" s="30" t="s">
        <v>3048</v>
      </c>
      <c r="G171" s="30">
        <v>61.6</v>
      </c>
      <c r="H171" s="30" t="s">
        <v>3049</v>
      </c>
      <c r="I171" s="30">
        <v>64.25</v>
      </c>
      <c r="J171" s="30" t="s">
        <v>3046</v>
      </c>
    </row>
    <row r="172" spans="1:10" x14ac:dyDescent="0.15">
      <c r="A172" s="28">
        <v>43210.898275462961</v>
      </c>
      <c r="B172" s="30">
        <v>1500</v>
      </c>
      <c r="C172" s="30">
        <v>53.51</v>
      </c>
      <c r="D172" s="30" t="s">
        <v>3047</v>
      </c>
      <c r="E172" s="30">
        <v>62.77</v>
      </c>
      <c r="F172" s="30" t="s">
        <v>3048</v>
      </c>
      <c r="G172" s="30">
        <v>61.6</v>
      </c>
      <c r="H172" s="30" t="s">
        <v>3049</v>
      </c>
      <c r="I172" s="30">
        <v>63.48</v>
      </c>
      <c r="J172" s="30" t="s">
        <v>3050</v>
      </c>
    </row>
    <row r="173" spans="1:10" x14ac:dyDescent="0.15">
      <c r="A173" s="28">
        <v>43210.898298611108</v>
      </c>
      <c r="B173" s="30">
        <v>1500</v>
      </c>
      <c r="C173" s="30">
        <v>53.83</v>
      </c>
      <c r="D173" s="30" t="s">
        <v>3051</v>
      </c>
      <c r="E173" s="30">
        <v>64.05</v>
      </c>
      <c r="F173" s="30" t="s">
        <v>3052</v>
      </c>
      <c r="G173" s="30">
        <v>60.93</v>
      </c>
      <c r="H173" s="30" t="s">
        <v>3053</v>
      </c>
      <c r="I173" s="30">
        <v>63.48</v>
      </c>
      <c r="J173" s="30" t="s">
        <v>3050</v>
      </c>
    </row>
    <row r="174" spans="1:10" x14ac:dyDescent="0.15">
      <c r="A174" s="28">
        <v>43210.898310185185</v>
      </c>
      <c r="B174" s="30">
        <v>1500</v>
      </c>
      <c r="C174" s="30">
        <v>53.83</v>
      </c>
      <c r="D174" s="30" t="s">
        <v>3051</v>
      </c>
      <c r="E174" s="30">
        <v>64.05</v>
      </c>
      <c r="F174" s="30" t="s">
        <v>3052</v>
      </c>
      <c r="G174" s="30">
        <v>60.93</v>
      </c>
      <c r="H174" s="30" t="s">
        <v>3053</v>
      </c>
      <c r="I174" s="30">
        <v>60.52</v>
      </c>
      <c r="J174" s="30" t="s">
        <v>3054</v>
      </c>
    </row>
    <row r="175" spans="1:10" x14ac:dyDescent="0.15">
      <c r="A175" s="28">
        <v>43210.898321759261</v>
      </c>
      <c r="B175" s="30">
        <v>1500</v>
      </c>
      <c r="C175" s="30">
        <v>52.88</v>
      </c>
      <c r="D175" s="30" t="s">
        <v>3055</v>
      </c>
      <c r="E175" s="30">
        <v>64.34</v>
      </c>
      <c r="F175" s="30" t="s">
        <v>3056</v>
      </c>
      <c r="G175" s="30">
        <v>61.65</v>
      </c>
      <c r="H175" s="30" t="s">
        <v>3057</v>
      </c>
      <c r="I175" s="30">
        <v>60.52</v>
      </c>
      <c r="J175" s="30" t="s">
        <v>3054</v>
      </c>
    </row>
    <row r="176" spans="1:10" x14ac:dyDescent="0.15">
      <c r="A176" s="28">
        <v>43210.898344907408</v>
      </c>
      <c r="B176" s="30">
        <v>1500</v>
      </c>
      <c r="C176" s="30">
        <v>52.88</v>
      </c>
      <c r="D176" s="30" t="s">
        <v>3055</v>
      </c>
      <c r="E176" s="30">
        <v>64.34</v>
      </c>
      <c r="F176" s="30" t="s">
        <v>3056</v>
      </c>
      <c r="G176" s="30">
        <v>61.65</v>
      </c>
      <c r="H176" s="30" t="s">
        <v>3057</v>
      </c>
      <c r="I176" s="30">
        <v>61.61</v>
      </c>
      <c r="J176" s="30" t="s">
        <v>3058</v>
      </c>
    </row>
    <row r="177" spans="1:10" x14ac:dyDescent="0.15">
      <c r="A177" s="28">
        <v>43210.898356481484</v>
      </c>
      <c r="B177" s="30">
        <v>1500</v>
      </c>
      <c r="C177" s="30">
        <v>55.11</v>
      </c>
      <c r="D177" s="30" t="s">
        <v>3059</v>
      </c>
      <c r="E177" s="30">
        <v>63.9</v>
      </c>
      <c r="F177" s="30" t="s">
        <v>3060</v>
      </c>
      <c r="G177" s="30">
        <v>60.74</v>
      </c>
      <c r="H177" s="30" t="s">
        <v>3061</v>
      </c>
      <c r="I177" s="30">
        <v>61.61</v>
      </c>
      <c r="J177" s="30" t="s">
        <v>3058</v>
      </c>
    </row>
    <row r="178" spans="1:10" x14ac:dyDescent="0.15">
      <c r="A178" s="28">
        <v>43210.898379629631</v>
      </c>
      <c r="B178" s="30">
        <v>1500</v>
      </c>
      <c r="C178" s="30">
        <v>55.11</v>
      </c>
      <c r="D178" s="30" t="s">
        <v>3059</v>
      </c>
      <c r="E178" s="30">
        <v>63.9</v>
      </c>
      <c r="F178" s="30" t="s">
        <v>3060</v>
      </c>
      <c r="G178" s="30">
        <v>60.74</v>
      </c>
      <c r="H178" s="30" t="s">
        <v>3061</v>
      </c>
      <c r="I178" s="30">
        <v>62.43</v>
      </c>
      <c r="J178" s="30" t="s">
        <v>3062</v>
      </c>
    </row>
    <row r="179" spans="1:10" x14ac:dyDescent="0.15">
      <c r="A179" s="28">
        <v>43210.8983912037</v>
      </c>
      <c r="B179" s="30">
        <v>1500</v>
      </c>
      <c r="C179" s="30">
        <v>53.5</v>
      </c>
      <c r="D179" s="30" t="s">
        <v>3063</v>
      </c>
      <c r="E179" s="30">
        <v>65.25</v>
      </c>
      <c r="F179" s="30" t="s">
        <v>3064</v>
      </c>
      <c r="G179" s="30">
        <v>61.4</v>
      </c>
      <c r="H179" s="30" t="s">
        <v>3065</v>
      </c>
      <c r="I179" s="30">
        <v>62.43</v>
      </c>
      <c r="J179" s="30" t="s">
        <v>3062</v>
      </c>
    </row>
    <row r="180" spans="1:10" x14ac:dyDescent="0.15">
      <c r="A180" s="28">
        <v>43210.898414351854</v>
      </c>
      <c r="B180" s="30">
        <v>1500</v>
      </c>
      <c r="C180" s="30">
        <v>53.32</v>
      </c>
      <c r="D180" s="30" t="s">
        <v>3007</v>
      </c>
      <c r="E180" s="30">
        <v>63.55</v>
      </c>
      <c r="F180" s="30" t="s">
        <v>3066</v>
      </c>
      <c r="G180" s="30">
        <v>61.43</v>
      </c>
      <c r="H180" s="30" t="s">
        <v>3067</v>
      </c>
      <c r="I180" s="30">
        <v>63.65</v>
      </c>
      <c r="J180" s="30" t="s">
        <v>3068</v>
      </c>
    </row>
    <row r="181" spans="1:10" x14ac:dyDescent="0.15">
      <c r="A181" s="28">
        <v>43210.898449074077</v>
      </c>
      <c r="B181" s="30">
        <v>1499</v>
      </c>
      <c r="C181" s="30">
        <v>52.24</v>
      </c>
      <c r="D181" s="30" t="s">
        <v>3069</v>
      </c>
      <c r="E181" s="30">
        <v>64.5</v>
      </c>
      <c r="F181" s="30" t="s">
        <v>3070</v>
      </c>
      <c r="G181" s="30">
        <v>61.24</v>
      </c>
      <c r="H181" s="30" t="s">
        <v>3071</v>
      </c>
      <c r="I181" s="30">
        <v>62.88</v>
      </c>
      <c r="J181" s="30" t="s">
        <v>3072</v>
      </c>
    </row>
    <row r="182" spans="1:10" x14ac:dyDescent="0.15">
      <c r="A182" s="28">
        <v>43210.8984837963</v>
      </c>
      <c r="B182" s="30">
        <v>1500</v>
      </c>
      <c r="C182" s="30">
        <v>53.56</v>
      </c>
      <c r="D182" s="30" t="s">
        <v>3073</v>
      </c>
      <c r="E182" s="30">
        <v>63.94</v>
      </c>
      <c r="F182" s="30" t="s">
        <v>3074</v>
      </c>
      <c r="G182" s="30">
        <v>63.49</v>
      </c>
      <c r="H182" s="30" t="s">
        <v>3075</v>
      </c>
      <c r="I182" s="30">
        <v>63.63</v>
      </c>
      <c r="J182" s="30" t="s">
        <v>3076</v>
      </c>
    </row>
    <row r="183" spans="1:10" x14ac:dyDescent="0.15">
      <c r="A183" s="28">
        <v>43210.898518518516</v>
      </c>
      <c r="B183" s="30">
        <v>1499</v>
      </c>
      <c r="C183" s="30">
        <v>51.23</v>
      </c>
      <c r="D183" s="30" t="s">
        <v>3077</v>
      </c>
      <c r="E183" s="30">
        <v>62.94</v>
      </c>
      <c r="F183" s="30" t="s">
        <v>3078</v>
      </c>
      <c r="G183" s="30">
        <v>61.61</v>
      </c>
      <c r="H183" s="30" t="s">
        <v>3079</v>
      </c>
      <c r="I183" s="30">
        <v>62.6</v>
      </c>
      <c r="J183" s="30" t="s">
        <v>3080</v>
      </c>
    </row>
    <row r="184" spans="1:10" x14ac:dyDescent="0.15">
      <c r="A184" s="28">
        <v>43210.898541666669</v>
      </c>
      <c r="B184" s="30">
        <v>1499</v>
      </c>
      <c r="C184" s="30">
        <v>53.56</v>
      </c>
      <c r="D184" s="30" t="s">
        <v>3081</v>
      </c>
      <c r="E184" s="30">
        <v>62.08</v>
      </c>
      <c r="F184" s="30" t="s">
        <v>3082</v>
      </c>
      <c r="G184" s="30">
        <v>61.84</v>
      </c>
      <c r="H184" s="30" t="s">
        <v>3083</v>
      </c>
      <c r="I184" s="30">
        <v>60.92</v>
      </c>
      <c r="J184" s="30" t="s">
        <v>3084</v>
      </c>
    </row>
    <row r="185" spans="1:10" x14ac:dyDescent="0.15">
      <c r="A185" s="28">
        <v>43210.898576388892</v>
      </c>
      <c r="B185" s="30">
        <v>1499</v>
      </c>
      <c r="C185" s="30">
        <v>52.32</v>
      </c>
      <c r="D185" s="30" t="s">
        <v>3085</v>
      </c>
      <c r="E185" s="30">
        <v>63.63</v>
      </c>
      <c r="F185" s="30" t="s">
        <v>3086</v>
      </c>
      <c r="G185" s="30">
        <v>61.42</v>
      </c>
      <c r="H185" s="30" t="s">
        <v>3053</v>
      </c>
      <c r="I185" s="30">
        <v>61.48</v>
      </c>
      <c r="J185" s="30" t="s">
        <v>3087</v>
      </c>
    </row>
    <row r="186" spans="1:10" x14ac:dyDescent="0.15">
      <c r="A186" s="28">
        <v>43210.898611111108</v>
      </c>
      <c r="B186" s="30">
        <v>1499</v>
      </c>
      <c r="C186" s="30">
        <v>51.36</v>
      </c>
      <c r="D186" s="30" t="s">
        <v>3088</v>
      </c>
      <c r="E186" s="30">
        <v>62.59</v>
      </c>
      <c r="F186" s="30" t="s">
        <v>3048</v>
      </c>
      <c r="G186" s="30">
        <v>60.74</v>
      </c>
      <c r="H186" s="30" t="s">
        <v>3089</v>
      </c>
      <c r="I186" s="30">
        <v>62.16</v>
      </c>
      <c r="J186" s="30" t="s">
        <v>3090</v>
      </c>
    </row>
    <row r="187" spans="1:10" x14ac:dyDescent="0.15">
      <c r="A187" s="28">
        <v>43210.898634259262</v>
      </c>
      <c r="B187" s="30">
        <v>1499</v>
      </c>
      <c r="C187" s="30">
        <v>52.68</v>
      </c>
      <c r="D187" s="30" t="s">
        <v>3091</v>
      </c>
      <c r="E187" s="30">
        <v>62.5</v>
      </c>
      <c r="F187" s="30" t="s">
        <v>3092</v>
      </c>
      <c r="G187" s="30">
        <v>61.95</v>
      </c>
      <c r="H187" s="30" t="s">
        <v>3093</v>
      </c>
      <c r="I187" s="30">
        <v>61.27</v>
      </c>
      <c r="J187" s="30" t="s">
        <v>3094</v>
      </c>
    </row>
    <row r="188" spans="1:10" x14ac:dyDescent="0.15">
      <c r="A188" s="28">
        <v>43210.898668981485</v>
      </c>
      <c r="B188" s="30">
        <v>1499</v>
      </c>
      <c r="C188" s="30">
        <v>52.59</v>
      </c>
      <c r="D188" s="30" t="s">
        <v>3095</v>
      </c>
      <c r="E188" s="30">
        <v>62.65</v>
      </c>
      <c r="F188" s="30" t="s">
        <v>3096</v>
      </c>
      <c r="G188" s="30">
        <v>62.72</v>
      </c>
      <c r="H188" s="30" t="s">
        <v>3097</v>
      </c>
      <c r="I188" s="30">
        <v>60.99</v>
      </c>
      <c r="J188" s="30" t="s">
        <v>3098</v>
      </c>
    </row>
    <row r="189" spans="1:10" x14ac:dyDescent="0.15">
      <c r="A189" s="28">
        <v>43210.8987037037</v>
      </c>
      <c r="B189" s="30">
        <v>1498</v>
      </c>
      <c r="C189" s="30">
        <v>52.56</v>
      </c>
      <c r="D189" s="30" t="s">
        <v>3099</v>
      </c>
      <c r="E189" s="30">
        <v>64.41</v>
      </c>
      <c r="F189" s="30" t="s">
        <v>3100</v>
      </c>
      <c r="G189" s="30">
        <v>60.02</v>
      </c>
      <c r="H189" s="30" t="s">
        <v>3101</v>
      </c>
      <c r="I189" s="30">
        <v>62.66</v>
      </c>
      <c r="J189" s="30" t="s">
        <v>3102</v>
      </c>
    </row>
    <row r="190" spans="1:10" x14ac:dyDescent="0.15">
      <c r="A190" s="28">
        <v>43210.898726851854</v>
      </c>
      <c r="B190" s="30">
        <v>1499</v>
      </c>
      <c r="C190" s="30">
        <v>51.19</v>
      </c>
      <c r="D190" s="30" t="s">
        <v>3103</v>
      </c>
      <c r="E190" s="30">
        <v>62.78</v>
      </c>
      <c r="F190" s="30" t="s">
        <v>3104</v>
      </c>
      <c r="G190" s="30">
        <v>61.46</v>
      </c>
      <c r="H190" s="30" t="s">
        <v>3105</v>
      </c>
      <c r="I190" s="30">
        <v>62.3</v>
      </c>
      <c r="J190" s="30" t="s">
        <v>3106</v>
      </c>
    </row>
    <row r="191" spans="1:10" x14ac:dyDescent="0.15">
      <c r="A191" s="28">
        <v>43210.898761574077</v>
      </c>
      <c r="B191" s="30">
        <v>1499</v>
      </c>
      <c r="C191" s="30">
        <v>51</v>
      </c>
      <c r="D191" s="30" t="s">
        <v>3107</v>
      </c>
      <c r="E191" s="30">
        <v>63.12</v>
      </c>
      <c r="F191" s="30" t="s">
        <v>3108</v>
      </c>
      <c r="G191" s="30">
        <v>62.17</v>
      </c>
      <c r="H191" s="30" t="s">
        <v>3109</v>
      </c>
      <c r="I191" s="30">
        <v>61.94</v>
      </c>
      <c r="J191" s="30" t="s">
        <v>3110</v>
      </c>
    </row>
    <row r="192" spans="1:10" x14ac:dyDescent="0.15">
      <c r="A192" s="28">
        <v>43210.898796296293</v>
      </c>
      <c r="B192" s="30">
        <v>1499</v>
      </c>
      <c r="C192" s="30">
        <v>52.43</v>
      </c>
      <c r="D192" s="30" t="s">
        <v>3111</v>
      </c>
      <c r="E192" s="30">
        <v>63.45</v>
      </c>
      <c r="F192" s="30" t="s">
        <v>3112</v>
      </c>
      <c r="G192" s="30">
        <v>62.19</v>
      </c>
      <c r="H192" s="30" t="s">
        <v>3113</v>
      </c>
      <c r="I192" s="30">
        <v>61.35</v>
      </c>
      <c r="J192" s="30" t="s">
        <v>3114</v>
      </c>
    </row>
    <row r="193" spans="1:10" x14ac:dyDescent="0.15">
      <c r="A193" s="28">
        <v>43210.898819444446</v>
      </c>
      <c r="B193" s="30">
        <v>1499</v>
      </c>
      <c r="C193" s="30">
        <v>51.02</v>
      </c>
      <c r="D193" s="30" t="s">
        <v>3115</v>
      </c>
      <c r="E193" s="30">
        <v>63.12</v>
      </c>
      <c r="F193" s="30" t="s">
        <v>3116</v>
      </c>
      <c r="G193" s="30">
        <v>61.58</v>
      </c>
      <c r="H193" s="30" t="s">
        <v>3117</v>
      </c>
      <c r="I193" s="30">
        <v>62.09</v>
      </c>
      <c r="J193" s="30" t="s">
        <v>3118</v>
      </c>
    </row>
    <row r="194" spans="1:10" x14ac:dyDescent="0.15">
      <c r="A194" s="28">
        <v>43210.898854166669</v>
      </c>
      <c r="B194" s="30">
        <v>1499</v>
      </c>
      <c r="C194" s="30">
        <v>52.84</v>
      </c>
      <c r="D194" s="30" t="s">
        <v>3119</v>
      </c>
      <c r="E194" s="30">
        <v>62.09</v>
      </c>
      <c r="F194" s="30" t="s">
        <v>3120</v>
      </c>
      <c r="G194" s="30">
        <v>60.75</v>
      </c>
      <c r="H194" s="30" t="s">
        <v>3121</v>
      </c>
      <c r="I194" s="30">
        <v>60.49</v>
      </c>
      <c r="J194" s="30" t="s">
        <v>3122</v>
      </c>
    </row>
    <row r="195" spans="1:10" x14ac:dyDescent="0.15">
      <c r="A195" s="28">
        <v>43210.898888888885</v>
      </c>
      <c r="B195" s="30">
        <v>1499</v>
      </c>
      <c r="C195" s="30">
        <v>52.65</v>
      </c>
      <c r="D195" s="30" t="s">
        <v>3123</v>
      </c>
      <c r="E195" s="30">
        <v>63.45</v>
      </c>
      <c r="F195" s="30" t="s">
        <v>3124</v>
      </c>
      <c r="G195" s="30">
        <v>61.3</v>
      </c>
      <c r="H195" s="30" t="s">
        <v>3125</v>
      </c>
      <c r="I195" s="30">
        <v>61.74</v>
      </c>
      <c r="J195" s="30" t="s">
        <v>3126</v>
      </c>
    </row>
    <row r="196" spans="1:10" x14ac:dyDescent="0.15">
      <c r="A196" s="28">
        <v>43210.898912037039</v>
      </c>
      <c r="B196" s="30">
        <v>1499</v>
      </c>
      <c r="C196" s="30">
        <v>51.95</v>
      </c>
      <c r="D196" s="30" t="s">
        <v>3127</v>
      </c>
      <c r="E196" s="30">
        <v>61.97</v>
      </c>
      <c r="F196" s="30" t="s">
        <v>3128</v>
      </c>
      <c r="G196" s="30">
        <v>61.88</v>
      </c>
      <c r="H196" s="30" t="s">
        <v>3129</v>
      </c>
      <c r="I196" s="30">
        <v>61.49</v>
      </c>
      <c r="J196" s="30" t="s">
        <v>3130</v>
      </c>
    </row>
    <row r="197" spans="1:10" x14ac:dyDescent="0.15">
      <c r="A197" s="28">
        <v>43210.898946759262</v>
      </c>
      <c r="B197" s="30">
        <v>1499</v>
      </c>
      <c r="C197" s="30">
        <v>52.16</v>
      </c>
      <c r="D197" s="30" t="s">
        <v>3131</v>
      </c>
      <c r="E197" s="30">
        <v>63.66</v>
      </c>
      <c r="F197" s="30" t="s">
        <v>3132</v>
      </c>
      <c r="G197" s="30">
        <v>61.14</v>
      </c>
      <c r="H197" s="30" t="s">
        <v>3133</v>
      </c>
      <c r="I197" s="30">
        <v>61.83</v>
      </c>
      <c r="J197" s="30" t="s">
        <v>3134</v>
      </c>
    </row>
    <row r="198" spans="1:10" x14ac:dyDescent="0.15">
      <c r="A198" s="28">
        <v>43210.898981481485</v>
      </c>
      <c r="B198" s="30">
        <v>1499</v>
      </c>
      <c r="C198" s="30">
        <v>52.47</v>
      </c>
      <c r="D198" s="30" t="s">
        <v>3135</v>
      </c>
      <c r="E198" s="30">
        <v>61.54</v>
      </c>
      <c r="F198" s="30" t="s">
        <v>3136</v>
      </c>
      <c r="G198" s="30">
        <v>61.73</v>
      </c>
      <c r="H198" s="30" t="s">
        <v>3137</v>
      </c>
      <c r="I198" s="30">
        <v>59.99</v>
      </c>
      <c r="J198" s="30" t="s">
        <v>3138</v>
      </c>
    </row>
    <row r="199" spans="1:10" x14ac:dyDescent="0.15">
      <c r="A199" s="28">
        <v>43210.899016203701</v>
      </c>
      <c r="B199" s="30">
        <v>1499</v>
      </c>
      <c r="C199" s="30">
        <v>52.3</v>
      </c>
      <c r="D199" s="30" t="s">
        <v>3139</v>
      </c>
      <c r="E199" s="30">
        <v>62.77</v>
      </c>
      <c r="F199" s="30" t="s">
        <v>3132</v>
      </c>
      <c r="G199" s="30">
        <v>62.22</v>
      </c>
      <c r="H199" s="30" t="s">
        <v>3140</v>
      </c>
      <c r="I199" s="30">
        <v>60.21</v>
      </c>
      <c r="J199" s="30" t="s">
        <v>3141</v>
      </c>
    </row>
    <row r="200" spans="1:10" x14ac:dyDescent="0.15">
      <c r="A200" s="28">
        <v>43210.899039351854</v>
      </c>
      <c r="B200" s="30">
        <v>1499</v>
      </c>
      <c r="C200" s="30">
        <v>53.68</v>
      </c>
      <c r="D200" s="30" t="s">
        <v>3142</v>
      </c>
      <c r="E200" s="30">
        <v>61.69</v>
      </c>
      <c r="F200" s="30" t="s">
        <v>3143</v>
      </c>
      <c r="G200" s="30">
        <v>60.56</v>
      </c>
      <c r="H200" s="30" t="s">
        <v>3109</v>
      </c>
      <c r="I200" s="30">
        <v>60.15</v>
      </c>
      <c r="J200" s="30" t="s">
        <v>3144</v>
      </c>
    </row>
    <row r="201" spans="1:10" x14ac:dyDescent="0.15">
      <c r="A201" s="28">
        <v>43210.899074074077</v>
      </c>
      <c r="B201" s="30">
        <v>1499</v>
      </c>
      <c r="C201" s="30">
        <v>50.83</v>
      </c>
      <c r="D201" s="30" t="s">
        <v>3145</v>
      </c>
      <c r="E201" s="30">
        <v>63.1</v>
      </c>
      <c r="F201" s="30" t="s">
        <v>3146</v>
      </c>
      <c r="G201" s="30">
        <v>62.11</v>
      </c>
      <c r="H201" s="30" t="s">
        <v>3147</v>
      </c>
      <c r="I201" s="30">
        <v>62.21</v>
      </c>
      <c r="J201" s="30" t="s">
        <v>3148</v>
      </c>
    </row>
    <row r="202" spans="1:10" x14ac:dyDescent="0.15">
      <c r="A202" s="28">
        <v>43210.899108796293</v>
      </c>
      <c r="B202" s="30">
        <v>1500</v>
      </c>
      <c r="C202" s="30">
        <v>54.65</v>
      </c>
      <c r="D202" s="30" t="s">
        <v>3149</v>
      </c>
      <c r="E202" s="30">
        <v>62.88</v>
      </c>
      <c r="F202" s="30" t="s">
        <v>3150</v>
      </c>
      <c r="G202" s="30">
        <v>61.15</v>
      </c>
      <c r="H202" s="30" t="s">
        <v>3151</v>
      </c>
      <c r="I202" s="30">
        <v>59.54</v>
      </c>
      <c r="J202" s="30" t="s">
        <v>3152</v>
      </c>
    </row>
    <row r="203" spans="1:10" x14ac:dyDescent="0.15">
      <c r="A203" s="28">
        <v>43210.899131944447</v>
      </c>
      <c r="B203" s="30">
        <v>1500</v>
      </c>
      <c r="C203" s="30">
        <v>52.61</v>
      </c>
      <c r="D203" s="30" t="s">
        <v>3131</v>
      </c>
      <c r="E203" s="30">
        <v>63.14</v>
      </c>
      <c r="F203" s="30" t="s">
        <v>3153</v>
      </c>
      <c r="G203" s="30">
        <v>61.54</v>
      </c>
      <c r="H203" s="30" t="s">
        <v>3154</v>
      </c>
      <c r="I203" s="30">
        <v>60.43</v>
      </c>
      <c r="J203" s="30" t="s">
        <v>3155</v>
      </c>
    </row>
    <row r="204" spans="1:10" x14ac:dyDescent="0.15">
      <c r="A204" s="28">
        <v>43210.89916666667</v>
      </c>
      <c r="B204" s="30">
        <v>1500</v>
      </c>
      <c r="C204" s="30">
        <v>51.97</v>
      </c>
      <c r="D204" s="30" t="s">
        <v>3156</v>
      </c>
      <c r="E204" s="30">
        <v>62.59</v>
      </c>
      <c r="F204" s="30" t="s">
        <v>3157</v>
      </c>
      <c r="G204" s="30">
        <v>62.63</v>
      </c>
      <c r="H204" s="30" t="s">
        <v>3158</v>
      </c>
      <c r="I204" s="30">
        <v>61.92</v>
      </c>
      <c r="J204" s="30" t="s">
        <v>3159</v>
      </c>
    </row>
    <row r="205" spans="1:10" x14ac:dyDescent="0.15">
      <c r="A205" s="28">
        <v>43210.899201388886</v>
      </c>
      <c r="B205" s="30">
        <v>1500</v>
      </c>
      <c r="C205" s="30">
        <v>51.38</v>
      </c>
      <c r="D205" s="30" t="s">
        <v>3160</v>
      </c>
      <c r="E205" s="30">
        <v>63.21</v>
      </c>
      <c r="F205" s="30" t="s">
        <v>3112</v>
      </c>
      <c r="G205" s="30">
        <v>61.63</v>
      </c>
      <c r="H205" s="30" t="s">
        <v>3161</v>
      </c>
      <c r="I205" s="30">
        <v>61.51</v>
      </c>
      <c r="J205" s="30" t="s">
        <v>3162</v>
      </c>
    </row>
    <row r="206" spans="1:10" x14ac:dyDescent="0.15">
      <c r="A206" s="28">
        <v>43210.899224537039</v>
      </c>
      <c r="B206" s="30">
        <v>1500</v>
      </c>
      <c r="C206" s="30">
        <v>52.98</v>
      </c>
      <c r="D206" s="30" t="s">
        <v>3163</v>
      </c>
      <c r="E206" s="30">
        <v>61.83</v>
      </c>
      <c r="F206" s="30" t="s">
        <v>3164</v>
      </c>
      <c r="G206" s="30">
        <v>62.28</v>
      </c>
      <c r="H206" s="30" t="s">
        <v>3165</v>
      </c>
      <c r="I206" s="30">
        <v>61.13</v>
      </c>
      <c r="J206" s="30" t="s">
        <v>3166</v>
      </c>
    </row>
    <row r="207" spans="1:10" x14ac:dyDescent="0.15">
      <c r="A207" s="28">
        <v>43210.899259259262</v>
      </c>
      <c r="B207" s="30">
        <v>1500</v>
      </c>
      <c r="C207" s="30">
        <v>52.64</v>
      </c>
      <c r="D207" s="30" t="s">
        <v>3167</v>
      </c>
      <c r="E207" s="30">
        <v>62.53</v>
      </c>
      <c r="F207" s="30" t="s">
        <v>3168</v>
      </c>
      <c r="G207" s="30">
        <v>62.66</v>
      </c>
      <c r="H207" s="30" t="s">
        <v>3169</v>
      </c>
      <c r="I207" s="30">
        <v>61.18</v>
      </c>
      <c r="J207" s="30" t="s">
        <v>3170</v>
      </c>
    </row>
    <row r="208" spans="1:10" x14ac:dyDescent="0.15">
      <c r="A208" s="28">
        <v>43210.899293981478</v>
      </c>
      <c r="B208" s="30">
        <v>1500</v>
      </c>
      <c r="C208" s="30">
        <v>51.17</v>
      </c>
      <c r="D208" s="30" t="s">
        <v>3171</v>
      </c>
      <c r="E208" s="30">
        <v>62.9</v>
      </c>
      <c r="F208" s="30" t="s">
        <v>3172</v>
      </c>
      <c r="G208" s="30">
        <v>59.99</v>
      </c>
      <c r="H208" s="30" t="s">
        <v>3173</v>
      </c>
      <c r="I208" s="30">
        <v>60.11</v>
      </c>
      <c r="J208" s="30" t="s">
        <v>3174</v>
      </c>
    </row>
    <row r="209" spans="1:10" x14ac:dyDescent="0.15">
      <c r="A209" s="28">
        <v>43210.899317129632</v>
      </c>
      <c r="B209" s="30">
        <v>1500</v>
      </c>
      <c r="C209" s="30">
        <v>52.48</v>
      </c>
      <c r="D209" s="30" t="s">
        <v>3175</v>
      </c>
      <c r="E209" s="30">
        <v>62.64</v>
      </c>
      <c r="F209" s="30" t="s">
        <v>3176</v>
      </c>
      <c r="G209" s="30">
        <v>61.45</v>
      </c>
      <c r="H209" s="30" t="s">
        <v>3177</v>
      </c>
      <c r="I209" s="30">
        <v>62.31</v>
      </c>
      <c r="J209" s="30" t="s">
        <v>3178</v>
      </c>
    </row>
    <row r="210" spans="1:10" x14ac:dyDescent="0.15">
      <c r="A210" s="28">
        <v>43210.899351851855</v>
      </c>
      <c r="B210" s="30">
        <v>1500</v>
      </c>
      <c r="C210" s="30">
        <v>52.48</v>
      </c>
      <c r="D210" s="30" t="s">
        <v>3175</v>
      </c>
      <c r="E210" s="30">
        <v>62.64</v>
      </c>
      <c r="F210" s="30" t="s">
        <v>3176</v>
      </c>
      <c r="G210" s="30">
        <v>61.45</v>
      </c>
      <c r="H210" s="30" t="s">
        <v>3177</v>
      </c>
      <c r="I210" s="30">
        <v>60.79</v>
      </c>
      <c r="J210" s="30" t="s">
        <v>3179</v>
      </c>
    </row>
    <row r="211" spans="1:10" x14ac:dyDescent="0.15">
      <c r="A211" s="28">
        <v>43210.899363425924</v>
      </c>
      <c r="B211" s="30">
        <v>1500</v>
      </c>
      <c r="C211" s="30">
        <v>53</v>
      </c>
      <c r="D211" s="30" t="s">
        <v>3180</v>
      </c>
      <c r="E211" s="30">
        <v>62.23</v>
      </c>
      <c r="F211" s="30" t="s">
        <v>3181</v>
      </c>
      <c r="G211" s="30">
        <v>60.21</v>
      </c>
      <c r="H211" s="30" t="s">
        <v>3182</v>
      </c>
      <c r="I211" s="30">
        <v>60.79</v>
      </c>
      <c r="J211" s="30" t="s">
        <v>3179</v>
      </c>
    </row>
    <row r="212" spans="1:10" x14ac:dyDescent="0.15">
      <c r="A212" s="28">
        <v>43210.899386574078</v>
      </c>
      <c r="B212" s="30">
        <v>1500</v>
      </c>
      <c r="C212" s="30">
        <v>52.15</v>
      </c>
      <c r="D212" s="30" t="s">
        <v>3183</v>
      </c>
      <c r="E212" s="30">
        <v>61.9</v>
      </c>
      <c r="F212" s="30" t="s">
        <v>3184</v>
      </c>
      <c r="G212" s="30">
        <v>62.98</v>
      </c>
      <c r="H212" s="30" t="s">
        <v>3185</v>
      </c>
      <c r="I212" s="30">
        <v>59.67</v>
      </c>
      <c r="J212" s="30" t="s">
        <v>3186</v>
      </c>
    </row>
    <row r="213" spans="1:10" x14ac:dyDescent="0.15">
      <c r="A213" s="28">
        <v>43210.899421296293</v>
      </c>
      <c r="B213" s="30">
        <v>1500</v>
      </c>
      <c r="C213" s="30">
        <v>52.84</v>
      </c>
      <c r="D213" s="30" t="s">
        <v>3187</v>
      </c>
      <c r="E213" s="30">
        <v>62.63</v>
      </c>
      <c r="F213" s="30" t="s">
        <v>3188</v>
      </c>
      <c r="G213" s="30">
        <v>60.35</v>
      </c>
      <c r="H213" s="30" t="s">
        <v>3189</v>
      </c>
      <c r="I213" s="30">
        <v>61.69</v>
      </c>
      <c r="J213" s="30" t="s">
        <v>3190</v>
      </c>
    </row>
    <row r="214" spans="1:10" x14ac:dyDescent="0.15">
      <c r="A214" s="28">
        <v>43210.899444444447</v>
      </c>
      <c r="B214" s="30">
        <v>1500</v>
      </c>
      <c r="C214" s="30">
        <v>51.43</v>
      </c>
      <c r="D214" s="30" t="s">
        <v>3191</v>
      </c>
      <c r="E214" s="30">
        <v>62.45</v>
      </c>
      <c r="F214" s="30" t="s">
        <v>3192</v>
      </c>
      <c r="G214" s="30">
        <v>60.48</v>
      </c>
      <c r="H214" s="30" t="s">
        <v>3193</v>
      </c>
      <c r="I214" s="30">
        <v>61.19</v>
      </c>
      <c r="J214" s="30" t="s">
        <v>3194</v>
      </c>
    </row>
    <row r="215" spans="1:10" x14ac:dyDescent="0.15">
      <c r="A215" s="28">
        <v>43210.89947916667</v>
      </c>
      <c r="B215" s="30">
        <v>1500</v>
      </c>
      <c r="C215" s="30">
        <v>52.23</v>
      </c>
      <c r="D215" s="30" t="s">
        <v>3195</v>
      </c>
      <c r="E215" s="30">
        <v>63.72</v>
      </c>
      <c r="F215" s="30" t="s">
        <v>3196</v>
      </c>
      <c r="G215" s="30">
        <v>60.64</v>
      </c>
      <c r="H215" s="30" t="s">
        <v>3109</v>
      </c>
      <c r="I215" s="30">
        <v>61.45</v>
      </c>
      <c r="J215" s="30" t="s">
        <v>3197</v>
      </c>
    </row>
    <row r="216" spans="1:10" x14ac:dyDescent="0.15">
      <c r="A216" s="28">
        <v>43210.899513888886</v>
      </c>
      <c r="B216" s="30">
        <v>1501</v>
      </c>
      <c r="C216" s="30">
        <v>51.35</v>
      </c>
      <c r="D216" s="30" t="s">
        <v>3198</v>
      </c>
      <c r="E216" s="30">
        <v>63.26</v>
      </c>
      <c r="F216" s="30" t="s">
        <v>3181</v>
      </c>
      <c r="G216" s="30">
        <v>60.62</v>
      </c>
      <c r="H216" s="30" t="s">
        <v>3199</v>
      </c>
      <c r="I216" s="30">
        <v>62</v>
      </c>
      <c r="J216" s="30" t="s">
        <v>3200</v>
      </c>
    </row>
    <row r="217" spans="1:10" x14ac:dyDescent="0.15">
      <c r="A217" s="28">
        <v>43210.899537037039</v>
      </c>
      <c r="B217" s="30">
        <v>1501</v>
      </c>
      <c r="C217" s="30">
        <v>52.11</v>
      </c>
      <c r="D217" s="30" t="s">
        <v>3201</v>
      </c>
      <c r="E217" s="30">
        <v>62.57</v>
      </c>
      <c r="F217" s="30" t="s">
        <v>3202</v>
      </c>
      <c r="G217" s="30">
        <v>59.46</v>
      </c>
      <c r="H217" s="30" t="s">
        <v>3203</v>
      </c>
      <c r="I217" s="30">
        <v>61.37</v>
      </c>
      <c r="J217" s="30" t="s">
        <v>3204</v>
      </c>
    </row>
    <row r="218" spans="1:10" x14ac:dyDescent="0.15">
      <c r="A218" s="28">
        <v>43210.899571759262</v>
      </c>
      <c r="B218" s="30">
        <v>1501</v>
      </c>
      <c r="C218" s="30">
        <v>51.31</v>
      </c>
      <c r="D218" s="30" t="s">
        <v>3205</v>
      </c>
      <c r="E218" s="30">
        <v>63.12</v>
      </c>
      <c r="F218" s="30" t="s">
        <v>3206</v>
      </c>
      <c r="G218" s="30">
        <v>62.23</v>
      </c>
      <c r="H218" s="30" t="s">
        <v>3207</v>
      </c>
      <c r="I218" s="30">
        <v>62.22</v>
      </c>
      <c r="J218" s="30" t="s">
        <v>3208</v>
      </c>
    </row>
    <row r="219" spans="1:10" x14ac:dyDescent="0.15">
      <c r="A219" s="28">
        <v>43210.899606481478</v>
      </c>
      <c r="B219" s="30">
        <v>1501</v>
      </c>
      <c r="C219" s="30">
        <v>50.53</v>
      </c>
      <c r="D219" s="30" t="s">
        <v>3209</v>
      </c>
      <c r="E219" s="30">
        <v>64.430000000000007</v>
      </c>
      <c r="F219" s="30" t="s">
        <v>150</v>
      </c>
      <c r="G219" s="30">
        <v>59.16</v>
      </c>
      <c r="H219" s="30" t="s">
        <v>3210</v>
      </c>
      <c r="I219" s="30">
        <v>61.71</v>
      </c>
      <c r="J219" s="30" t="s">
        <v>3211</v>
      </c>
    </row>
    <row r="220" spans="1:10" x14ac:dyDescent="0.15">
      <c r="A220" s="28">
        <v>43210.899629629632</v>
      </c>
      <c r="B220" s="30">
        <v>1500</v>
      </c>
      <c r="C220" s="30">
        <v>51.05</v>
      </c>
      <c r="D220" s="30" t="s">
        <v>3212</v>
      </c>
      <c r="E220" s="30">
        <v>62.51</v>
      </c>
      <c r="F220" s="30" t="s">
        <v>3213</v>
      </c>
      <c r="G220" s="30">
        <v>59.63</v>
      </c>
      <c r="H220" s="30" t="s">
        <v>3214</v>
      </c>
      <c r="I220" s="30">
        <v>60.91</v>
      </c>
      <c r="J220" s="30" t="s">
        <v>3215</v>
      </c>
    </row>
    <row r="221" spans="1:10" x14ac:dyDescent="0.15">
      <c r="A221" s="28">
        <v>43210.899664351855</v>
      </c>
      <c r="B221" s="30">
        <v>1501</v>
      </c>
      <c r="C221" s="30">
        <v>51.99</v>
      </c>
      <c r="D221" s="30" t="s">
        <v>3216</v>
      </c>
      <c r="E221" s="30">
        <v>61.95</v>
      </c>
      <c r="F221" s="30" t="s">
        <v>3217</v>
      </c>
      <c r="G221" s="30">
        <v>61.81</v>
      </c>
      <c r="H221" s="30" t="s">
        <v>3218</v>
      </c>
      <c r="I221" s="30">
        <v>60.36</v>
      </c>
      <c r="J221" s="30" t="s">
        <v>3219</v>
      </c>
    </row>
    <row r="222" spans="1:10" x14ac:dyDescent="0.15">
      <c r="A222" s="28">
        <v>43210.899699074071</v>
      </c>
      <c r="B222" s="30">
        <v>1500</v>
      </c>
      <c r="C222" s="30">
        <v>51.99</v>
      </c>
      <c r="D222" s="30" t="s">
        <v>3220</v>
      </c>
      <c r="E222" s="30">
        <v>62.71</v>
      </c>
      <c r="F222" s="30" t="s">
        <v>3221</v>
      </c>
      <c r="G222" s="30">
        <v>61.72</v>
      </c>
      <c r="H222" s="30" t="s">
        <v>3222</v>
      </c>
      <c r="I222" s="30">
        <v>60.85</v>
      </c>
      <c r="J222" s="30" t="s">
        <v>3223</v>
      </c>
    </row>
    <row r="223" spans="1:10" x14ac:dyDescent="0.15">
      <c r="A223" s="28">
        <v>43210.899722222224</v>
      </c>
      <c r="B223" s="30">
        <v>1500</v>
      </c>
      <c r="C223" s="30">
        <v>53.1</v>
      </c>
      <c r="D223" s="30" t="s">
        <v>3145</v>
      </c>
      <c r="E223" s="30">
        <v>61.99</v>
      </c>
      <c r="F223" s="30" t="s">
        <v>148</v>
      </c>
      <c r="G223" s="30">
        <v>60.44</v>
      </c>
      <c r="H223" s="30" t="s">
        <v>3224</v>
      </c>
      <c r="I223" s="30">
        <v>61.66</v>
      </c>
      <c r="J223" s="30" t="s">
        <v>3225</v>
      </c>
    </row>
    <row r="224" spans="1:10" x14ac:dyDescent="0.15">
      <c r="A224" s="28">
        <v>43210.899756944447</v>
      </c>
      <c r="B224" s="30">
        <v>1500</v>
      </c>
      <c r="C224" s="30">
        <v>55.18</v>
      </c>
      <c r="D224" s="30" t="s">
        <v>3226</v>
      </c>
      <c r="E224" s="30">
        <v>60.86</v>
      </c>
      <c r="F224" s="30" t="s">
        <v>3227</v>
      </c>
      <c r="G224" s="30">
        <v>60.38</v>
      </c>
      <c r="H224" s="30" t="s">
        <v>3228</v>
      </c>
      <c r="I224" s="30">
        <v>60.01</v>
      </c>
      <c r="J224" s="30" t="s">
        <v>3229</v>
      </c>
    </row>
    <row r="225" spans="1:10" x14ac:dyDescent="0.15">
      <c r="A225" s="28">
        <v>43210.899791666663</v>
      </c>
      <c r="B225" s="30">
        <v>1500</v>
      </c>
      <c r="C225" s="30">
        <v>53.73</v>
      </c>
      <c r="D225" s="30" t="s">
        <v>3230</v>
      </c>
      <c r="E225" s="30">
        <v>62.51</v>
      </c>
      <c r="F225" s="30" t="s">
        <v>3176</v>
      </c>
      <c r="G225" s="30">
        <v>61.32</v>
      </c>
      <c r="H225" s="30" t="s">
        <v>3214</v>
      </c>
      <c r="I225" s="30">
        <v>62.28</v>
      </c>
      <c r="J225" s="30" t="s">
        <v>3231</v>
      </c>
    </row>
    <row r="226" spans="1:10" x14ac:dyDescent="0.15">
      <c r="A226" s="28">
        <v>43210.899814814817</v>
      </c>
      <c r="B226" s="30">
        <v>1500</v>
      </c>
      <c r="C226" s="30">
        <v>52.32</v>
      </c>
      <c r="D226" s="30" t="s">
        <v>3232</v>
      </c>
      <c r="E226" s="30">
        <v>61.59</v>
      </c>
      <c r="F226" s="30" t="s">
        <v>3233</v>
      </c>
      <c r="G226" s="30">
        <v>61.91</v>
      </c>
      <c r="H226" s="30" t="s">
        <v>3234</v>
      </c>
      <c r="I226" s="30">
        <v>60.83</v>
      </c>
      <c r="J226" s="30" t="s">
        <v>3225</v>
      </c>
    </row>
    <row r="227" spans="1:10" x14ac:dyDescent="0.15">
      <c r="A227" s="28">
        <v>43210.899861111109</v>
      </c>
      <c r="B227" s="30">
        <v>1500</v>
      </c>
      <c r="C227" s="30">
        <v>51.22</v>
      </c>
      <c r="D227" s="30" t="s">
        <v>3235</v>
      </c>
      <c r="E227" s="30">
        <v>62.52</v>
      </c>
      <c r="F227" s="30" t="s">
        <v>3236</v>
      </c>
      <c r="G227" s="30">
        <v>60.76</v>
      </c>
      <c r="H227" s="30" t="s">
        <v>3237</v>
      </c>
      <c r="I227" s="30">
        <v>61.15</v>
      </c>
      <c r="J227" s="30" t="s">
        <v>3238</v>
      </c>
    </row>
    <row r="228" spans="1:10" x14ac:dyDescent="0.15">
      <c r="A228" s="28">
        <v>43210.899884259263</v>
      </c>
      <c r="B228" s="30">
        <v>1500</v>
      </c>
      <c r="C228" s="30">
        <v>51.74</v>
      </c>
      <c r="D228" s="30" t="s">
        <v>3239</v>
      </c>
      <c r="E228" s="30">
        <v>61.95</v>
      </c>
      <c r="F228" s="30" t="s">
        <v>3150</v>
      </c>
      <c r="G228" s="30">
        <v>60.4</v>
      </c>
      <c r="H228" s="30" t="s">
        <v>3240</v>
      </c>
      <c r="I228" s="30">
        <v>60.41</v>
      </c>
      <c r="J228" s="30" t="s">
        <v>3241</v>
      </c>
    </row>
    <row r="229" spans="1:10" x14ac:dyDescent="0.15">
      <c r="A229" s="28">
        <v>43210.899918981479</v>
      </c>
      <c r="B229" s="30">
        <v>1500</v>
      </c>
      <c r="C229" s="30">
        <v>51.23</v>
      </c>
      <c r="D229" s="30" t="s">
        <v>3149</v>
      </c>
      <c r="E229" s="30">
        <v>61.57</v>
      </c>
      <c r="F229" s="30" t="s">
        <v>3242</v>
      </c>
      <c r="G229" s="30">
        <v>61.12</v>
      </c>
      <c r="H229" s="30" t="s">
        <v>3243</v>
      </c>
      <c r="I229" s="30">
        <v>60.21</v>
      </c>
      <c r="J229" s="30" t="s">
        <v>3244</v>
      </c>
    </row>
    <row r="230" spans="1:10" x14ac:dyDescent="0.15">
      <c r="A230" s="28">
        <v>43210.899942129632</v>
      </c>
      <c r="B230" s="30">
        <v>1500</v>
      </c>
      <c r="C230" s="30">
        <v>53.92</v>
      </c>
      <c r="D230" s="30" t="s">
        <v>3245</v>
      </c>
      <c r="E230" s="30">
        <v>61.54</v>
      </c>
      <c r="F230" s="30" t="s">
        <v>3096</v>
      </c>
      <c r="G230" s="30">
        <v>60.51</v>
      </c>
      <c r="H230" s="30" t="s">
        <v>3246</v>
      </c>
      <c r="I230" s="30">
        <v>60.33</v>
      </c>
      <c r="J230" s="30" t="s">
        <v>3247</v>
      </c>
    </row>
    <row r="231" spans="1:10" x14ac:dyDescent="0.15">
      <c r="A231" s="28">
        <v>43210.899976851855</v>
      </c>
      <c r="B231" s="30">
        <v>1500</v>
      </c>
      <c r="C231" s="30">
        <v>51.59</v>
      </c>
      <c r="D231" s="30" t="s">
        <v>3248</v>
      </c>
      <c r="E231" s="30">
        <v>62.9</v>
      </c>
      <c r="F231" s="30" t="s">
        <v>3157</v>
      </c>
      <c r="G231" s="30">
        <v>61.19</v>
      </c>
      <c r="H231" s="30" t="s">
        <v>3249</v>
      </c>
      <c r="I231" s="30">
        <v>60.88</v>
      </c>
      <c r="J231" s="30" t="s">
        <v>3250</v>
      </c>
    </row>
    <row r="232" spans="1:10" x14ac:dyDescent="0.15">
      <c r="A232" s="28">
        <v>43210.900011574071</v>
      </c>
      <c r="B232" s="30">
        <v>1500</v>
      </c>
      <c r="C232" s="30">
        <v>51.19</v>
      </c>
      <c r="D232" s="30" t="s">
        <v>3251</v>
      </c>
      <c r="E232" s="30">
        <v>62.73</v>
      </c>
      <c r="F232" s="30" t="s">
        <v>3252</v>
      </c>
      <c r="G232" s="30">
        <v>59.82</v>
      </c>
      <c r="H232" s="30" t="s">
        <v>3253</v>
      </c>
      <c r="I232" s="30">
        <v>61.25</v>
      </c>
      <c r="J232" s="30" t="s">
        <v>3134</v>
      </c>
    </row>
    <row r="233" spans="1:10" x14ac:dyDescent="0.15">
      <c r="A233" s="28">
        <v>43210.900034722225</v>
      </c>
      <c r="B233" s="30">
        <v>1500</v>
      </c>
      <c r="C233" s="30">
        <v>52.65</v>
      </c>
      <c r="D233" s="30" t="s">
        <v>3254</v>
      </c>
      <c r="E233" s="30">
        <v>62.44</v>
      </c>
      <c r="F233" s="30" t="s">
        <v>3255</v>
      </c>
      <c r="G233" s="30">
        <v>60.88</v>
      </c>
      <c r="H233" s="30" t="s">
        <v>3256</v>
      </c>
      <c r="I233" s="30">
        <v>60.81</v>
      </c>
      <c r="J233" s="30" t="s">
        <v>3257</v>
      </c>
    </row>
    <row r="234" spans="1:10" x14ac:dyDescent="0.15">
      <c r="A234" s="28">
        <v>43210.900069444448</v>
      </c>
      <c r="B234" s="30">
        <v>1500</v>
      </c>
      <c r="C234" s="30">
        <v>51.41</v>
      </c>
      <c r="D234" s="30" t="s">
        <v>3251</v>
      </c>
      <c r="E234" s="30">
        <v>62.05</v>
      </c>
      <c r="F234" s="30" t="s">
        <v>3258</v>
      </c>
      <c r="G234" s="30">
        <v>60.73</v>
      </c>
      <c r="H234" s="30" t="s">
        <v>3259</v>
      </c>
      <c r="I234" s="30">
        <v>60.87</v>
      </c>
      <c r="J234" s="30" t="s">
        <v>3204</v>
      </c>
    </row>
    <row r="235" spans="1:10" x14ac:dyDescent="0.15">
      <c r="A235" s="28">
        <v>43210.900104166663</v>
      </c>
      <c r="B235" s="30">
        <v>1499</v>
      </c>
      <c r="C235" s="30">
        <v>52.63</v>
      </c>
      <c r="D235" s="30" t="s">
        <v>3260</v>
      </c>
      <c r="E235" s="30">
        <v>62.31</v>
      </c>
      <c r="F235" s="30" t="s">
        <v>3261</v>
      </c>
      <c r="G235" s="30">
        <v>58.74</v>
      </c>
      <c r="H235" s="30" t="s">
        <v>3262</v>
      </c>
      <c r="I235" s="30">
        <v>60.83</v>
      </c>
      <c r="J235" s="30" t="s">
        <v>3263</v>
      </c>
    </row>
    <row r="236" spans="1:10" x14ac:dyDescent="0.15">
      <c r="A236" s="28">
        <v>43210.900127314817</v>
      </c>
      <c r="B236" s="30">
        <v>1499</v>
      </c>
      <c r="C236" s="30">
        <v>50.83</v>
      </c>
      <c r="D236" s="30" t="s">
        <v>3264</v>
      </c>
      <c r="E236" s="30">
        <v>62.31</v>
      </c>
      <c r="F236" s="30" t="s">
        <v>3265</v>
      </c>
      <c r="G236" s="30">
        <v>60.04</v>
      </c>
      <c r="H236" s="30" t="s">
        <v>3266</v>
      </c>
      <c r="I236" s="30">
        <v>60.12</v>
      </c>
      <c r="J236" s="30" t="s">
        <v>3267</v>
      </c>
    </row>
    <row r="237" spans="1:10" x14ac:dyDescent="0.15">
      <c r="A237" s="28">
        <v>43210.90016203704</v>
      </c>
      <c r="B237" s="30">
        <v>1499</v>
      </c>
      <c r="C237" s="30">
        <v>51.93</v>
      </c>
      <c r="D237" s="30" t="s">
        <v>3268</v>
      </c>
      <c r="E237" s="30">
        <v>61.45</v>
      </c>
      <c r="F237" s="30" t="s">
        <v>3269</v>
      </c>
      <c r="G237" s="30">
        <v>62.05</v>
      </c>
      <c r="H237" s="30" t="s">
        <v>3270</v>
      </c>
      <c r="I237" s="30">
        <v>60.38</v>
      </c>
      <c r="J237" s="30" t="s">
        <v>3271</v>
      </c>
    </row>
    <row r="238" spans="1:10" x14ac:dyDescent="0.15">
      <c r="A238" s="28">
        <v>43210.900196759256</v>
      </c>
      <c r="B238" s="30">
        <v>1499</v>
      </c>
      <c r="C238" s="30">
        <v>50.79</v>
      </c>
      <c r="D238" s="30" t="s">
        <v>3272</v>
      </c>
      <c r="E238" s="30">
        <v>63.72</v>
      </c>
      <c r="F238" s="30" t="s">
        <v>3273</v>
      </c>
      <c r="G238" s="30">
        <v>59.62</v>
      </c>
      <c r="H238" s="30" t="s">
        <v>3274</v>
      </c>
      <c r="I238" s="30">
        <v>60.76</v>
      </c>
      <c r="J238" s="30" t="s">
        <v>3275</v>
      </c>
    </row>
    <row r="239" spans="1:10" x14ac:dyDescent="0.15">
      <c r="A239" s="28">
        <v>43210.900219907409</v>
      </c>
      <c r="B239" s="30">
        <v>1499</v>
      </c>
      <c r="C239" s="30">
        <v>51.48</v>
      </c>
      <c r="D239" s="30" t="s">
        <v>3276</v>
      </c>
      <c r="E239" s="30">
        <v>61.7</v>
      </c>
      <c r="F239" s="30" t="s">
        <v>3277</v>
      </c>
      <c r="G239" s="30">
        <v>60.12</v>
      </c>
      <c r="H239" s="30" t="s">
        <v>3278</v>
      </c>
      <c r="I239" s="30">
        <v>61.66</v>
      </c>
      <c r="J239" s="30" t="s">
        <v>3279</v>
      </c>
    </row>
    <row r="240" spans="1:10" x14ac:dyDescent="0.15">
      <c r="A240" s="28">
        <v>43210.900254629632</v>
      </c>
      <c r="B240" s="30">
        <v>1499</v>
      </c>
      <c r="C240" s="30">
        <v>52.86</v>
      </c>
      <c r="D240" s="30" t="s">
        <v>3280</v>
      </c>
      <c r="E240" s="30">
        <v>60.85</v>
      </c>
      <c r="F240" s="30" t="s">
        <v>3281</v>
      </c>
      <c r="G240" s="30">
        <v>61.74</v>
      </c>
      <c r="H240" s="30" t="s">
        <v>3282</v>
      </c>
      <c r="I240" s="30">
        <v>59.17</v>
      </c>
      <c r="J240" s="30" t="s">
        <v>3250</v>
      </c>
    </row>
    <row r="241" spans="1:10" x14ac:dyDescent="0.15">
      <c r="A241" s="28">
        <v>43210.900289351855</v>
      </c>
      <c r="B241" s="30">
        <v>1499</v>
      </c>
      <c r="C241" s="30">
        <v>51.28</v>
      </c>
      <c r="D241" s="30" t="s">
        <v>3123</v>
      </c>
      <c r="E241" s="30">
        <v>62.2</v>
      </c>
      <c r="F241" s="30" t="s">
        <v>3283</v>
      </c>
      <c r="G241" s="30">
        <v>61.28</v>
      </c>
      <c r="H241" s="30" t="s">
        <v>3284</v>
      </c>
      <c r="I241" s="30">
        <v>60.82</v>
      </c>
      <c r="J241" s="30" t="s">
        <v>3285</v>
      </c>
    </row>
    <row r="242" spans="1:10" x14ac:dyDescent="0.15">
      <c r="A242" s="28">
        <v>43210.900324074071</v>
      </c>
      <c r="B242" s="30">
        <v>1499</v>
      </c>
      <c r="C242" s="30">
        <v>51.88</v>
      </c>
      <c r="D242" s="30" t="s">
        <v>3286</v>
      </c>
      <c r="E242" s="30">
        <v>61.68</v>
      </c>
      <c r="F242" s="30" t="s">
        <v>3287</v>
      </c>
      <c r="G242" s="30">
        <v>59.31</v>
      </c>
      <c r="H242" s="30" t="s">
        <v>3288</v>
      </c>
      <c r="I242" s="30">
        <v>60.8</v>
      </c>
      <c r="J242" s="30" t="s">
        <v>3289</v>
      </c>
    </row>
    <row r="243" spans="1:10" x14ac:dyDescent="0.15">
      <c r="A243" s="28">
        <v>43210.900347222225</v>
      </c>
      <c r="B243" s="30">
        <v>1499</v>
      </c>
      <c r="C243" s="30">
        <v>51.99</v>
      </c>
      <c r="D243" s="30" t="s">
        <v>3095</v>
      </c>
      <c r="E243" s="30">
        <v>62.42</v>
      </c>
      <c r="F243" s="30" t="s">
        <v>3290</v>
      </c>
      <c r="G243" s="30">
        <v>58.43</v>
      </c>
      <c r="H243" s="30" t="s">
        <v>3291</v>
      </c>
      <c r="I243" s="30">
        <v>61.09</v>
      </c>
      <c r="J243" s="30" t="s">
        <v>3292</v>
      </c>
    </row>
    <row r="244" spans="1:10" x14ac:dyDescent="0.15">
      <c r="A244" s="28">
        <v>43210.900381944448</v>
      </c>
      <c r="B244" s="30">
        <v>1499</v>
      </c>
      <c r="C244" s="30">
        <v>52.15</v>
      </c>
      <c r="D244" s="30" t="s">
        <v>3293</v>
      </c>
      <c r="E244" s="30">
        <v>62.32</v>
      </c>
      <c r="F244" s="30" t="s">
        <v>3290</v>
      </c>
      <c r="G244" s="30">
        <v>58.74</v>
      </c>
      <c r="H244" s="30" t="s">
        <v>3294</v>
      </c>
      <c r="I244" s="30">
        <v>61.45</v>
      </c>
      <c r="J244" s="30" t="s">
        <v>3295</v>
      </c>
    </row>
    <row r="245" spans="1:10" x14ac:dyDescent="0.15">
      <c r="A245" s="28">
        <v>43210.900416666664</v>
      </c>
      <c r="B245" s="30">
        <v>1499</v>
      </c>
      <c r="C245" s="30">
        <v>51.67</v>
      </c>
      <c r="D245" s="30" t="s">
        <v>3296</v>
      </c>
      <c r="E245" s="30">
        <v>62.45</v>
      </c>
      <c r="F245" s="30" t="s">
        <v>3297</v>
      </c>
      <c r="G245" s="30">
        <v>58.82</v>
      </c>
      <c r="H245" s="30" t="s">
        <v>3298</v>
      </c>
      <c r="I245" s="30">
        <v>60.93</v>
      </c>
      <c r="J245" s="30" t="s">
        <v>3271</v>
      </c>
    </row>
    <row r="246" spans="1:10" x14ac:dyDescent="0.15">
      <c r="A246" s="28">
        <v>43210.900439814817</v>
      </c>
      <c r="B246" s="30">
        <v>1499</v>
      </c>
      <c r="C246" s="30">
        <v>52.34</v>
      </c>
      <c r="D246" s="30" t="s">
        <v>3142</v>
      </c>
      <c r="E246" s="30">
        <v>61.35</v>
      </c>
      <c r="F246" s="30" t="s">
        <v>3299</v>
      </c>
      <c r="G246" s="30">
        <v>58.97</v>
      </c>
      <c r="H246" s="30" t="s">
        <v>3300</v>
      </c>
      <c r="I246" s="30">
        <v>59.59</v>
      </c>
      <c r="J246" s="30" t="s">
        <v>3301</v>
      </c>
    </row>
    <row r="247" spans="1:10" x14ac:dyDescent="0.15">
      <c r="A247" s="28">
        <v>43210.90047453704</v>
      </c>
      <c r="B247" s="30">
        <v>1499</v>
      </c>
      <c r="C247" s="30">
        <v>53.12</v>
      </c>
      <c r="D247" s="30" t="s">
        <v>3302</v>
      </c>
      <c r="E247" s="30">
        <v>63</v>
      </c>
      <c r="F247" s="30" t="s">
        <v>3303</v>
      </c>
      <c r="G247" s="30">
        <v>59.84</v>
      </c>
      <c r="H247" s="30" t="s">
        <v>3304</v>
      </c>
      <c r="I247" s="30">
        <v>60.92</v>
      </c>
      <c r="J247" s="30" t="s">
        <v>3285</v>
      </c>
    </row>
    <row r="248" spans="1:10" x14ac:dyDescent="0.15">
      <c r="A248" s="28">
        <v>43210.900509259256</v>
      </c>
      <c r="B248" s="30">
        <v>1499</v>
      </c>
      <c r="C248" s="30">
        <v>52.33</v>
      </c>
      <c r="D248" s="30" t="s">
        <v>3142</v>
      </c>
      <c r="E248" s="30">
        <v>62.39</v>
      </c>
      <c r="F248" s="30" t="s">
        <v>3305</v>
      </c>
      <c r="G248" s="30">
        <v>58.57</v>
      </c>
      <c r="H248" s="30" t="s">
        <v>3306</v>
      </c>
      <c r="I248" s="30">
        <v>61.12</v>
      </c>
      <c r="J248" s="30" t="s">
        <v>3307</v>
      </c>
    </row>
    <row r="249" spans="1:10" x14ac:dyDescent="0.15">
      <c r="A249" s="28">
        <v>43210.90053240741</v>
      </c>
      <c r="B249" s="30">
        <v>1499</v>
      </c>
      <c r="C249" s="30">
        <v>50.85</v>
      </c>
      <c r="D249" s="30" t="s">
        <v>3308</v>
      </c>
      <c r="E249" s="30">
        <v>63.4</v>
      </c>
      <c r="F249" s="30" t="s">
        <v>3309</v>
      </c>
      <c r="G249" s="30">
        <v>59.51</v>
      </c>
      <c r="H249" s="30" t="s">
        <v>3310</v>
      </c>
      <c r="I249" s="30">
        <v>60.73</v>
      </c>
      <c r="J249" s="30" t="s">
        <v>3311</v>
      </c>
    </row>
    <row r="250" spans="1:10" x14ac:dyDescent="0.15">
      <c r="A250" s="28">
        <v>43210.900567129633</v>
      </c>
      <c r="B250" s="30">
        <v>1499</v>
      </c>
      <c r="C250" s="30">
        <v>50.15</v>
      </c>
      <c r="D250" s="30" t="s">
        <v>3312</v>
      </c>
      <c r="E250" s="30">
        <v>63.23</v>
      </c>
      <c r="F250" s="30" t="s">
        <v>3313</v>
      </c>
      <c r="G250" s="30">
        <v>59.76</v>
      </c>
      <c r="H250" s="30" t="s">
        <v>3314</v>
      </c>
      <c r="I250" s="30">
        <v>62.02</v>
      </c>
      <c r="J250" s="30" t="s">
        <v>3315</v>
      </c>
    </row>
    <row r="251" spans="1:10" x14ac:dyDescent="0.15">
      <c r="A251" s="28">
        <v>43210.900601851848</v>
      </c>
      <c r="B251" s="30">
        <v>1499</v>
      </c>
      <c r="C251" s="30">
        <v>53.15</v>
      </c>
      <c r="D251" s="30" t="s">
        <v>3085</v>
      </c>
      <c r="E251" s="30">
        <v>61.98</v>
      </c>
      <c r="F251" s="30" t="s">
        <v>3290</v>
      </c>
      <c r="G251" s="30">
        <v>59.32</v>
      </c>
      <c r="H251" s="30" t="s">
        <v>3291</v>
      </c>
      <c r="I251" s="30">
        <v>59.66</v>
      </c>
      <c r="J251" s="30" t="s">
        <v>3316</v>
      </c>
    </row>
    <row r="252" spans="1:10" x14ac:dyDescent="0.15">
      <c r="A252" s="28">
        <v>43210.900625000002</v>
      </c>
      <c r="B252" s="30">
        <v>1499</v>
      </c>
      <c r="C252" s="30">
        <v>52.84</v>
      </c>
      <c r="D252" s="30" t="s">
        <v>3317</v>
      </c>
      <c r="E252" s="30">
        <v>62.73</v>
      </c>
      <c r="F252" s="30" t="s">
        <v>3318</v>
      </c>
      <c r="G252" s="30">
        <v>58.75</v>
      </c>
      <c r="H252" s="30" t="s">
        <v>3319</v>
      </c>
      <c r="I252" s="30">
        <v>62.21</v>
      </c>
      <c r="J252" s="30" t="s">
        <v>3320</v>
      </c>
    </row>
    <row r="253" spans="1:10" x14ac:dyDescent="0.15">
      <c r="A253" s="28">
        <v>43210.900659722225</v>
      </c>
      <c r="B253" s="30">
        <v>1499</v>
      </c>
      <c r="C253" s="30">
        <v>51.73</v>
      </c>
      <c r="D253" s="30" t="s">
        <v>3321</v>
      </c>
      <c r="E253" s="30">
        <v>62.52</v>
      </c>
      <c r="F253" s="30" t="s">
        <v>3322</v>
      </c>
      <c r="G253" s="30">
        <v>58.57</v>
      </c>
      <c r="H253" s="30" t="s">
        <v>3323</v>
      </c>
      <c r="I253" s="30">
        <v>61.53</v>
      </c>
      <c r="J253" s="30" t="s">
        <v>3324</v>
      </c>
    </row>
    <row r="254" spans="1:10" x14ac:dyDescent="0.15">
      <c r="A254" s="28">
        <v>43210.900694444441</v>
      </c>
      <c r="B254" s="30">
        <v>1499</v>
      </c>
      <c r="C254" s="30">
        <v>52.23</v>
      </c>
      <c r="D254" s="30" t="s">
        <v>3325</v>
      </c>
      <c r="E254" s="30">
        <v>62.05</v>
      </c>
      <c r="F254" s="30" t="s">
        <v>3326</v>
      </c>
      <c r="G254" s="30">
        <v>58.33</v>
      </c>
      <c r="H254" s="30" t="s">
        <v>3314</v>
      </c>
      <c r="I254" s="30">
        <v>60.44</v>
      </c>
      <c r="J254" s="30" t="s">
        <v>3327</v>
      </c>
    </row>
    <row r="255" spans="1:10" x14ac:dyDescent="0.15">
      <c r="A255" s="28">
        <v>43210.900717592594</v>
      </c>
      <c r="B255" s="30">
        <v>1499</v>
      </c>
      <c r="C255" s="30">
        <v>51.35</v>
      </c>
      <c r="D255" s="30" t="s">
        <v>3220</v>
      </c>
      <c r="E255" s="30">
        <v>62.37</v>
      </c>
      <c r="F255" s="30" t="s">
        <v>3328</v>
      </c>
      <c r="G255" s="30">
        <v>59.1</v>
      </c>
      <c r="H255" s="30" t="s">
        <v>3329</v>
      </c>
      <c r="I255" s="30">
        <v>61.59</v>
      </c>
      <c r="J255" s="30" t="s">
        <v>3330</v>
      </c>
    </row>
    <row r="256" spans="1:10" x14ac:dyDescent="0.15">
      <c r="A256" s="28">
        <v>43210.900752314818</v>
      </c>
      <c r="B256" s="30">
        <v>1500</v>
      </c>
      <c r="C256" s="30">
        <v>50.87</v>
      </c>
      <c r="D256" s="30" t="s">
        <v>3331</v>
      </c>
      <c r="E256" s="30">
        <v>63.04</v>
      </c>
      <c r="F256" s="30" t="s">
        <v>3332</v>
      </c>
      <c r="G256" s="30">
        <v>61.17</v>
      </c>
      <c r="H256" s="30" t="s">
        <v>3333</v>
      </c>
      <c r="I256" s="30">
        <v>61.08</v>
      </c>
      <c r="J256" s="30" t="s">
        <v>3334</v>
      </c>
    </row>
    <row r="257" spans="1:10" x14ac:dyDescent="0.15">
      <c r="A257" s="28">
        <v>43210.900787037041</v>
      </c>
      <c r="B257" s="30">
        <v>1500</v>
      </c>
      <c r="C257" s="30">
        <v>51.78</v>
      </c>
      <c r="D257" s="30" t="s">
        <v>3335</v>
      </c>
      <c r="E257" s="30">
        <v>61.65</v>
      </c>
      <c r="F257" s="30" t="s">
        <v>3336</v>
      </c>
      <c r="G257" s="30">
        <v>58.12</v>
      </c>
      <c r="H257" s="30" t="s">
        <v>3337</v>
      </c>
      <c r="I257" s="30">
        <v>60.14</v>
      </c>
      <c r="J257" s="30" t="s">
        <v>3338</v>
      </c>
    </row>
    <row r="258" spans="1:10" x14ac:dyDescent="0.15">
      <c r="A258" s="28">
        <v>43210.900821759256</v>
      </c>
      <c r="B258" s="30">
        <v>1500</v>
      </c>
      <c r="C258" s="30">
        <v>52.58</v>
      </c>
      <c r="D258" s="30" t="s">
        <v>3339</v>
      </c>
      <c r="E258" s="30">
        <v>62.77</v>
      </c>
      <c r="F258" s="30" t="s">
        <v>3340</v>
      </c>
      <c r="G258" s="30">
        <v>61.38</v>
      </c>
      <c r="H258" s="30" t="s">
        <v>3341</v>
      </c>
      <c r="I258" s="30">
        <v>60.06</v>
      </c>
      <c r="J258" s="30" t="s">
        <v>3342</v>
      </c>
    </row>
    <row r="259" spans="1:10" x14ac:dyDescent="0.15">
      <c r="A259" s="28">
        <v>43210.90084490741</v>
      </c>
      <c r="B259" s="30">
        <v>1500</v>
      </c>
      <c r="C259" s="30">
        <v>51.15</v>
      </c>
      <c r="D259" s="30" t="s">
        <v>3254</v>
      </c>
      <c r="E259" s="30">
        <v>61.19</v>
      </c>
      <c r="F259" s="30" t="s">
        <v>3343</v>
      </c>
      <c r="G259" s="30">
        <v>60.53</v>
      </c>
      <c r="H259" s="30" t="s">
        <v>3344</v>
      </c>
      <c r="I259" s="30">
        <v>59.36</v>
      </c>
      <c r="J259" s="30" t="s">
        <v>3345</v>
      </c>
    </row>
    <row r="260" spans="1:10" x14ac:dyDescent="0.15">
      <c r="A260" s="28">
        <v>43210.900879629633</v>
      </c>
      <c r="B260" s="30">
        <v>1500</v>
      </c>
      <c r="C260" s="30">
        <v>51.23</v>
      </c>
      <c r="D260" s="30" t="s">
        <v>3212</v>
      </c>
      <c r="E260" s="30">
        <v>62.22</v>
      </c>
      <c r="F260" s="30" t="s">
        <v>3346</v>
      </c>
      <c r="G260" s="30">
        <v>59.81</v>
      </c>
      <c r="H260" s="30" t="s">
        <v>3329</v>
      </c>
      <c r="I260" s="30">
        <v>60.56</v>
      </c>
      <c r="J260" s="30" t="s">
        <v>3347</v>
      </c>
    </row>
    <row r="261" spans="1:10" x14ac:dyDescent="0.15">
      <c r="A261" s="28">
        <v>43210.900914351849</v>
      </c>
      <c r="B261" s="30">
        <v>1500</v>
      </c>
      <c r="C261" s="30">
        <v>50.14</v>
      </c>
      <c r="D261" s="30" t="s">
        <v>3348</v>
      </c>
      <c r="E261" s="30">
        <v>61.45</v>
      </c>
      <c r="F261" s="30" t="s">
        <v>3349</v>
      </c>
      <c r="G261" s="30">
        <v>59.85</v>
      </c>
      <c r="H261" s="30" t="s">
        <v>3350</v>
      </c>
      <c r="I261" s="30">
        <v>61.37</v>
      </c>
      <c r="J261" s="30" t="s">
        <v>3351</v>
      </c>
    </row>
    <row r="262" spans="1:10" x14ac:dyDescent="0.15">
      <c r="A262" s="28">
        <v>43210.900937500002</v>
      </c>
      <c r="B262" s="30">
        <v>1500</v>
      </c>
      <c r="C262" s="30">
        <v>51.89</v>
      </c>
      <c r="D262" s="30" t="s">
        <v>3352</v>
      </c>
      <c r="E262" s="30">
        <v>61.11</v>
      </c>
      <c r="F262" s="30" t="s">
        <v>3353</v>
      </c>
      <c r="G262" s="30">
        <v>61.17</v>
      </c>
      <c r="H262" s="30" t="s">
        <v>3354</v>
      </c>
      <c r="I262" s="30">
        <v>59.34</v>
      </c>
      <c r="J262" s="30" t="s">
        <v>3355</v>
      </c>
    </row>
    <row r="263" spans="1:10" x14ac:dyDescent="0.15">
      <c r="A263" s="28">
        <v>43210.900972222225</v>
      </c>
      <c r="B263" s="30">
        <v>1501</v>
      </c>
      <c r="C263" s="30">
        <v>51.96</v>
      </c>
      <c r="D263" s="30" t="s">
        <v>3356</v>
      </c>
      <c r="E263" s="30">
        <v>61.64</v>
      </c>
      <c r="F263" s="30" t="s">
        <v>3357</v>
      </c>
      <c r="G263" s="30">
        <v>59.72</v>
      </c>
      <c r="H263" s="30" t="s">
        <v>3358</v>
      </c>
      <c r="I263" s="30">
        <v>59.54</v>
      </c>
      <c r="J263" s="30" t="s">
        <v>3359</v>
      </c>
    </row>
    <row r="264" spans="1:10" x14ac:dyDescent="0.15">
      <c r="A264" s="28">
        <v>43210.901006944441</v>
      </c>
      <c r="B264" s="30">
        <v>1501</v>
      </c>
      <c r="C264" s="30">
        <v>50.34</v>
      </c>
      <c r="D264" s="30" t="s">
        <v>3360</v>
      </c>
      <c r="E264" s="30">
        <v>62.32</v>
      </c>
      <c r="F264" s="30" t="s">
        <v>3361</v>
      </c>
      <c r="G264" s="30">
        <v>59.16</v>
      </c>
      <c r="H264" s="30" t="s">
        <v>3362</v>
      </c>
      <c r="I264" s="30">
        <v>62.44</v>
      </c>
      <c r="J264" s="30" t="s">
        <v>3363</v>
      </c>
    </row>
    <row r="265" spans="1:10" x14ac:dyDescent="0.15">
      <c r="A265" s="28">
        <v>43210.901030092595</v>
      </c>
      <c r="B265" s="30">
        <v>1501</v>
      </c>
      <c r="C265" s="30">
        <v>53.07</v>
      </c>
      <c r="D265" s="30" t="s">
        <v>3364</v>
      </c>
      <c r="E265" s="30">
        <v>63.42</v>
      </c>
      <c r="F265" s="30" t="s">
        <v>3365</v>
      </c>
      <c r="G265" s="30">
        <v>59.22</v>
      </c>
      <c r="H265" s="30" t="s">
        <v>3366</v>
      </c>
      <c r="I265" s="30">
        <v>61.95</v>
      </c>
      <c r="J265" s="30" t="s">
        <v>3338</v>
      </c>
    </row>
    <row r="266" spans="1:10" x14ac:dyDescent="0.15">
      <c r="A266" s="28">
        <v>43210.901064814818</v>
      </c>
      <c r="B266" s="30">
        <v>1501</v>
      </c>
      <c r="C266" s="30">
        <v>52.09</v>
      </c>
      <c r="D266" s="30" t="s">
        <v>3367</v>
      </c>
      <c r="E266" s="30">
        <v>62.78</v>
      </c>
      <c r="F266" s="30" t="s">
        <v>3368</v>
      </c>
      <c r="G266" s="30">
        <v>60.93</v>
      </c>
      <c r="H266" s="30" t="s">
        <v>3369</v>
      </c>
      <c r="I266" s="30">
        <v>62.25</v>
      </c>
      <c r="J266" s="30" t="s">
        <v>3370</v>
      </c>
    </row>
    <row r="267" spans="1:10" x14ac:dyDescent="0.15">
      <c r="A267" s="28">
        <v>43210.901099537034</v>
      </c>
      <c r="B267" s="30">
        <v>1500</v>
      </c>
      <c r="C267" s="30">
        <v>51.4</v>
      </c>
      <c r="D267" s="30" t="s">
        <v>3371</v>
      </c>
      <c r="E267" s="30">
        <v>62.02</v>
      </c>
      <c r="F267" s="30" t="s">
        <v>3372</v>
      </c>
      <c r="G267" s="30">
        <v>59.63</v>
      </c>
      <c r="H267" s="30" t="s">
        <v>3256</v>
      </c>
      <c r="I267" s="30">
        <v>62.14</v>
      </c>
      <c r="J267" s="30" t="s">
        <v>3316</v>
      </c>
    </row>
    <row r="268" spans="1:10" x14ac:dyDescent="0.15">
      <c r="A268" s="28">
        <v>43210.901122685187</v>
      </c>
      <c r="B268" s="30">
        <v>1501</v>
      </c>
      <c r="C268" s="30">
        <v>53.22</v>
      </c>
      <c r="D268" s="30" t="s">
        <v>3296</v>
      </c>
      <c r="E268" s="30">
        <v>63.25</v>
      </c>
      <c r="F268" s="30" t="s">
        <v>3373</v>
      </c>
      <c r="G268" s="30">
        <v>59.18</v>
      </c>
      <c r="H268" s="30" t="s">
        <v>3374</v>
      </c>
      <c r="I268" s="30">
        <v>61.61</v>
      </c>
      <c r="J268" s="30" t="s">
        <v>3375</v>
      </c>
    </row>
    <row r="269" spans="1:10" x14ac:dyDescent="0.15">
      <c r="A269" s="28">
        <v>43210.90115740741</v>
      </c>
      <c r="B269" s="30">
        <v>1500</v>
      </c>
      <c r="C269" s="30">
        <v>53.06</v>
      </c>
      <c r="D269" s="30" t="s">
        <v>3268</v>
      </c>
      <c r="E269" s="30">
        <v>61.77</v>
      </c>
      <c r="F269" s="30" t="s">
        <v>3376</v>
      </c>
      <c r="G269" s="30">
        <v>59.74</v>
      </c>
      <c r="H269" s="30" t="s">
        <v>3377</v>
      </c>
      <c r="I269" s="30">
        <v>61.16</v>
      </c>
      <c r="J269" s="30" t="s">
        <v>3378</v>
      </c>
    </row>
    <row r="270" spans="1:10" x14ac:dyDescent="0.15">
      <c r="A270" s="28">
        <v>43210.901192129626</v>
      </c>
      <c r="B270" s="30">
        <v>1501</v>
      </c>
      <c r="C270" s="30">
        <v>52.93</v>
      </c>
      <c r="D270" s="30" t="s">
        <v>3379</v>
      </c>
      <c r="E270" s="30">
        <v>62.48</v>
      </c>
      <c r="F270" s="30" t="s">
        <v>3281</v>
      </c>
      <c r="G270" s="30">
        <v>59.79</v>
      </c>
      <c r="H270" s="30" t="s">
        <v>3380</v>
      </c>
      <c r="I270" s="30">
        <v>61.1</v>
      </c>
      <c r="J270" s="30" t="s">
        <v>3381</v>
      </c>
    </row>
    <row r="271" spans="1:10" x14ac:dyDescent="0.15">
      <c r="A271" s="28">
        <v>43210.90121527778</v>
      </c>
      <c r="B271" s="30">
        <v>1501</v>
      </c>
      <c r="C271" s="30">
        <v>53.55</v>
      </c>
      <c r="D271" s="30" t="s">
        <v>3382</v>
      </c>
      <c r="E271" s="30">
        <v>60.89</v>
      </c>
      <c r="F271" s="30" t="s">
        <v>3383</v>
      </c>
      <c r="G271" s="30">
        <v>59.54</v>
      </c>
      <c r="H271" s="30" t="s">
        <v>3384</v>
      </c>
      <c r="I271" s="30">
        <v>59.89</v>
      </c>
      <c r="J271" s="30" t="s">
        <v>3385</v>
      </c>
    </row>
    <row r="272" spans="1:10" x14ac:dyDescent="0.15">
      <c r="A272" s="28">
        <v>43210.901250000003</v>
      </c>
      <c r="B272" s="30">
        <v>1500</v>
      </c>
      <c r="C272" s="30">
        <v>51.58</v>
      </c>
      <c r="D272" s="30" t="s">
        <v>3386</v>
      </c>
      <c r="E272" s="30">
        <v>63.21</v>
      </c>
      <c r="F272" s="30" t="s">
        <v>3387</v>
      </c>
      <c r="G272" s="30">
        <v>59.44</v>
      </c>
      <c r="H272" s="30" t="s">
        <v>3388</v>
      </c>
      <c r="I272" s="30">
        <v>61.85</v>
      </c>
      <c r="J272" s="30" t="s">
        <v>3389</v>
      </c>
    </row>
    <row r="273" spans="1:10" x14ac:dyDescent="0.15">
      <c r="A273" s="28">
        <v>43210.901284722226</v>
      </c>
      <c r="B273" s="30">
        <v>1500</v>
      </c>
      <c r="C273" s="30">
        <v>51.4</v>
      </c>
      <c r="D273" s="30" t="s">
        <v>3302</v>
      </c>
      <c r="E273" s="30">
        <v>61.62</v>
      </c>
      <c r="F273" s="30" t="s">
        <v>3336</v>
      </c>
      <c r="G273" s="30">
        <v>59.37</v>
      </c>
      <c r="H273" s="30" t="s">
        <v>3390</v>
      </c>
      <c r="I273" s="30">
        <v>60.75</v>
      </c>
      <c r="J273" s="30" t="s">
        <v>3391</v>
      </c>
    </row>
    <row r="274" spans="1:10" x14ac:dyDescent="0.15">
      <c r="A274" s="28">
        <v>43210.901319444441</v>
      </c>
      <c r="B274" s="30">
        <v>1500</v>
      </c>
      <c r="C274" s="30">
        <v>51.85</v>
      </c>
      <c r="D274" s="30" t="s">
        <v>3392</v>
      </c>
      <c r="E274" s="30">
        <v>62.34</v>
      </c>
      <c r="F274" s="30" t="s">
        <v>3393</v>
      </c>
      <c r="G274" s="30">
        <v>60.04</v>
      </c>
      <c r="H274" s="30" t="s">
        <v>3394</v>
      </c>
      <c r="I274" s="30">
        <v>60.71</v>
      </c>
      <c r="J274" s="30" t="s">
        <v>3395</v>
      </c>
    </row>
    <row r="275" spans="1:10" x14ac:dyDescent="0.15">
      <c r="A275" s="28">
        <v>43210.901342592595</v>
      </c>
      <c r="B275" s="30">
        <v>1500</v>
      </c>
      <c r="C275" s="30">
        <v>52.66</v>
      </c>
      <c r="D275" s="30" t="s">
        <v>3396</v>
      </c>
      <c r="E275" s="30">
        <v>61.24</v>
      </c>
      <c r="F275" s="30" t="s">
        <v>3397</v>
      </c>
      <c r="G275" s="30">
        <v>58.34</v>
      </c>
      <c r="H275" s="30" t="s">
        <v>3398</v>
      </c>
      <c r="I275" s="30">
        <v>59.03</v>
      </c>
      <c r="J275" s="30" t="s">
        <v>3399</v>
      </c>
    </row>
    <row r="276" spans="1:10" x14ac:dyDescent="0.15">
      <c r="A276" s="28">
        <v>43210.901377314818</v>
      </c>
      <c r="B276" s="30">
        <v>1500</v>
      </c>
      <c r="C276" s="30">
        <v>52.32</v>
      </c>
      <c r="D276" s="30" t="s">
        <v>3400</v>
      </c>
      <c r="E276" s="30">
        <v>63.1</v>
      </c>
      <c r="F276" s="30" t="s">
        <v>3401</v>
      </c>
      <c r="G276" s="30">
        <v>58.84</v>
      </c>
      <c r="H276" s="30" t="s">
        <v>3402</v>
      </c>
      <c r="I276" s="30">
        <v>61.09</v>
      </c>
      <c r="J276" s="30" t="s">
        <v>3403</v>
      </c>
    </row>
    <row r="277" spans="1:10" x14ac:dyDescent="0.15">
      <c r="A277" s="28">
        <v>43210.901412037034</v>
      </c>
      <c r="B277" s="30">
        <v>1500</v>
      </c>
      <c r="C277" s="30">
        <v>51.17</v>
      </c>
      <c r="D277" s="30" t="s">
        <v>3404</v>
      </c>
      <c r="E277" s="30">
        <v>62.16</v>
      </c>
      <c r="F277" s="30" t="s">
        <v>3405</v>
      </c>
      <c r="G277" s="30">
        <v>61.23</v>
      </c>
      <c r="H277" s="30" t="s">
        <v>3406</v>
      </c>
      <c r="I277" s="30">
        <v>61.09</v>
      </c>
      <c r="J277" s="30" t="s">
        <v>3403</v>
      </c>
    </row>
    <row r="278" spans="1:10" x14ac:dyDescent="0.15">
      <c r="A278" s="28">
        <v>43210.901423611111</v>
      </c>
      <c r="B278" s="30">
        <v>1500</v>
      </c>
      <c r="C278" s="30">
        <v>51.17</v>
      </c>
      <c r="D278" s="30" t="s">
        <v>3404</v>
      </c>
      <c r="E278" s="30">
        <v>62.16</v>
      </c>
      <c r="F278" s="30" t="s">
        <v>3405</v>
      </c>
      <c r="G278" s="30">
        <v>61.23</v>
      </c>
      <c r="H278" s="30" t="s">
        <v>3406</v>
      </c>
      <c r="I278" s="30">
        <v>60.32</v>
      </c>
      <c r="J278" s="30" t="s">
        <v>3407</v>
      </c>
    </row>
    <row r="279" spans="1:10" x14ac:dyDescent="0.15">
      <c r="A279" s="28">
        <v>43210.901435185187</v>
      </c>
      <c r="B279" s="30">
        <v>1500</v>
      </c>
      <c r="C279" s="30">
        <v>51.17</v>
      </c>
      <c r="D279" s="30" t="s">
        <v>3404</v>
      </c>
      <c r="E279" s="30">
        <v>61.35</v>
      </c>
      <c r="F279" s="30" t="s">
        <v>3397</v>
      </c>
      <c r="G279" s="30">
        <v>60.44</v>
      </c>
      <c r="H279" s="30" t="s">
        <v>3408</v>
      </c>
      <c r="I279" s="30">
        <v>60.32</v>
      </c>
      <c r="J279" s="30" t="s">
        <v>3407</v>
      </c>
    </row>
    <row r="280" spans="1:10" x14ac:dyDescent="0.15">
      <c r="A280" s="28">
        <v>43210.901446759257</v>
      </c>
      <c r="B280" s="30">
        <v>1500</v>
      </c>
      <c r="C280" s="30">
        <v>51.76</v>
      </c>
      <c r="D280" s="30" t="s">
        <v>3409</v>
      </c>
      <c r="E280" s="30">
        <v>61.35</v>
      </c>
      <c r="F280" s="30" t="s">
        <v>3397</v>
      </c>
      <c r="G280" s="30">
        <v>60.44</v>
      </c>
      <c r="H280" s="30" t="s">
        <v>3408</v>
      </c>
      <c r="I280" s="30">
        <v>60.32</v>
      </c>
      <c r="J280" s="30" t="s">
        <v>3407</v>
      </c>
    </row>
    <row r="281" spans="1:10" x14ac:dyDescent="0.15">
      <c r="A281" s="28">
        <v>43210.901458333334</v>
      </c>
      <c r="B281" s="30">
        <v>1500</v>
      </c>
      <c r="C281" s="30">
        <v>51.76</v>
      </c>
      <c r="D281" s="30" t="s">
        <v>3409</v>
      </c>
      <c r="E281" s="30">
        <v>61.35</v>
      </c>
      <c r="F281" s="30" t="s">
        <v>3397</v>
      </c>
      <c r="G281" s="30">
        <v>60.44</v>
      </c>
      <c r="H281" s="30" t="s">
        <v>3408</v>
      </c>
      <c r="I281" s="30">
        <v>59.78</v>
      </c>
      <c r="J281" s="30" t="s">
        <v>3370</v>
      </c>
    </row>
    <row r="282" spans="1:10" x14ac:dyDescent="0.15">
      <c r="A282" s="28">
        <v>43210.901469907411</v>
      </c>
      <c r="B282" s="30">
        <v>1500</v>
      </c>
      <c r="C282" s="30">
        <v>52.09</v>
      </c>
      <c r="D282" s="30" t="s">
        <v>3410</v>
      </c>
      <c r="E282" s="30">
        <v>61.67</v>
      </c>
      <c r="F282" s="30" t="s">
        <v>3411</v>
      </c>
      <c r="G282" s="30">
        <v>59.98</v>
      </c>
      <c r="H282" s="30" t="s">
        <v>3412</v>
      </c>
      <c r="I282" s="30">
        <v>59.78</v>
      </c>
      <c r="J282" s="30" t="s">
        <v>3370</v>
      </c>
    </row>
    <row r="283" spans="1:10" x14ac:dyDescent="0.15">
      <c r="A283" s="28">
        <v>43210.901493055557</v>
      </c>
      <c r="B283" s="30">
        <v>1500</v>
      </c>
      <c r="C283" s="30">
        <v>52.09</v>
      </c>
      <c r="D283" s="30" t="s">
        <v>3410</v>
      </c>
      <c r="E283" s="30">
        <v>61.67</v>
      </c>
      <c r="F283" s="30" t="s">
        <v>3411</v>
      </c>
      <c r="G283" s="30">
        <v>59.98</v>
      </c>
      <c r="H283" s="30" t="s">
        <v>3412</v>
      </c>
      <c r="I283" s="30">
        <v>60.7</v>
      </c>
      <c r="J283" s="30" t="s">
        <v>3413</v>
      </c>
    </row>
    <row r="284" spans="1:10" x14ac:dyDescent="0.15">
      <c r="A284" s="28">
        <v>43210.901504629626</v>
      </c>
      <c r="B284" s="30">
        <v>1500</v>
      </c>
      <c r="C284" s="30">
        <v>50.66</v>
      </c>
      <c r="D284" s="30" t="s">
        <v>3414</v>
      </c>
      <c r="E284" s="30">
        <v>62.66</v>
      </c>
      <c r="F284" s="30" t="s">
        <v>3415</v>
      </c>
      <c r="G284" s="30">
        <v>59.27</v>
      </c>
      <c r="H284" s="30" t="s">
        <v>3416</v>
      </c>
      <c r="I284" s="30">
        <v>60.7</v>
      </c>
      <c r="J284" s="30" t="s">
        <v>3413</v>
      </c>
    </row>
    <row r="285" spans="1:10" x14ac:dyDescent="0.15">
      <c r="A285" s="28">
        <v>43210.90152777778</v>
      </c>
      <c r="B285" s="30">
        <v>1500</v>
      </c>
      <c r="C285" s="30">
        <v>51.97</v>
      </c>
      <c r="D285" s="30" t="s">
        <v>3417</v>
      </c>
      <c r="E285" s="30">
        <v>61.79</v>
      </c>
      <c r="F285" s="30" t="s">
        <v>3418</v>
      </c>
      <c r="G285" s="30">
        <v>59.84</v>
      </c>
      <c r="H285" s="30" t="s">
        <v>3419</v>
      </c>
      <c r="I285" s="30">
        <v>59.67</v>
      </c>
      <c r="J285" s="30" t="s">
        <v>3420</v>
      </c>
    </row>
    <row r="286" spans="1:10" x14ac:dyDescent="0.15">
      <c r="A286" s="28">
        <v>43210.901562500003</v>
      </c>
      <c r="B286" s="30">
        <v>1500</v>
      </c>
      <c r="C286" s="30">
        <v>52.68</v>
      </c>
      <c r="D286" s="30" t="s">
        <v>3414</v>
      </c>
      <c r="E286" s="30">
        <v>61.59</v>
      </c>
      <c r="F286" s="30" t="s">
        <v>3421</v>
      </c>
      <c r="G286" s="30">
        <v>58.38</v>
      </c>
      <c r="H286" s="30" t="s">
        <v>3422</v>
      </c>
      <c r="I286" s="30">
        <v>60.68</v>
      </c>
      <c r="J286" s="30" t="s">
        <v>3345</v>
      </c>
    </row>
    <row r="287" spans="1:10" x14ac:dyDescent="0.15">
      <c r="A287" s="28">
        <v>43210.901597222219</v>
      </c>
      <c r="B287" s="30">
        <v>1500</v>
      </c>
      <c r="C287" s="30">
        <v>51.48</v>
      </c>
      <c r="D287" s="30" t="s">
        <v>3423</v>
      </c>
      <c r="E287" s="30">
        <v>61.89</v>
      </c>
      <c r="F287" s="30" t="s">
        <v>3202</v>
      </c>
      <c r="G287" s="30">
        <v>58.98</v>
      </c>
      <c r="H287" s="30" t="s">
        <v>3424</v>
      </c>
      <c r="I287" s="30">
        <v>60.26</v>
      </c>
      <c r="J287" s="30" t="s">
        <v>3425</v>
      </c>
    </row>
    <row r="288" spans="1:10" x14ac:dyDescent="0.15">
      <c r="A288" s="28">
        <v>43210.901620370372</v>
      </c>
      <c r="B288" s="30">
        <v>1500</v>
      </c>
      <c r="C288" s="30">
        <v>53.03</v>
      </c>
      <c r="D288" s="30" t="s">
        <v>3426</v>
      </c>
      <c r="E288" s="30">
        <v>62.57</v>
      </c>
      <c r="F288" s="30" t="s">
        <v>3427</v>
      </c>
      <c r="G288" s="30">
        <v>59.21</v>
      </c>
      <c r="H288" s="30" t="s">
        <v>3428</v>
      </c>
      <c r="I288" s="30">
        <v>60.92</v>
      </c>
      <c r="J288" s="30" t="s">
        <v>3334</v>
      </c>
    </row>
    <row r="289" spans="1:10" x14ac:dyDescent="0.15">
      <c r="A289" s="28">
        <v>43210.901655092595</v>
      </c>
      <c r="B289" s="30">
        <v>1500</v>
      </c>
      <c r="C289" s="30">
        <v>52.51</v>
      </c>
      <c r="D289" s="30" t="s">
        <v>3429</v>
      </c>
      <c r="E289" s="30">
        <v>61.62</v>
      </c>
      <c r="F289" s="30" t="s">
        <v>3430</v>
      </c>
      <c r="G289" s="30">
        <v>60.4</v>
      </c>
      <c r="H289" s="30" t="s">
        <v>3431</v>
      </c>
      <c r="I289" s="30">
        <v>59.43</v>
      </c>
      <c r="J289" s="30" t="s">
        <v>3432</v>
      </c>
    </row>
    <row r="290" spans="1:10" x14ac:dyDescent="0.15">
      <c r="A290" s="28">
        <v>43210.901689814818</v>
      </c>
      <c r="B290" s="30">
        <v>1500</v>
      </c>
      <c r="C290" s="30">
        <v>52.24</v>
      </c>
      <c r="D290" s="30" t="s">
        <v>3404</v>
      </c>
      <c r="E290" s="30">
        <v>62.8</v>
      </c>
      <c r="F290" s="30" t="s">
        <v>3346</v>
      </c>
      <c r="G290" s="30">
        <v>59.07</v>
      </c>
      <c r="H290" s="30" t="s">
        <v>3433</v>
      </c>
      <c r="I290" s="30">
        <v>60.05</v>
      </c>
      <c r="J290" s="30" t="s">
        <v>3434</v>
      </c>
    </row>
    <row r="291" spans="1:10" x14ac:dyDescent="0.15">
      <c r="A291" s="28">
        <v>43210.901724537034</v>
      </c>
      <c r="B291" s="30">
        <v>1500</v>
      </c>
      <c r="C291" s="30">
        <v>51.79</v>
      </c>
      <c r="D291" s="30" t="s">
        <v>3248</v>
      </c>
      <c r="E291" s="30">
        <v>62.06</v>
      </c>
      <c r="F291" s="30" t="s">
        <v>3435</v>
      </c>
      <c r="G291" s="30">
        <v>58.74</v>
      </c>
      <c r="H291" s="30" t="s">
        <v>3436</v>
      </c>
      <c r="I291" s="30">
        <v>60.54</v>
      </c>
      <c r="J291" s="30" t="s">
        <v>3437</v>
      </c>
    </row>
    <row r="292" spans="1:10" x14ac:dyDescent="0.15">
      <c r="A292" s="28">
        <v>43210.901747685188</v>
      </c>
      <c r="B292" s="30">
        <v>1500</v>
      </c>
      <c r="C292" s="30">
        <v>50.03</v>
      </c>
      <c r="D292" s="30" t="s">
        <v>3438</v>
      </c>
      <c r="E292" s="30">
        <v>62.26</v>
      </c>
      <c r="F292" s="30" t="s">
        <v>3439</v>
      </c>
      <c r="G292" s="30">
        <v>59.71</v>
      </c>
      <c r="H292" s="30" t="s">
        <v>3440</v>
      </c>
      <c r="I292" s="30">
        <v>62.28</v>
      </c>
      <c r="J292" s="30" t="s">
        <v>3441</v>
      </c>
    </row>
    <row r="293" spans="1:10" x14ac:dyDescent="0.15">
      <c r="A293" s="28">
        <v>43210.901782407411</v>
      </c>
      <c r="B293" s="30">
        <v>1500</v>
      </c>
      <c r="C293" s="30">
        <v>51.77</v>
      </c>
      <c r="D293" s="30" t="s">
        <v>3145</v>
      </c>
      <c r="E293" s="30">
        <v>61.81</v>
      </c>
      <c r="F293" s="30" t="s">
        <v>148</v>
      </c>
      <c r="G293" s="30">
        <v>59.15</v>
      </c>
      <c r="H293" s="30" t="s">
        <v>3442</v>
      </c>
      <c r="I293" s="30">
        <v>59.81</v>
      </c>
      <c r="J293" s="30" t="s">
        <v>3443</v>
      </c>
    </row>
    <row r="294" spans="1:10" x14ac:dyDescent="0.15">
      <c r="A294" s="28">
        <v>43210.901817129627</v>
      </c>
      <c r="B294" s="30">
        <v>1500</v>
      </c>
      <c r="C294" s="30">
        <v>53.7</v>
      </c>
      <c r="D294" s="30" t="s">
        <v>3444</v>
      </c>
      <c r="E294" s="30">
        <v>61.14</v>
      </c>
      <c r="F294" s="30" t="s">
        <v>3427</v>
      </c>
      <c r="G294" s="30">
        <v>59.15</v>
      </c>
      <c r="H294" s="30" t="s">
        <v>3442</v>
      </c>
      <c r="I294" s="30">
        <v>59.81</v>
      </c>
      <c r="J294" s="30" t="s">
        <v>3443</v>
      </c>
    </row>
    <row r="295" spans="1:10" x14ac:dyDescent="0.15">
      <c r="A295" s="28">
        <v>43210.901828703703</v>
      </c>
      <c r="B295" s="30">
        <v>1500</v>
      </c>
      <c r="C295" s="30">
        <v>53.7</v>
      </c>
      <c r="D295" s="30" t="s">
        <v>3444</v>
      </c>
      <c r="E295" s="30">
        <v>61.14</v>
      </c>
      <c r="F295" s="30" t="s">
        <v>3427</v>
      </c>
      <c r="G295" s="30">
        <v>59.81</v>
      </c>
      <c r="H295" s="30" t="s">
        <v>3445</v>
      </c>
      <c r="I295" s="30">
        <v>58.99</v>
      </c>
      <c r="J295" s="30" t="s">
        <v>3446</v>
      </c>
    </row>
    <row r="296" spans="1:10" x14ac:dyDescent="0.15">
      <c r="A296" s="28">
        <v>43210.90184027778</v>
      </c>
      <c r="B296" s="30">
        <v>1500</v>
      </c>
      <c r="C296" s="30">
        <v>50.61</v>
      </c>
      <c r="D296" s="30" t="s">
        <v>3447</v>
      </c>
      <c r="E296" s="30">
        <v>62.43</v>
      </c>
      <c r="F296" s="30" t="s">
        <v>3448</v>
      </c>
      <c r="G296" s="30">
        <v>59.81</v>
      </c>
      <c r="H296" s="30" t="s">
        <v>3445</v>
      </c>
      <c r="I296" s="30">
        <v>58.99</v>
      </c>
      <c r="J296" s="30" t="s">
        <v>3446</v>
      </c>
    </row>
    <row r="297" spans="1:10" x14ac:dyDescent="0.15">
      <c r="A297" s="28">
        <v>43210.901863425926</v>
      </c>
      <c r="B297" s="30">
        <v>1500</v>
      </c>
      <c r="C297" s="30">
        <v>50.61</v>
      </c>
      <c r="D297" s="30" t="s">
        <v>3447</v>
      </c>
      <c r="E297" s="30">
        <v>62.43</v>
      </c>
      <c r="F297" s="30" t="s">
        <v>3448</v>
      </c>
      <c r="G297" s="30">
        <v>59.98</v>
      </c>
      <c r="H297" s="30" t="s">
        <v>3300</v>
      </c>
      <c r="I297" s="30">
        <v>60.36</v>
      </c>
      <c r="J297" s="30" t="s">
        <v>3425</v>
      </c>
    </row>
    <row r="298" spans="1:10" x14ac:dyDescent="0.15">
      <c r="A298" s="28">
        <v>43210.901875000003</v>
      </c>
      <c r="B298" s="30">
        <v>1500</v>
      </c>
      <c r="C298" s="30">
        <v>53.12</v>
      </c>
      <c r="D298" s="30" t="s">
        <v>3160</v>
      </c>
      <c r="E298" s="30">
        <v>62.17</v>
      </c>
      <c r="F298" s="30" t="s">
        <v>3449</v>
      </c>
      <c r="G298" s="30">
        <v>59.98</v>
      </c>
      <c r="H298" s="30" t="s">
        <v>3300</v>
      </c>
      <c r="I298" s="30">
        <v>60.36</v>
      </c>
      <c r="J298" s="30" t="s">
        <v>3425</v>
      </c>
    </row>
    <row r="299" spans="1:10" x14ac:dyDescent="0.15">
      <c r="A299" s="28">
        <v>43210.901898148149</v>
      </c>
      <c r="B299" s="30">
        <v>1500</v>
      </c>
      <c r="C299" s="30">
        <v>53.12</v>
      </c>
      <c r="D299" s="30" t="s">
        <v>3160</v>
      </c>
      <c r="E299" s="30">
        <v>62.17</v>
      </c>
      <c r="F299" s="30" t="s">
        <v>3449</v>
      </c>
      <c r="G299" s="30">
        <v>58.79</v>
      </c>
      <c r="H299" s="30" t="s">
        <v>3450</v>
      </c>
      <c r="I299" s="30">
        <v>61.48</v>
      </c>
      <c r="J299" s="30" t="s">
        <v>3451</v>
      </c>
    </row>
    <row r="300" spans="1:10" x14ac:dyDescent="0.15">
      <c r="A300" s="28">
        <v>43210.901909722219</v>
      </c>
      <c r="B300" s="30">
        <v>1500</v>
      </c>
      <c r="C300" s="30">
        <v>51.91</v>
      </c>
      <c r="D300" s="30" t="s">
        <v>3452</v>
      </c>
      <c r="E300" s="30">
        <v>63.46</v>
      </c>
      <c r="F300" s="30" t="s">
        <v>3453</v>
      </c>
      <c r="G300" s="30">
        <v>58.79</v>
      </c>
      <c r="H300" s="30" t="s">
        <v>3450</v>
      </c>
      <c r="I300" s="30">
        <v>61.48</v>
      </c>
      <c r="J300" s="30" t="s">
        <v>3451</v>
      </c>
    </row>
    <row r="301" spans="1:10" x14ac:dyDescent="0.15">
      <c r="A301" s="28">
        <v>43210.901932870373</v>
      </c>
      <c r="B301" s="30">
        <v>1500</v>
      </c>
      <c r="C301" s="30">
        <v>52.83</v>
      </c>
      <c r="D301" s="30" t="s">
        <v>3286</v>
      </c>
      <c r="E301" s="30">
        <v>61.78</v>
      </c>
      <c r="F301" s="30" t="s">
        <v>3454</v>
      </c>
      <c r="G301" s="30">
        <v>58.25</v>
      </c>
      <c r="H301" s="30" t="s">
        <v>3455</v>
      </c>
      <c r="I301" s="30">
        <v>59.04</v>
      </c>
      <c r="J301" s="30" t="s">
        <v>3456</v>
      </c>
    </row>
    <row r="302" spans="1:10" x14ac:dyDescent="0.15">
      <c r="A302" s="28">
        <v>43210.901967592596</v>
      </c>
      <c r="B302" s="30">
        <v>1500</v>
      </c>
      <c r="C302" s="30">
        <v>51.8</v>
      </c>
      <c r="D302" s="30" t="s">
        <v>3457</v>
      </c>
      <c r="E302" s="30">
        <v>62.98</v>
      </c>
      <c r="F302" s="30" t="s">
        <v>176</v>
      </c>
      <c r="G302" s="30">
        <v>58.53</v>
      </c>
      <c r="H302" s="30" t="s">
        <v>3306</v>
      </c>
      <c r="I302" s="30">
        <v>62.86</v>
      </c>
      <c r="J302" s="30" t="s">
        <v>3458</v>
      </c>
    </row>
    <row r="303" spans="1:10" x14ac:dyDescent="0.15">
      <c r="A303" s="28">
        <v>43210.902002314811</v>
      </c>
      <c r="B303" s="30">
        <v>1500</v>
      </c>
      <c r="C303" s="30">
        <v>51.18</v>
      </c>
      <c r="D303" s="30" t="s">
        <v>3459</v>
      </c>
      <c r="E303" s="30">
        <v>60.65</v>
      </c>
      <c r="F303" s="30" t="s">
        <v>3460</v>
      </c>
      <c r="G303" s="30">
        <v>59.95</v>
      </c>
      <c r="H303" s="30" t="s">
        <v>3461</v>
      </c>
      <c r="I303" s="30">
        <v>60.16</v>
      </c>
      <c r="J303" s="30" t="s">
        <v>3462</v>
      </c>
    </row>
    <row r="304" spans="1:10" x14ac:dyDescent="0.15">
      <c r="A304" s="28">
        <v>43210.902025462965</v>
      </c>
      <c r="B304" s="30">
        <v>1501</v>
      </c>
      <c r="C304" s="30">
        <v>51.47</v>
      </c>
      <c r="D304" s="30" t="s">
        <v>3463</v>
      </c>
      <c r="E304" s="30">
        <v>61.64</v>
      </c>
      <c r="F304" s="30" t="s">
        <v>3261</v>
      </c>
      <c r="G304" s="30">
        <v>59.57</v>
      </c>
      <c r="H304" s="30" t="s">
        <v>3464</v>
      </c>
      <c r="I304" s="30">
        <v>59.67</v>
      </c>
      <c r="J304" s="30" t="s">
        <v>3465</v>
      </c>
    </row>
    <row r="305" spans="1:10" x14ac:dyDescent="0.15">
      <c r="A305" s="28">
        <v>43210.902060185188</v>
      </c>
      <c r="B305" s="30">
        <v>1500</v>
      </c>
      <c r="C305" s="30">
        <v>52.43</v>
      </c>
      <c r="D305" s="30" t="s">
        <v>3466</v>
      </c>
      <c r="E305" s="30">
        <v>62.03</v>
      </c>
      <c r="F305" s="30" t="s">
        <v>3467</v>
      </c>
      <c r="G305" s="30">
        <v>59.03</v>
      </c>
      <c r="H305" s="30" t="s">
        <v>3468</v>
      </c>
      <c r="I305" s="30">
        <v>59.68</v>
      </c>
      <c r="J305" s="30" t="s">
        <v>3425</v>
      </c>
    </row>
    <row r="306" spans="1:10" x14ac:dyDescent="0.15">
      <c r="A306" s="28">
        <v>43210.902094907404</v>
      </c>
      <c r="B306" s="30">
        <v>1500</v>
      </c>
      <c r="C306" s="30">
        <v>52.23</v>
      </c>
      <c r="D306" s="30" t="s">
        <v>3469</v>
      </c>
      <c r="E306" s="30">
        <v>62.48</v>
      </c>
      <c r="F306" s="30" t="s">
        <v>3470</v>
      </c>
      <c r="G306" s="30">
        <v>59.21</v>
      </c>
      <c r="H306" s="30" t="s">
        <v>3471</v>
      </c>
      <c r="I306" s="30">
        <v>59.88</v>
      </c>
      <c r="J306" s="30" t="s">
        <v>3472</v>
      </c>
    </row>
    <row r="307" spans="1:10" x14ac:dyDescent="0.15">
      <c r="A307" s="28">
        <v>43210.902118055557</v>
      </c>
      <c r="B307" s="30">
        <v>1500</v>
      </c>
      <c r="C307" s="30">
        <v>51.43</v>
      </c>
      <c r="D307" s="30" t="s">
        <v>3473</v>
      </c>
      <c r="E307" s="30">
        <v>60.64</v>
      </c>
      <c r="F307" s="30" t="s">
        <v>3372</v>
      </c>
      <c r="G307" s="30">
        <v>61.26</v>
      </c>
      <c r="H307" s="30" t="s">
        <v>3474</v>
      </c>
      <c r="I307" s="30">
        <v>58.63</v>
      </c>
      <c r="J307" s="30" t="s">
        <v>3475</v>
      </c>
    </row>
    <row r="308" spans="1:10" x14ac:dyDescent="0.15">
      <c r="A308" s="28">
        <v>43210.90215277778</v>
      </c>
      <c r="B308" s="30">
        <v>1500</v>
      </c>
      <c r="C308" s="30">
        <v>53.49</v>
      </c>
      <c r="D308" s="30" t="s">
        <v>3476</v>
      </c>
      <c r="E308" s="30">
        <v>62.39</v>
      </c>
      <c r="F308" s="30" t="s">
        <v>3477</v>
      </c>
      <c r="G308" s="30">
        <v>59.42</v>
      </c>
      <c r="H308" s="30" t="s">
        <v>3478</v>
      </c>
      <c r="I308" s="30">
        <v>60.42</v>
      </c>
      <c r="J308" s="30" t="s">
        <v>3342</v>
      </c>
    </row>
    <row r="309" spans="1:10" x14ac:dyDescent="0.15">
      <c r="A309" s="28">
        <v>43210.902187500003</v>
      </c>
      <c r="B309" s="30">
        <v>1500</v>
      </c>
      <c r="C309" s="30">
        <v>50.88</v>
      </c>
      <c r="D309" s="30" t="s">
        <v>3479</v>
      </c>
      <c r="E309" s="30">
        <v>61.66</v>
      </c>
      <c r="F309" s="30" t="s">
        <v>3480</v>
      </c>
      <c r="G309" s="30">
        <v>59.3</v>
      </c>
      <c r="H309" s="30" t="s">
        <v>3481</v>
      </c>
      <c r="I309" s="30">
        <v>62.11</v>
      </c>
      <c r="J309" s="30" t="s">
        <v>3311</v>
      </c>
    </row>
    <row r="310" spans="1:10" x14ac:dyDescent="0.15">
      <c r="A310" s="28">
        <v>43210.902222222219</v>
      </c>
      <c r="B310" s="30">
        <v>1500</v>
      </c>
      <c r="C310" s="30">
        <v>50.88</v>
      </c>
      <c r="D310" s="30" t="s">
        <v>3479</v>
      </c>
      <c r="E310" s="30">
        <v>61.63</v>
      </c>
      <c r="F310" s="30" t="s">
        <v>3439</v>
      </c>
      <c r="G310" s="30">
        <v>58.4</v>
      </c>
      <c r="H310" s="30" t="s">
        <v>3482</v>
      </c>
      <c r="I310" s="30">
        <v>60.47</v>
      </c>
      <c r="J310" s="30" t="s">
        <v>3483</v>
      </c>
    </row>
    <row r="311" spans="1:10" x14ac:dyDescent="0.15">
      <c r="A311" s="28">
        <v>43210.902233796296</v>
      </c>
      <c r="B311" s="30">
        <v>1500</v>
      </c>
      <c r="C311" s="30">
        <v>51.6</v>
      </c>
      <c r="D311" s="30" t="s">
        <v>3484</v>
      </c>
      <c r="E311" s="30">
        <v>61.63</v>
      </c>
      <c r="F311" s="30" t="s">
        <v>3439</v>
      </c>
      <c r="G311" s="30">
        <v>58.4</v>
      </c>
      <c r="H311" s="30" t="s">
        <v>3482</v>
      </c>
      <c r="I311" s="30">
        <v>60.47</v>
      </c>
      <c r="J311" s="30" t="s">
        <v>3483</v>
      </c>
    </row>
    <row r="312" spans="1:10" x14ac:dyDescent="0.15">
      <c r="A312" s="28">
        <v>43210.902256944442</v>
      </c>
      <c r="B312" s="30">
        <v>1500</v>
      </c>
      <c r="C312" s="30">
        <v>51.6</v>
      </c>
      <c r="D312" s="30" t="s">
        <v>3484</v>
      </c>
      <c r="E312" s="30">
        <v>60.75</v>
      </c>
      <c r="F312" s="30" t="s">
        <v>3485</v>
      </c>
      <c r="G312" s="30">
        <v>58.83</v>
      </c>
      <c r="H312" s="30" t="s">
        <v>3486</v>
      </c>
      <c r="I312" s="30">
        <v>60.74</v>
      </c>
      <c r="J312" s="30" t="s">
        <v>3487</v>
      </c>
    </row>
    <row r="313" spans="1:10" x14ac:dyDescent="0.15">
      <c r="A313" s="28">
        <v>43210.902268518519</v>
      </c>
      <c r="B313" s="30">
        <v>1500</v>
      </c>
      <c r="C313" s="30">
        <v>50.32</v>
      </c>
      <c r="D313" s="30" t="s">
        <v>3488</v>
      </c>
      <c r="E313" s="30">
        <v>60.75</v>
      </c>
      <c r="F313" s="30" t="s">
        <v>3485</v>
      </c>
      <c r="G313" s="30">
        <v>58.83</v>
      </c>
      <c r="H313" s="30" t="s">
        <v>3486</v>
      </c>
      <c r="I313" s="30">
        <v>60.74</v>
      </c>
      <c r="J313" s="30" t="s">
        <v>3487</v>
      </c>
    </row>
    <row r="314" spans="1:10" x14ac:dyDescent="0.15">
      <c r="A314" s="28">
        <v>43210.902280092596</v>
      </c>
      <c r="B314" s="30">
        <v>1500</v>
      </c>
      <c r="C314" s="30">
        <v>50.32</v>
      </c>
      <c r="D314" s="30" t="s">
        <v>3488</v>
      </c>
      <c r="E314" s="30">
        <v>61.49</v>
      </c>
      <c r="F314" s="30" t="s">
        <v>3454</v>
      </c>
      <c r="G314" s="30">
        <v>59.13</v>
      </c>
      <c r="H314" s="30" t="s">
        <v>3489</v>
      </c>
      <c r="I314" s="30">
        <v>60.08</v>
      </c>
      <c r="J314" s="30" t="s">
        <v>3490</v>
      </c>
    </row>
    <row r="315" spans="1:10" x14ac:dyDescent="0.15">
      <c r="A315" s="28">
        <v>43210.902303240742</v>
      </c>
      <c r="B315" s="30">
        <v>1500</v>
      </c>
      <c r="C315" s="30">
        <v>52.93</v>
      </c>
      <c r="D315" s="30" t="s">
        <v>3175</v>
      </c>
      <c r="E315" s="30">
        <v>61.49</v>
      </c>
      <c r="F315" s="30" t="s">
        <v>3454</v>
      </c>
      <c r="G315" s="30">
        <v>59.13</v>
      </c>
      <c r="H315" s="30" t="s">
        <v>3489</v>
      </c>
      <c r="I315" s="30">
        <v>60.08</v>
      </c>
      <c r="J315" s="30" t="s">
        <v>3490</v>
      </c>
    </row>
    <row r="316" spans="1:10" x14ac:dyDescent="0.15">
      <c r="A316" s="28">
        <v>43210.902314814812</v>
      </c>
      <c r="B316" s="30">
        <v>1500</v>
      </c>
      <c r="C316" s="30">
        <v>52.93</v>
      </c>
      <c r="D316" s="30" t="s">
        <v>3175</v>
      </c>
      <c r="E316" s="30">
        <v>61.35</v>
      </c>
      <c r="F316" s="30" t="s">
        <v>3233</v>
      </c>
      <c r="G316" s="30">
        <v>57.97</v>
      </c>
      <c r="H316" s="30" t="s">
        <v>3491</v>
      </c>
      <c r="I316" s="30">
        <v>59.64</v>
      </c>
      <c r="J316" s="30" t="s">
        <v>3492</v>
      </c>
    </row>
    <row r="317" spans="1:10" x14ac:dyDescent="0.15">
      <c r="A317" s="28">
        <v>43210.902337962965</v>
      </c>
      <c r="B317" s="30">
        <v>1500</v>
      </c>
      <c r="C317" s="30">
        <v>52.54</v>
      </c>
      <c r="D317" s="30" t="s">
        <v>3493</v>
      </c>
      <c r="E317" s="30">
        <v>62.68</v>
      </c>
      <c r="F317" s="30" t="s">
        <v>3494</v>
      </c>
      <c r="G317" s="30">
        <v>59.22</v>
      </c>
      <c r="H317" s="30" t="s">
        <v>3495</v>
      </c>
      <c r="I317" s="30">
        <v>60.36</v>
      </c>
      <c r="J317" s="30" t="s">
        <v>3496</v>
      </c>
    </row>
    <row r="318" spans="1:10" x14ac:dyDescent="0.15">
      <c r="A318" s="28">
        <v>43210.902372685188</v>
      </c>
      <c r="B318" s="30">
        <v>1500</v>
      </c>
      <c r="C318" s="30">
        <v>51.73</v>
      </c>
      <c r="D318" s="30" t="s">
        <v>3386</v>
      </c>
      <c r="E318" s="30">
        <v>62.97</v>
      </c>
      <c r="F318" s="30" t="s">
        <v>3361</v>
      </c>
      <c r="G318" s="30">
        <v>60.14</v>
      </c>
      <c r="H318" s="30" t="s">
        <v>3497</v>
      </c>
      <c r="I318" s="30">
        <v>61.17</v>
      </c>
      <c r="J318" s="30" t="s">
        <v>3498</v>
      </c>
    </row>
    <row r="319" spans="1:10" x14ac:dyDescent="0.15">
      <c r="A319" s="28">
        <v>43210.902407407404</v>
      </c>
      <c r="B319" s="30">
        <v>1500</v>
      </c>
      <c r="C319" s="30">
        <v>51.01</v>
      </c>
      <c r="D319" s="30" t="s">
        <v>3404</v>
      </c>
      <c r="E319" s="30">
        <v>61.74</v>
      </c>
      <c r="F319" s="30" t="s">
        <v>3499</v>
      </c>
      <c r="G319" s="30">
        <v>60.84</v>
      </c>
      <c r="H319" s="30" t="s">
        <v>3243</v>
      </c>
      <c r="I319" s="30">
        <v>59.44</v>
      </c>
      <c r="J319" s="30" t="s">
        <v>3500</v>
      </c>
    </row>
    <row r="320" spans="1:10" x14ac:dyDescent="0.15">
      <c r="A320" s="28">
        <v>43210.902430555558</v>
      </c>
      <c r="B320" s="30">
        <v>1499</v>
      </c>
      <c r="C320" s="30">
        <v>52.72</v>
      </c>
      <c r="D320" s="30" t="s">
        <v>3501</v>
      </c>
      <c r="E320" s="30">
        <v>62.33</v>
      </c>
      <c r="F320" s="30" t="s">
        <v>3502</v>
      </c>
      <c r="G320" s="30">
        <v>58.59</v>
      </c>
      <c r="H320" s="30" t="s">
        <v>3503</v>
      </c>
      <c r="I320" s="30">
        <v>59.45</v>
      </c>
      <c r="J320" s="30" t="s">
        <v>3395</v>
      </c>
    </row>
    <row r="321" spans="1:10" x14ac:dyDescent="0.15">
      <c r="A321" s="28">
        <v>43210.902453703704</v>
      </c>
      <c r="B321" s="30">
        <v>1481</v>
      </c>
      <c r="C321" s="30">
        <v>50.2</v>
      </c>
      <c r="D321" s="30" t="s">
        <v>3504</v>
      </c>
      <c r="E321" s="30">
        <v>59.28</v>
      </c>
      <c r="F321" s="30" t="s">
        <v>3505</v>
      </c>
      <c r="G321" s="30">
        <v>55.18</v>
      </c>
      <c r="H321" s="30" t="s">
        <v>3506</v>
      </c>
      <c r="I321" s="30">
        <v>58.81</v>
      </c>
      <c r="J321" s="30" t="s">
        <v>3507</v>
      </c>
    </row>
    <row r="322" spans="1:10" x14ac:dyDescent="0.15">
      <c r="A322" s="28">
        <v>43210.902465277781</v>
      </c>
      <c r="B322" s="30">
        <v>1464</v>
      </c>
      <c r="C322" s="30">
        <v>48.58</v>
      </c>
      <c r="D322" s="30" t="s">
        <v>3508</v>
      </c>
      <c r="E322" s="30">
        <v>56.22</v>
      </c>
      <c r="F322" s="30" t="s">
        <v>3509</v>
      </c>
      <c r="G322" s="30">
        <v>52.06</v>
      </c>
      <c r="H322" s="30" t="s">
        <v>3510</v>
      </c>
      <c r="I322" s="30">
        <v>55.54</v>
      </c>
      <c r="J322" s="30" t="s">
        <v>3511</v>
      </c>
    </row>
    <row r="323" spans="1:10" x14ac:dyDescent="0.15">
      <c r="A323" s="28">
        <v>43210.90247685185</v>
      </c>
      <c r="B323" s="30">
        <v>1448</v>
      </c>
      <c r="C323" s="30">
        <v>46.03</v>
      </c>
      <c r="D323" s="30" t="s">
        <v>3512</v>
      </c>
      <c r="E323" s="30">
        <v>53.77</v>
      </c>
      <c r="F323" s="30" t="s">
        <v>3513</v>
      </c>
      <c r="G323" s="30">
        <v>47.01</v>
      </c>
      <c r="H323" s="30" t="s">
        <v>3514</v>
      </c>
      <c r="I323" s="30">
        <v>54.01</v>
      </c>
      <c r="J323" s="30" t="s">
        <v>3515</v>
      </c>
    </row>
    <row r="324" spans="1:10" x14ac:dyDescent="0.15">
      <c r="A324" s="28">
        <v>43210.902488425927</v>
      </c>
      <c r="B324" s="30">
        <v>1431</v>
      </c>
      <c r="C324" s="30">
        <v>43.91</v>
      </c>
      <c r="D324" s="30" t="s">
        <v>3516</v>
      </c>
      <c r="E324" s="30">
        <v>50.84</v>
      </c>
      <c r="F324" s="30" t="s">
        <v>3517</v>
      </c>
      <c r="G324" s="30">
        <v>45.91</v>
      </c>
      <c r="H324" s="30" t="s">
        <v>3518</v>
      </c>
      <c r="I324" s="30">
        <v>50.02</v>
      </c>
      <c r="J324" s="30" t="s">
        <v>3519</v>
      </c>
    </row>
    <row r="325" spans="1:10" x14ac:dyDescent="0.15">
      <c r="A325" s="28">
        <v>43210.902499999997</v>
      </c>
      <c r="B325" s="30">
        <v>1417</v>
      </c>
      <c r="C325" s="30">
        <v>43.53</v>
      </c>
      <c r="D325" s="30" t="s">
        <v>3520</v>
      </c>
      <c r="E325" s="30">
        <v>47.6</v>
      </c>
      <c r="F325" s="30" t="s">
        <v>3521</v>
      </c>
      <c r="G325" s="30">
        <v>43.84</v>
      </c>
      <c r="H325" s="30" t="s">
        <v>3522</v>
      </c>
      <c r="I325" s="30">
        <v>48.45</v>
      </c>
      <c r="J325" s="30" t="s">
        <v>3523</v>
      </c>
    </row>
    <row r="326" spans="1:10" x14ac:dyDescent="0.15">
      <c r="A326" s="28">
        <v>43210.902511574073</v>
      </c>
      <c r="B326" s="30">
        <v>1401</v>
      </c>
      <c r="C326" s="30">
        <v>43.64</v>
      </c>
      <c r="D326" s="30" t="s">
        <v>3524</v>
      </c>
      <c r="E326" s="30">
        <v>43.64</v>
      </c>
      <c r="F326" s="30" t="s">
        <v>3525</v>
      </c>
      <c r="G326" s="30">
        <v>42.79</v>
      </c>
      <c r="H326" s="30" t="s">
        <v>3526</v>
      </c>
      <c r="I326" s="30">
        <v>49.12</v>
      </c>
      <c r="J326" s="30" t="s">
        <v>3527</v>
      </c>
    </row>
    <row r="327" spans="1:10" x14ac:dyDescent="0.15">
      <c r="A327" s="28">
        <v>43210.90252314815</v>
      </c>
      <c r="B327" s="30">
        <v>1386</v>
      </c>
      <c r="C327" s="30">
        <v>45.47</v>
      </c>
      <c r="D327" s="30" t="s">
        <v>1326</v>
      </c>
      <c r="E327" s="30">
        <v>37.81</v>
      </c>
      <c r="F327" s="30" t="s">
        <v>3528</v>
      </c>
      <c r="G327" s="30">
        <v>35.090000000000003</v>
      </c>
      <c r="H327" s="30" t="s">
        <v>3529</v>
      </c>
      <c r="I327" s="30">
        <v>48.22</v>
      </c>
      <c r="J327" s="30" t="s">
        <v>3530</v>
      </c>
    </row>
    <row r="328" spans="1:10" x14ac:dyDescent="0.15">
      <c r="A328" s="28">
        <v>43210.90253472222</v>
      </c>
      <c r="B328" s="30">
        <v>1372</v>
      </c>
      <c r="C328" s="30">
        <v>45.28</v>
      </c>
      <c r="D328" s="30" t="s">
        <v>3531</v>
      </c>
      <c r="E328" s="30">
        <v>36.340000000000003</v>
      </c>
      <c r="F328" s="30" t="s">
        <v>3532</v>
      </c>
      <c r="G328" s="30">
        <v>25.26</v>
      </c>
      <c r="H328" s="30" t="s">
        <v>3533</v>
      </c>
      <c r="I328" s="30">
        <v>47.88</v>
      </c>
      <c r="J328" s="30" t="s">
        <v>3534</v>
      </c>
    </row>
    <row r="329" spans="1:10" x14ac:dyDescent="0.15">
      <c r="A329" s="28">
        <v>43210.902546296296</v>
      </c>
      <c r="B329" s="30">
        <v>1358</v>
      </c>
      <c r="C329" s="30">
        <v>31.84</v>
      </c>
      <c r="D329" s="30" t="s">
        <v>3535</v>
      </c>
      <c r="E329" s="30">
        <v>40.54</v>
      </c>
      <c r="F329" s="30" t="s">
        <v>3536</v>
      </c>
      <c r="G329" s="30">
        <v>34.020000000000003</v>
      </c>
      <c r="H329" s="30" t="s">
        <v>3537</v>
      </c>
      <c r="I329" s="30">
        <v>41.6</v>
      </c>
      <c r="J329" s="30" t="s">
        <v>3538</v>
      </c>
    </row>
    <row r="330" spans="1:10" x14ac:dyDescent="0.15">
      <c r="A330" s="28">
        <v>43210.902557870373</v>
      </c>
      <c r="B330" s="30">
        <v>1344</v>
      </c>
      <c r="C330" s="30">
        <v>26.38</v>
      </c>
      <c r="D330" s="30" t="s">
        <v>3539</v>
      </c>
      <c r="E330" s="30">
        <v>41.1</v>
      </c>
      <c r="F330" s="30" t="s">
        <v>3540</v>
      </c>
      <c r="G330" s="30">
        <v>34.020000000000003</v>
      </c>
      <c r="H330" s="30" t="s">
        <v>3537</v>
      </c>
      <c r="I330" s="30">
        <v>41.6</v>
      </c>
      <c r="J330" s="30" t="s">
        <v>3538</v>
      </c>
    </row>
    <row r="331" spans="1:10" x14ac:dyDescent="0.15">
      <c r="A331" s="28">
        <v>43210.902569444443</v>
      </c>
      <c r="B331" s="30">
        <v>1344</v>
      </c>
      <c r="C331" s="30">
        <v>26.38</v>
      </c>
      <c r="D331" s="30" t="s">
        <v>3539</v>
      </c>
      <c r="E331" s="30">
        <v>41.1</v>
      </c>
      <c r="F331" s="30" t="s">
        <v>3540</v>
      </c>
      <c r="G331" s="30">
        <v>40.54</v>
      </c>
      <c r="H331" s="30" t="s">
        <v>3541</v>
      </c>
      <c r="I331" s="30">
        <v>36.94</v>
      </c>
      <c r="J331" s="30" t="s">
        <v>3542</v>
      </c>
    </row>
    <row r="332" spans="1:10" x14ac:dyDescent="0.15">
      <c r="A332" s="28">
        <v>43210.902581018519</v>
      </c>
      <c r="B332" s="30">
        <v>1331</v>
      </c>
      <c r="C332" s="30">
        <v>25.28</v>
      </c>
      <c r="D332" s="30" t="s">
        <v>3543</v>
      </c>
      <c r="E332" s="30">
        <v>38.9</v>
      </c>
      <c r="F332" s="30" t="s">
        <v>3544</v>
      </c>
      <c r="G332" s="30">
        <v>38.76</v>
      </c>
      <c r="H332" s="30" t="s">
        <v>3545</v>
      </c>
      <c r="I332" s="30">
        <v>36.1</v>
      </c>
      <c r="J332" s="30" t="s">
        <v>3546</v>
      </c>
    </row>
    <row r="333" spans="1:10" x14ac:dyDescent="0.15">
      <c r="A333" s="28">
        <v>43210.902592592596</v>
      </c>
      <c r="B333" s="30">
        <v>1318</v>
      </c>
      <c r="C333" s="30">
        <v>25.74</v>
      </c>
      <c r="D333" s="30" t="s">
        <v>3547</v>
      </c>
      <c r="E333" s="30">
        <v>39.090000000000003</v>
      </c>
      <c r="F333" s="30" t="s">
        <v>3548</v>
      </c>
      <c r="G333" s="30">
        <v>37.39</v>
      </c>
      <c r="H333" s="30" t="s">
        <v>3549</v>
      </c>
      <c r="I333" s="30">
        <v>36.299999999999997</v>
      </c>
      <c r="J333" s="30" t="s">
        <v>3550</v>
      </c>
    </row>
    <row r="334" spans="1:10" x14ac:dyDescent="0.15">
      <c r="A334" s="28">
        <v>43210.902604166666</v>
      </c>
      <c r="B334" s="30">
        <v>1305</v>
      </c>
      <c r="C334" s="30">
        <v>24.45</v>
      </c>
      <c r="D334" s="30" t="s">
        <v>3551</v>
      </c>
      <c r="E334" s="30">
        <v>36.58</v>
      </c>
      <c r="F334" s="30" t="s">
        <v>3552</v>
      </c>
      <c r="G334" s="30">
        <v>37.75</v>
      </c>
      <c r="H334" s="30" t="s">
        <v>3553</v>
      </c>
      <c r="I334" s="30">
        <v>35.04</v>
      </c>
      <c r="J334" s="30" t="s">
        <v>3554</v>
      </c>
    </row>
    <row r="335" spans="1:10" x14ac:dyDescent="0.15">
      <c r="A335" s="28">
        <v>43210.902615740742</v>
      </c>
      <c r="B335" s="30">
        <v>1293</v>
      </c>
      <c r="C335" s="30">
        <v>26.78</v>
      </c>
      <c r="D335" s="30" t="s">
        <v>3555</v>
      </c>
      <c r="E335" s="30">
        <v>36.81</v>
      </c>
      <c r="F335" s="30" t="s">
        <v>3556</v>
      </c>
      <c r="G335" s="30">
        <v>36.67</v>
      </c>
      <c r="H335" s="30" t="s">
        <v>3557</v>
      </c>
      <c r="I335" s="30">
        <v>35.08</v>
      </c>
      <c r="J335" s="30" t="s">
        <v>3558</v>
      </c>
    </row>
    <row r="336" spans="1:10" x14ac:dyDescent="0.15">
      <c r="A336" s="28">
        <v>43210.902627314812</v>
      </c>
      <c r="B336" s="30">
        <v>1281</v>
      </c>
      <c r="C336" s="30">
        <v>26.17</v>
      </c>
      <c r="D336" s="30" t="s">
        <v>3559</v>
      </c>
      <c r="E336" s="30">
        <v>34.44</v>
      </c>
      <c r="F336" s="30" t="s">
        <v>3560</v>
      </c>
      <c r="G336" s="30">
        <v>36.549999999999997</v>
      </c>
      <c r="H336" s="30" t="s">
        <v>3561</v>
      </c>
      <c r="I336" s="30">
        <v>32.08</v>
      </c>
      <c r="J336" s="30" t="s">
        <v>3562</v>
      </c>
    </row>
    <row r="337" spans="1:10" x14ac:dyDescent="0.15">
      <c r="A337" s="28">
        <v>43210.902638888889</v>
      </c>
      <c r="B337" s="30">
        <v>1268</v>
      </c>
      <c r="C337" s="30">
        <v>26.13</v>
      </c>
      <c r="D337" s="30" t="s">
        <v>3563</v>
      </c>
      <c r="E337" s="30">
        <v>32.35</v>
      </c>
      <c r="F337" s="30" t="s">
        <v>3564</v>
      </c>
      <c r="G337" s="30">
        <v>35.78</v>
      </c>
      <c r="H337" s="30" t="s">
        <v>3565</v>
      </c>
      <c r="I337" s="30">
        <v>31.35</v>
      </c>
      <c r="J337" s="30" t="s">
        <v>3566</v>
      </c>
    </row>
    <row r="338" spans="1:10" x14ac:dyDescent="0.15">
      <c r="A338" s="28">
        <v>43210.902650462966</v>
      </c>
      <c r="B338" s="30">
        <v>1257</v>
      </c>
      <c r="C338" s="30">
        <v>26</v>
      </c>
      <c r="D338" s="30" t="s">
        <v>3567</v>
      </c>
      <c r="E338" s="30">
        <v>34.130000000000003</v>
      </c>
      <c r="F338" s="30" t="s">
        <v>3568</v>
      </c>
      <c r="G338" s="30">
        <v>32.369999999999997</v>
      </c>
      <c r="H338" s="30" t="s">
        <v>3569</v>
      </c>
      <c r="I338" s="30">
        <v>29.54</v>
      </c>
      <c r="J338" s="30" t="s">
        <v>3570</v>
      </c>
    </row>
    <row r="339" spans="1:10" x14ac:dyDescent="0.15">
      <c r="A339" s="28">
        <v>43210.902662037035</v>
      </c>
      <c r="B339" s="30">
        <v>1245</v>
      </c>
      <c r="C339" s="30">
        <v>25.53</v>
      </c>
      <c r="D339" s="30" t="s">
        <v>3571</v>
      </c>
      <c r="E339" s="30">
        <v>32.86</v>
      </c>
      <c r="F339" s="30" t="s">
        <v>3572</v>
      </c>
      <c r="G339" s="30">
        <v>30.58</v>
      </c>
      <c r="H339" s="30" t="s">
        <v>3573</v>
      </c>
      <c r="I339" s="30">
        <v>28.62</v>
      </c>
      <c r="J339" s="30" t="s">
        <v>3574</v>
      </c>
    </row>
    <row r="340" spans="1:10" x14ac:dyDescent="0.15">
      <c r="A340" s="28">
        <v>43210.902673611112</v>
      </c>
      <c r="B340" s="30">
        <v>1233</v>
      </c>
      <c r="C340" s="30">
        <v>25.35</v>
      </c>
      <c r="D340" s="30" t="s">
        <v>3575</v>
      </c>
      <c r="E340" s="30">
        <v>31.47</v>
      </c>
      <c r="F340" s="30" t="s">
        <v>3576</v>
      </c>
      <c r="G340" s="30">
        <v>26.16</v>
      </c>
      <c r="H340" s="30" t="s">
        <v>3577</v>
      </c>
      <c r="I340" s="30">
        <v>27.01</v>
      </c>
      <c r="J340" s="30" t="s">
        <v>3578</v>
      </c>
    </row>
    <row r="341" spans="1:10" x14ac:dyDescent="0.15">
      <c r="A341" s="28">
        <v>43210.902685185189</v>
      </c>
      <c r="B341" s="30">
        <v>1222</v>
      </c>
      <c r="C341" s="30">
        <v>24.48</v>
      </c>
      <c r="D341" s="30" t="s">
        <v>3579</v>
      </c>
      <c r="E341" s="30">
        <v>29.87</v>
      </c>
      <c r="F341" s="30" t="s">
        <v>3580</v>
      </c>
      <c r="G341" s="30">
        <v>24.81</v>
      </c>
      <c r="H341" s="30" t="s">
        <v>3581</v>
      </c>
      <c r="I341" s="30">
        <v>24.78</v>
      </c>
      <c r="J341" s="30" t="s">
        <v>3582</v>
      </c>
    </row>
    <row r="342" spans="1:10" x14ac:dyDescent="0.15">
      <c r="A342" s="28">
        <v>43210.902696759258</v>
      </c>
      <c r="B342" s="30">
        <v>1211</v>
      </c>
      <c r="C342" s="30">
        <v>22.54</v>
      </c>
      <c r="D342" s="30" t="s">
        <v>3583</v>
      </c>
      <c r="E342" s="30">
        <v>33</v>
      </c>
      <c r="F342" s="30" t="s">
        <v>3584</v>
      </c>
      <c r="G342" s="30">
        <v>21.64</v>
      </c>
      <c r="H342" s="30" t="s">
        <v>3585</v>
      </c>
      <c r="I342" s="30">
        <v>24.24</v>
      </c>
      <c r="J342" s="30" t="s">
        <v>3586</v>
      </c>
    </row>
    <row r="343" spans="1:10" x14ac:dyDescent="0.15">
      <c r="A343" s="28">
        <v>43210.902708333335</v>
      </c>
      <c r="B343" s="30">
        <v>1200</v>
      </c>
      <c r="C343" s="30">
        <v>21.51</v>
      </c>
      <c r="D343" s="30" t="s">
        <v>3587</v>
      </c>
      <c r="E343" s="30">
        <v>31.78</v>
      </c>
      <c r="F343" s="30" t="s">
        <v>3588</v>
      </c>
      <c r="G343" s="30">
        <v>19.7</v>
      </c>
      <c r="H343" s="30" t="s">
        <v>3589</v>
      </c>
      <c r="I343" s="30">
        <v>23.51</v>
      </c>
      <c r="J343" s="30" t="s">
        <v>3590</v>
      </c>
    </row>
    <row r="344" spans="1:10" x14ac:dyDescent="0.15">
      <c r="A344" s="28">
        <v>43210.902731481481</v>
      </c>
      <c r="B344" s="30">
        <v>1179</v>
      </c>
      <c r="C344" s="30">
        <v>20.95</v>
      </c>
      <c r="D344" s="30" t="s">
        <v>3591</v>
      </c>
      <c r="E344" s="30">
        <v>29.5</v>
      </c>
      <c r="F344" s="30" t="s">
        <v>3592</v>
      </c>
      <c r="G344" s="30">
        <v>16.53</v>
      </c>
      <c r="H344" s="30" t="s">
        <v>3593</v>
      </c>
      <c r="I344" s="30">
        <v>22.44</v>
      </c>
      <c r="J344" s="30" t="s">
        <v>3594</v>
      </c>
    </row>
    <row r="345" spans="1:10" x14ac:dyDescent="0.15">
      <c r="A345" s="28">
        <v>43210.902743055558</v>
      </c>
      <c r="B345" s="30">
        <v>1169</v>
      </c>
      <c r="C345" s="30">
        <v>24.61</v>
      </c>
      <c r="D345" s="30" t="s">
        <v>3595</v>
      </c>
      <c r="E345" s="30">
        <v>27.1</v>
      </c>
      <c r="F345" s="30" t="s">
        <v>3596</v>
      </c>
      <c r="G345" s="30">
        <v>19.02</v>
      </c>
      <c r="H345" s="30" t="s">
        <v>3597</v>
      </c>
      <c r="I345" s="30">
        <v>23.95</v>
      </c>
      <c r="J345" s="30" t="s">
        <v>3598</v>
      </c>
    </row>
    <row r="346" spans="1:10" x14ac:dyDescent="0.15">
      <c r="A346" s="28">
        <v>43210.902766203704</v>
      </c>
      <c r="B346" s="30">
        <v>1150</v>
      </c>
      <c r="C346" s="30">
        <v>22.59</v>
      </c>
      <c r="D346" s="30" t="s">
        <v>3599</v>
      </c>
      <c r="E346" s="30">
        <v>30.5</v>
      </c>
      <c r="F346" s="30" t="s">
        <v>3600</v>
      </c>
      <c r="G346" s="30">
        <v>17.309999999999999</v>
      </c>
      <c r="H346" s="30" t="s">
        <v>3601</v>
      </c>
      <c r="I346" s="30">
        <v>25.35</v>
      </c>
      <c r="J346" s="30" t="s">
        <v>3602</v>
      </c>
    </row>
    <row r="347" spans="1:10" x14ac:dyDescent="0.15">
      <c r="A347" s="28">
        <v>43210.902777777781</v>
      </c>
      <c r="B347" s="30">
        <v>1137</v>
      </c>
      <c r="C347" s="30">
        <v>20.07</v>
      </c>
      <c r="D347" s="30" t="s">
        <v>3603</v>
      </c>
      <c r="E347" s="30">
        <v>23.32</v>
      </c>
      <c r="F347" s="30" t="s">
        <v>3604</v>
      </c>
      <c r="G347" s="30">
        <v>15.94</v>
      </c>
      <c r="H347" s="30" t="s">
        <v>3605</v>
      </c>
      <c r="I347" s="30">
        <v>20.63</v>
      </c>
      <c r="J347" s="30" t="s">
        <v>3606</v>
      </c>
    </row>
    <row r="348" spans="1:10" x14ac:dyDescent="0.15">
      <c r="A348" s="28">
        <v>43210.902789351851</v>
      </c>
      <c r="B348" s="30">
        <v>1126</v>
      </c>
      <c r="C348" s="30">
        <v>17.71</v>
      </c>
      <c r="D348" s="30" t="s">
        <v>3607</v>
      </c>
      <c r="E348" s="30">
        <v>23</v>
      </c>
      <c r="F348" s="30" t="s">
        <v>3608</v>
      </c>
      <c r="G348" s="30">
        <v>12.68</v>
      </c>
      <c r="H348" s="30" t="s">
        <v>3609</v>
      </c>
      <c r="I348" s="30">
        <v>20.39</v>
      </c>
      <c r="J348" s="30" t="s">
        <v>3610</v>
      </c>
    </row>
    <row r="349" spans="1:10" x14ac:dyDescent="0.15">
      <c r="A349" s="28">
        <v>43210.902812499997</v>
      </c>
      <c r="B349" s="30">
        <v>1114</v>
      </c>
      <c r="C349" s="30">
        <v>16.899999999999999</v>
      </c>
      <c r="D349" s="30" t="s">
        <v>3611</v>
      </c>
      <c r="E349" s="30">
        <v>21.13</v>
      </c>
      <c r="F349" s="30" t="s">
        <v>3612</v>
      </c>
      <c r="G349" s="30">
        <v>11.35</v>
      </c>
      <c r="H349" s="30" t="s">
        <v>3613</v>
      </c>
      <c r="I349" s="30">
        <v>19.03</v>
      </c>
      <c r="J349" s="30" t="s">
        <v>3614</v>
      </c>
    </row>
    <row r="350" spans="1:10" x14ac:dyDescent="0.15">
      <c r="A350" s="28">
        <v>43210.902824074074</v>
      </c>
      <c r="B350" s="30">
        <v>1102</v>
      </c>
      <c r="C350" s="30">
        <v>16.91</v>
      </c>
      <c r="D350" s="30" t="s">
        <v>3615</v>
      </c>
      <c r="E350" s="30">
        <v>22.21</v>
      </c>
      <c r="F350" s="30" t="s">
        <v>3616</v>
      </c>
      <c r="G350" s="30">
        <v>10.86</v>
      </c>
      <c r="H350" s="30" t="s">
        <v>3617</v>
      </c>
      <c r="I350" s="30">
        <v>19.47</v>
      </c>
      <c r="J350" s="30" t="s">
        <v>3618</v>
      </c>
    </row>
    <row r="351" spans="1:10" x14ac:dyDescent="0.15">
      <c r="A351" s="28">
        <v>43210.90283564815</v>
      </c>
      <c r="B351" s="30">
        <v>1091</v>
      </c>
      <c r="C351" s="30">
        <v>16.43</v>
      </c>
      <c r="D351" s="30" t="s">
        <v>3619</v>
      </c>
      <c r="E351" s="30">
        <v>21.52</v>
      </c>
      <c r="F351" s="30" t="s">
        <v>3620</v>
      </c>
      <c r="G351" s="30">
        <v>9.94</v>
      </c>
      <c r="H351" s="30" t="s">
        <v>3621</v>
      </c>
      <c r="I351" s="30">
        <v>18.55</v>
      </c>
      <c r="J351" s="30" t="s">
        <v>3622</v>
      </c>
    </row>
    <row r="352" spans="1:10" x14ac:dyDescent="0.15">
      <c r="A352" s="28">
        <v>43210.902858796297</v>
      </c>
      <c r="B352" s="30">
        <v>1079</v>
      </c>
      <c r="C352" s="30">
        <v>15.82</v>
      </c>
      <c r="D352" s="30" t="s">
        <v>3623</v>
      </c>
      <c r="E352" s="30">
        <v>20.78</v>
      </c>
      <c r="F352" s="30" t="s">
        <v>3624</v>
      </c>
      <c r="G352" s="30">
        <v>9.6999999999999993</v>
      </c>
      <c r="H352" s="30" t="s">
        <v>3625</v>
      </c>
      <c r="I352" s="30">
        <v>17.71</v>
      </c>
      <c r="J352" s="30" t="s">
        <v>3626</v>
      </c>
    </row>
    <row r="353" spans="1:10" x14ac:dyDescent="0.15">
      <c r="A353" s="28">
        <v>43210.902870370373</v>
      </c>
      <c r="B353" s="30">
        <v>1068</v>
      </c>
      <c r="C353" s="30">
        <v>15.35</v>
      </c>
      <c r="D353" s="30" t="s">
        <v>3627</v>
      </c>
      <c r="E353" s="30">
        <v>20.93</v>
      </c>
      <c r="F353" s="30" t="s">
        <v>3628</v>
      </c>
      <c r="G353" s="30">
        <v>9.68</v>
      </c>
      <c r="H353" s="30" t="s">
        <v>3629</v>
      </c>
      <c r="I353" s="30">
        <v>18.63</v>
      </c>
      <c r="J353" s="30" t="s">
        <v>3630</v>
      </c>
    </row>
    <row r="354" spans="1:10" x14ac:dyDescent="0.15">
      <c r="A354" s="28">
        <v>43210.902881944443</v>
      </c>
      <c r="B354" s="30">
        <v>1057</v>
      </c>
      <c r="C354" s="30">
        <v>15.49</v>
      </c>
      <c r="D354" s="30" t="s">
        <v>3631</v>
      </c>
      <c r="E354" s="30">
        <v>21.06</v>
      </c>
      <c r="F354" s="30" t="s">
        <v>3632</v>
      </c>
      <c r="G354" s="30">
        <v>10.07</v>
      </c>
      <c r="H354" s="30" t="s">
        <v>3633</v>
      </c>
      <c r="I354" s="30">
        <v>19.28</v>
      </c>
      <c r="J354" s="30" t="s">
        <v>3634</v>
      </c>
    </row>
    <row r="355" spans="1:10" x14ac:dyDescent="0.15">
      <c r="A355" s="28">
        <v>43210.90289351852</v>
      </c>
      <c r="B355" s="30">
        <v>1046</v>
      </c>
      <c r="C355" s="30">
        <v>16.059999999999999</v>
      </c>
      <c r="D355" s="30" t="s">
        <v>3635</v>
      </c>
      <c r="E355" s="30">
        <v>21.06</v>
      </c>
      <c r="F355" s="30" t="s">
        <v>3632</v>
      </c>
      <c r="G355" s="30">
        <v>10.07</v>
      </c>
      <c r="H355" s="30" t="s">
        <v>3633</v>
      </c>
      <c r="I355" s="30">
        <v>19.28</v>
      </c>
      <c r="J355" s="30" t="s">
        <v>3634</v>
      </c>
    </row>
    <row r="356" spans="1:10" x14ac:dyDescent="0.15">
      <c r="A356" s="28">
        <v>43210.902905092589</v>
      </c>
      <c r="B356" s="30">
        <v>1046</v>
      </c>
      <c r="C356" s="30">
        <v>16.059999999999999</v>
      </c>
      <c r="D356" s="30" t="s">
        <v>3635</v>
      </c>
      <c r="E356" s="30">
        <v>20.88</v>
      </c>
      <c r="F356" s="30" t="s">
        <v>3636</v>
      </c>
      <c r="G356" s="30">
        <v>11.15</v>
      </c>
      <c r="H356" s="30" t="s">
        <v>3637</v>
      </c>
      <c r="I356" s="30">
        <v>19.09</v>
      </c>
      <c r="J356" s="30" t="s">
        <v>3638</v>
      </c>
    </row>
    <row r="357" spans="1:10" x14ac:dyDescent="0.15">
      <c r="A357" s="28">
        <v>43210.902916666666</v>
      </c>
      <c r="B357" s="30">
        <v>1036</v>
      </c>
      <c r="C357" s="30">
        <v>16.559999999999999</v>
      </c>
      <c r="D357" s="30" t="s">
        <v>3639</v>
      </c>
      <c r="E357" s="30">
        <v>22.15</v>
      </c>
      <c r="F357" s="30" t="s">
        <v>3640</v>
      </c>
      <c r="G357" s="30">
        <v>10.95</v>
      </c>
      <c r="H357" s="30" t="s">
        <v>3641</v>
      </c>
      <c r="I357" s="30">
        <v>19.52</v>
      </c>
      <c r="J357" s="30" t="s">
        <v>3642</v>
      </c>
    </row>
    <row r="358" spans="1:10" x14ac:dyDescent="0.15">
      <c r="A358" s="28">
        <v>43210.902928240743</v>
      </c>
      <c r="B358" s="30">
        <v>1026</v>
      </c>
      <c r="C358" s="30">
        <v>16.100000000000001</v>
      </c>
      <c r="D358" s="30" t="s">
        <v>3643</v>
      </c>
      <c r="E358" s="30">
        <v>21.73</v>
      </c>
      <c r="F358" s="30" t="s">
        <v>3644</v>
      </c>
      <c r="G358" s="30">
        <v>10.9</v>
      </c>
      <c r="H358" s="30" t="s">
        <v>3645</v>
      </c>
      <c r="I358" s="30">
        <v>19.05</v>
      </c>
      <c r="J358" s="30" t="s">
        <v>3646</v>
      </c>
    </row>
    <row r="359" spans="1:10" x14ac:dyDescent="0.15">
      <c r="A359" s="28">
        <v>43210.902939814812</v>
      </c>
      <c r="B359" s="30">
        <v>1016</v>
      </c>
      <c r="C359" s="30">
        <v>15.85</v>
      </c>
      <c r="D359" s="30" t="s">
        <v>3647</v>
      </c>
      <c r="E359" s="30">
        <v>22.16</v>
      </c>
      <c r="F359" s="30" t="s">
        <v>3648</v>
      </c>
      <c r="G359" s="30">
        <v>10.74</v>
      </c>
      <c r="H359" s="30" t="s">
        <v>3649</v>
      </c>
      <c r="I359" s="30">
        <v>19.55</v>
      </c>
      <c r="J359" s="30" t="s">
        <v>3650</v>
      </c>
    </row>
    <row r="360" spans="1:10" x14ac:dyDescent="0.15">
      <c r="A360" s="28">
        <v>43210.902962962966</v>
      </c>
      <c r="B360" s="30">
        <v>1006</v>
      </c>
      <c r="C360" s="30">
        <v>17.32</v>
      </c>
      <c r="D360" s="30" t="s">
        <v>3651</v>
      </c>
      <c r="E360" s="30">
        <v>22.93</v>
      </c>
      <c r="F360" s="30" t="s">
        <v>3652</v>
      </c>
      <c r="G360" s="30">
        <v>12.25</v>
      </c>
      <c r="H360" s="30" t="s">
        <v>3653</v>
      </c>
      <c r="I360" s="30">
        <v>20.69</v>
      </c>
      <c r="J360" s="30" t="s">
        <v>3654</v>
      </c>
    </row>
    <row r="361" spans="1:10" x14ac:dyDescent="0.15">
      <c r="A361" s="28">
        <v>43210.902986111112</v>
      </c>
      <c r="B361" s="30">
        <v>987.3</v>
      </c>
      <c r="C361" s="30">
        <v>18.850000000000001</v>
      </c>
      <c r="D361" s="30" t="s">
        <v>3655</v>
      </c>
      <c r="E361" s="30">
        <v>25.47</v>
      </c>
      <c r="F361" s="30" t="s">
        <v>3656</v>
      </c>
      <c r="G361" s="30">
        <v>14.78</v>
      </c>
      <c r="H361" s="30" t="s">
        <v>3657</v>
      </c>
      <c r="I361" s="30">
        <v>22.6</v>
      </c>
      <c r="J361" s="30" t="s">
        <v>3658</v>
      </c>
    </row>
    <row r="362" spans="1:10" x14ac:dyDescent="0.15">
      <c r="A362" s="28">
        <v>43210.903020833335</v>
      </c>
      <c r="B362" s="30">
        <v>968.8</v>
      </c>
      <c r="C362" s="30">
        <v>21.41</v>
      </c>
      <c r="D362" s="30" t="s">
        <v>3659</v>
      </c>
      <c r="E362" s="30">
        <v>25.05</v>
      </c>
      <c r="F362" s="30" t="s">
        <v>3660</v>
      </c>
      <c r="G362" s="30">
        <v>14.03</v>
      </c>
      <c r="H362" s="30" t="s">
        <v>3661</v>
      </c>
      <c r="I362" s="30">
        <v>22.49</v>
      </c>
      <c r="J362" s="30" t="s">
        <v>3662</v>
      </c>
    </row>
    <row r="363" spans="1:10" x14ac:dyDescent="0.15">
      <c r="A363" s="28">
        <v>43210.903043981481</v>
      </c>
      <c r="B363" s="30">
        <v>950.6</v>
      </c>
      <c r="C363" s="30">
        <v>21.63</v>
      </c>
      <c r="D363" s="30" t="s">
        <v>3663</v>
      </c>
      <c r="E363" s="30">
        <v>34.619999999999997</v>
      </c>
      <c r="F363" s="30" t="s">
        <v>3664</v>
      </c>
      <c r="G363" s="30">
        <v>18.05</v>
      </c>
      <c r="H363" s="30" t="s">
        <v>3665</v>
      </c>
      <c r="I363" s="30">
        <v>31.37</v>
      </c>
      <c r="J363" s="30" t="s">
        <v>3666</v>
      </c>
    </row>
    <row r="364" spans="1:10" x14ac:dyDescent="0.15">
      <c r="A364" s="28">
        <v>43210.903078703705</v>
      </c>
      <c r="B364" s="30">
        <v>932.8</v>
      </c>
      <c r="C364" s="30">
        <v>39.31</v>
      </c>
      <c r="D364" s="30" t="s">
        <v>3667</v>
      </c>
      <c r="E364" s="30">
        <v>29.08</v>
      </c>
      <c r="F364" s="30" t="s">
        <v>3668</v>
      </c>
      <c r="G364" s="30">
        <v>25.42</v>
      </c>
      <c r="H364" s="30" t="s">
        <v>3669</v>
      </c>
      <c r="I364" s="30">
        <v>28.94</v>
      </c>
      <c r="J364" s="30" t="s">
        <v>3670</v>
      </c>
    </row>
    <row r="365" spans="1:10" x14ac:dyDescent="0.15">
      <c r="A365" s="28">
        <v>43210.903101851851</v>
      </c>
      <c r="B365" s="30">
        <v>918.4</v>
      </c>
      <c r="C365" s="30">
        <v>17.420000000000002</v>
      </c>
      <c r="D365" s="30" t="s">
        <v>3671</v>
      </c>
      <c r="E365" s="30">
        <v>9.5</v>
      </c>
      <c r="F365" s="30" t="s">
        <v>3672</v>
      </c>
      <c r="G365" s="30">
        <v>13.22</v>
      </c>
      <c r="H365" s="30" t="s">
        <v>3673</v>
      </c>
      <c r="I365" s="30">
        <v>8.5</v>
      </c>
      <c r="J365" s="30" t="s">
        <v>3674</v>
      </c>
    </row>
    <row r="366" spans="1:10" x14ac:dyDescent="0.15">
      <c r="A366" s="28">
        <v>43210.903136574074</v>
      </c>
      <c r="B366" s="30">
        <v>899.3</v>
      </c>
      <c r="C366" s="30">
        <v>17.059999999999999</v>
      </c>
      <c r="D366" s="30" t="s">
        <v>3675</v>
      </c>
      <c r="E366" s="30">
        <v>8.26</v>
      </c>
      <c r="F366" s="30" t="s">
        <v>3676</v>
      </c>
      <c r="G366" s="30">
        <v>12.46</v>
      </c>
      <c r="H366" s="30" t="s">
        <v>3677</v>
      </c>
      <c r="I366" s="30">
        <v>5.4</v>
      </c>
      <c r="J366" s="30" t="s">
        <v>3678</v>
      </c>
    </row>
    <row r="367" spans="1:10" x14ac:dyDescent="0.15">
      <c r="A367" s="28">
        <v>43210.903171296297</v>
      </c>
      <c r="B367" s="30">
        <v>880.6</v>
      </c>
      <c r="C367" s="30">
        <v>14.48</v>
      </c>
      <c r="D367" s="30" t="s">
        <v>3679</v>
      </c>
      <c r="E367" s="30">
        <v>9.14</v>
      </c>
      <c r="F367" s="30" t="s">
        <v>3680</v>
      </c>
      <c r="G367" s="30">
        <v>11.08</v>
      </c>
      <c r="H367" s="30" t="s">
        <v>3681</v>
      </c>
      <c r="I367" s="30">
        <v>5.18</v>
      </c>
      <c r="J367" s="30" t="s">
        <v>3682</v>
      </c>
    </row>
    <row r="368" spans="1:10" x14ac:dyDescent="0.15">
      <c r="A368" s="28">
        <v>43210.90320601852</v>
      </c>
      <c r="B368" s="30">
        <v>862.7</v>
      </c>
      <c r="C368" s="30">
        <v>14.35</v>
      </c>
      <c r="D368" s="30" t="s">
        <v>3683</v>
      </c>
      <c r="E368" s="30">
        <v>8.6999999999999993</v>
      </c>
      <c r="F368" s="30" t="s">
        <v>3684</v>
      </c>
      <c r="G368" s="30">
        <v>9.7200000000000006</v>
      </c>
      <c r="H368" s="30" t="s">
        <v>3685</v>
      </c>
      <c r="I368" s="30">
        <v>6.28</v>
      </c>
      <c r="J368" s="30" t="s">
        <v>3686</v>
      </c>
    </row>
    <row r="369" spans="1:10" x14ac:dyDescent="0.15">
      <c r="A369" s="28">
        <v>43210.903240740743</v>
      </c>
      <c r="B369" s="30">
        <v>845.9</v>
      </c>
      <c r="C369" s="30">
        <v>12.96</v>
      </c>
      <c r="D369" s="30" t="s">
        <v>3687</v>
      </c>
      <c r="E369" s="30">
        <v>8.9499999999999993</v>
      </c>
      <c r="F369" s="30" t="s">
        <v>3688</v>
      </c>
      <c r="G369" s="30">
        <v>9.7799999999999994</v>
      </c>
      <c r="H369" s="30" t="s">
        <v>3689</v>
      </c>
      <c r="I369" s="30">
        <v>6.82</v>
      </c>
      <c r="J369" s="30" t="s">
        <v>3690</v>
      </c>
    </row>
    <row r="370" spans="1:10" x14ac:dyDescent="0.15">
      <c r="A370" s="28">
        <v>43210.903275462966</v>
      </c>
      <c r="B370" s="30">
        <v>829.6</v>
      </c>
      <c r="C370" s="30">
        <v>13.5</v>
      </c>
      <c r="D370" s="30" t="s">
        <v>3691</v>
      </c>
      <c r="E370" s="30">
        <v>8.99</v>
      </c>
      <c r="F370" s="30" t="s">
        <v>3692</v>
      </c>
      <c r="G370" s="30">
        <v>9.06</v>
      </c>
      <c r="H370" s="30" t="s">
        <v>3693</v>
      </c>
      <c r="I370" s="30">
        <v>7.34</v>
      </c>
      <c r="J370" s="30" t="s">
        <v>3694</v>
      </c>
    </row>
    <row r="371" spans="1:10" x14ac:dyDescent="0.15">
      <c r="A371" s="28">
        <v>43210.903310185182</v>
      </c>
      <c r="B371" s="30">
        <v>813.5</v>
      </c>
      <c r="C371" s="30">
        <v>11.69</v>
      </c>
      <c r="D371" s="30" t="s">
        <v>3695</v>
      </c>
      <c r="E371" s="30">
        <v>7.77</v>
      </c>
      <c r="F371" s="30" t="s">
        <v>3696</v>
      </c>
      <c r="G371" s="30">
        <v>7.74</v>
      </c>
      <c r="H371" s="30" t="s">
        <v>3697</v>
      </c>
      <c r="I371" s="30">
        <v>5.86</v>
      </c>
      <c r="J371" s="30" t="s">
        <v>3698</v>
      </c>
    </row>
    <row r="372" spans="1:10" x14ac:dyDescent="0.15">
      <c r="A372" s="28">
        <v>43210.903333333335</v>
      </c>
      <c r="B372" s="30">
        <v>806</v>
      </c>
      <c r="C372" s="30">
        <v>12.09</v>
      </c>
      <c r="D372" s="30" t="s">
        <v>3699</v>
      </c>
      <c r="E372" s="30">
        <v>9.1199999999999992</v>
      </c>
      <c r="F372" s="30" t="s">
        <v>3700</v>
      </c>
      <c r="G372" s="30">
        <v>7.69</v>
      </c>
      <c r="H372" s="30" t="s">
        <v>3701</v>
      </c>
      <c r="I372" s="30">
        <v>6.63</v>
      </c>
      <c r="J372" s="30" t="s">
        <v>3702</v>
      </c>
    </row>
    <row r="373" spans="1:10" x14ac:dyDescent="0.15">
      <c r="A373" s="28">
        <v>43210.903368055559</v>
      </c>
      <c r="B373" s="30">
        <v>790.9</v>
      </c>
      <c r="C373" s="30">
        <v>11.13</v>
      </c>
      <c r="D373" s="30" t="s">
        <v>3703</v>
      </c>
      <c r="E373" s="30">
        <v>10.06</v>
      </c>
      <c r="F373" s="30" t="s">
        <v>3704</v>
      </c>
      <c r="G373" s="30">
        <v>7.16</v>
      </c>
      <c r="H373" s="30" t="s">
        <v>3705</v>
      </c>
      <c r="I373" s="30">
        <v>8.1</v>
      </c>
      <c r="J373" s="30" t="s">
        <v>3706</v>
      </c>
    </row>
    <row r="374" spans="1:10" x14ac:dyDescent="0.15">
      <c r="A374" s="28">
        <v>43210.903402777774</v>
      </c>
      <c r="B374" s="30">
        <v>776.2</v>
      </c>
      <c r="C374" s="30">
        <v>12.77</v>
      </c>
      <c r="D374" s="30" t="s">
        <v>3707</v>
      </c>
      <c r="E374" s="30">
        <v>12.68</v>
      </c>
      <c r="F374" s="30" t="s">
        <v>3708</v>
      </c>
      <c r="G374" s="30">
        <v>8.5399999999999991</v>
      </c>
      <c r="H374" s="30" t="s">
        <v>3709</v>
      </c>
      <c r="I374" s="30">
        <v>9.5500000000000007</v>
      </c>
      <c r="J374" s="30" t="s">
        <v>3710</v>
      </c>
    </row>
    <row r="375" spans="1:10" x14ac:dyDescent="0.15">
      <c r="A375" s="28">
        <v>43210.903437499997</v>
      </c>
      <c r="B375" s="30">
        <v>762.3</v>
      </c>
      <c r="C375" s="30">
        <v>11.95</v>
      </c>
      <c r="D375" s="30" t="s">
        <v>3711</v>
      </c>
      <c r="E375" s="30">
        <v>11.62</v>
      </c>
      <c r="F375" s="30" t="s">
        <v>3712</v>
      </c>
      <c r="G375" s="30">
        <v>9.0500000000000007</v>
      </c>
      <c r="H375" s="30" t="s">
        <v>3713</v>
      </c>
      <c r="I375" s="30">
        <v>8.8800000000000008</v>
      </c>
      <c r="J375" s="30" t="s">
        <v>3714</v>
      </c>
    </row>
    <row r="376" spans="1:10" x14ac:dyDescent="0.15">
      <c r="A376" s="28">
        <v>43210.90347222222</v>
      </c>
      <c r="B376" s="30">
        <v>748.5</v>
      </c>
      <c r="C376" s="30">
        <v>9.75</v>
      </c>
      <c r="D376" s="30" t="s">
        <v>3715</v>
      </c>
      <c r="E376" s="30">
        <v>8.7100000000000009</v>
      </c>
      <c r="F376" s="30" t="s">
        <v>3716</v>
      </c>
      <c r="G376" s="30">
        <v>5.75</v>
      </c>
      <c r="H376" s="30" t="s">
        <v>3717</v>
      </c>
      <c r="I376" s="30">
        <v>7.63</v>
      </c>
      <c r="J376" s="30" t="s">
        <v>3718</v>
      </c>
    </row>
    <row r="377" spans="1:10" x14ac:dyDescent="0.15">
      <c r="A377" s="28">
        <v>43210.903506944444</v>
      </c>
      <c r="B377" s="30">
        <v>735.5</v>
      </c>
      <c r="C377" s="30">
        <v>10.130000000000001</v>
      </c>
      <c r="D377" s="30" t="s">
        <v>3719</v>
      </c>
      <c r="E377" s="30">
        <v>8.67</v>
      </c>
      <c r="F377" s="30" t="s">
        <v>3720</v>
      </c>
      <c r="G377" s="30">
        <v>5.83</v>
      </c>
      <c r="H377" s="30" t="s">
        <v>3721</v>
      </c>
      <c r="I377" s="30">
        <v>7.63</v>
      </c>
      <c r="J377" s="30" t="s">
        <v>3722</v>
      </c>
    </row>
    <row r="378" spans="1:10" x14ac:dyDescent="0.15">
      <c r="A378" s="28">
        <v>43210.903541666667</v>
      </c>
      <c r="B378" s="30">
        <v>722.4</v>
      </c>
      <c r="C378" s="30">
        <v>9.34</v>
      </c>
      <c r="D378" s="30" t="s">
        <v>3723</v>
      </c>
      <c r="E378" s="30">
        <v>7.29</v>
      </c>
      <c r="F378" s="30" t="s">
        <v>3724</v>
      </c>
      <c r="G378" s="30">
        <v>5.42</v>
      </c>
      <c r="H378" s="30" t="s">
        <v>3725</v>
      </c>
      <c r="I378" s="30">
        <v>6.19</v>
      </c>
      <c r="J378" s="30" t="s">
        <v>3726</v>
      </c>
    </row>
    <row r="379" spans="1:10" x14ac:dyDescent="0.15">
      <c r="A379" s="28">
        <v>43210.90357638889</v>
      </c>
      <c r="B379" s="30">
        <v>709.9</v>
      </c>
      <c r="C379" s="30">
        <v>10.87</v>
      </c>
      <c r="D379" s="30" t="s">
        <v>3727</v>
      </c>
      <c r="E379" s="30">
        <v>7.62</v>
      </c>
      <c r="F379" s="30" t="s">
        <v>3728</v>
      </c>
      <c r="G379" s="30">
        <v>5.58</v>
      </c>
      <c r="H379" s="30" t="s">
        <v>3729</v>
      </c>
      <c r="I379" s="30">
        <v>6.76</v>
      </c>
      <c r="J379" s="30" t="s">
        <v>3730</v>
      </c>
    </row>
    <row r="380" spans="1:10" x14ac:dyDescent="0.15">
      <c r="A380" s="28">
        <v>43210.903611111113</v>
      </c>
      <c r="B380" s="30">
        <v>697.9</v>
      </c>
      <c r="C380" s="30">
        <v>10.14</v>
      </c>
      <c r="D380" s="30" t="s">
        <v>3731</v>
      </c>
      <c r="E380" s="30">
        <v>8.3699999999999992</v>
      </c>
      <c r="F380" s="30" t="s">
        <v>3732</v>
      </c>
      <c r="G380" s="30">
        <v>6.68</v>
      </c>
      <c r="H380" s="30" t="s">
        <v>3733</v>
      </c>
      <c r="I380" s="30">
        <v>6.2</v>
      </c>
      <c r="J380" s="30" t="s">
        <v>3734</v>
      </c>
    </row>
    <row r="381" spans="1:10" x14ac:dyDescent="0.15">
      <c r="A381" s="28">
        <v>43210.903645833336</v>
      </c>
      <c r="B381" s="30">
        <v>685.8</v>
      </c>
      <c r="C381" s="30">
        <v>9.34</v>
      </c>
      <c r="D381" s="30" t="s">
        <v>3735</v>
      </c>
      <c r="E381" s="30">
        <v>8.0299999999999994</v>
      </c>
      <c r="F381" s="30" t="s">
        <v>3736</v>
      </c>
      <c r="G381" s="30">
        <v>5.76</v>
      </c>
      <c r="H381" s="30" t="s">
        <v>3737</v>
      </c>
      <c r="I381" s="30">
        <v>5.52</v>
      </c>
      <c r="J381" s="30" t="s">
        <v>3738</v>
      </c>
    </row>
    <row r="382" spans="1:10" x14ac:dyDescent="0.15">
      <c r="A382" s="28">
        <v>43210.903680555559</v>
      </c>
      <c r="B382" s="30">
        <v>674.4</v>
      </c>
      <c r="C382" s="30">
        <v>10.43</v>
      </c>
      <c r="D382" s="30" t="s">
        <v>3739</v>
      </c>
      <c r="E382" s="30">
        <v>9.7200000000000006</v>
      </c>
      <c r="F382" s="30" t="s">
        <v>3740</v>
      </c>
      <c r="G382" s="30">
        <v>7.9</v>
      </c>
      <c r="H382" s="30" t="s">
        <v>3741</v>
      </c>
      <c r="I382" s="30">
        <v>7.23</v>
      </c>
      <c r="J382" s="30" t="s">
        <v>3742</v>
      </c>
    </row>
    <row r="383" spans="1:10" x14ac:dyDescent="0.15">
      <c r="A383" s="28">
        <v>43210.903715277775</v>
      </c>
      <c r="B383" s="30">
        <v>663</v>
      </c>
      <c r="C383" s="30">
        <v>7.27</v>
      </c>
      <c r="D383" s="30" t="s">
        <v>3743</v>
      </c>
      <c r="E383" s="30">
        <v>8.89</v>
      </c>
      <c r="F383" s="30" t="s">
        <v>3744</v>
      </c>
      <c r="G383" s="30">
        <v>5</v>
      </c>
      <c r="H383" s="30" t="s">
        <v>3745</v>
      </c>
      <c r="I383" s="30">
        <v>4.41</v>
      </c>
      <c r="J383" s="30" t="s">
        <v>3746</v>
      </c>
    </row>
    <row r="384" spans="1:10" x14ac:dyDescent="0.15">
      <c r="A384" s="28">
        <v>43210.903738425928</v>
      </c>
      <c r="B384" s="30">
        <v>657.4</v>
      </c>
      <c r="C384" s="30">
        <v>7.71</v>
      </c>
      <c r="D384" s="30" t="s">
        <v>3747</v>
      </c>
      <c r="E384" s="30">
        <v>7.5</v>
      </c>
      <c r="F384" s="30" t="s">
        <v>3748</v>
      </c>
      <c r="G384" s="30">
        <v>5.3</v>
      </c>
      <c r="H384" s="30" t="s">
        <v>3749</v>
      </c>
      <c r="I384" s="30">
        <v>3.96</v>
      </c>
      <c r="J384" s="30" t="s">
        <v>3750</v>
      </c>
    </row>
    <row r="385" spans="1:10" x14ac:dyDescent="0.15">
      <c r="A385" s="28">
        <v>43210.903773148151</v>
      </c>
      <c r="B385" s="30">
        <v>646.6</v>
      </c>
      <c r="C385" s="30">
        <v>7.66</v>
      </c>
      <c r="D385" s="30" t="s">
        <v>3751</v>
      </c>
      <c r="E385" s="30">
        <v>7.09</v>
      </c>
      <c r="F385" s="30" t="s">
        <v>3752</v>
      </c>
      <c r="G385" s="30">
        <v>4.62</v>
      </c>
      <c r="H385" s="30" t="s">
        <v>3753</v>
      </c>
      <c r="I385" s="30">
        <v>3.88</v>
      </c>
      <c r="J385" s="30" t="s">
        <v>3754</v>
      </c>
    </row>
    <row r="386" spans="1:10" x14ac:dyDescent="0.15">
      <c r="A386" s="28">
        <v>43210.903807870367</v>
      </c>
      <c r="B386" s="30">
        <v>636.5</v>
      </c>
      <c r="C386" s="30">
        <v>7.51</v>
      </c>
      <c r="D386" s="30" t="s">
        <v>3755</v>
      </c>
      <c r="E386" s="30">
        <v>6.99</v>
      </c>
      <c r="F386" s="30" t="s">
        <v>3756</v>
      </c>
      <c r="G386" s="30">
        <v>5.04</v>
      </c>
      <c r="H386" s="30" t="s">
        <v>3757</v>
      </c>
      <c r="I386" s="30">
        <v>3.99</v>
      </c>
      <c r="J386" s="30" t="s">
        <v>3758</v>
      </c>
    </row>
    <row r="387" spans="1:10" x14ac:dyDescent="0.15">
      <c r="A387" s="28">
        <v>43210.90384259259</v>
      </c>
      <c r="B387" s="30">
        <v>626.6</v>
      </c>
      <c r="C387" s="30">
        <v>6.82</v>
      </c>
      <c r="D387" s="30" t="s">
        <v>3759</v>
      </c>
      <c r="E387" s="30">
        <v>8.02</v>
      </c>
      <c r="F387" s="30" t="s">
        <v>3760</v>
      </c>
      <c r="G387" s="30">
        <v>4.5</v>
      </c>
      <c r="H387" s="30" t="s">
        <v>3761</v>
      </c>
      <c r="I387" s="30">
        <v>4.4000000000000004</v>
      </c>
      <c r="J387" s="30" t="s">
        <v>3762</v>
      </c>
    </row>
    <row r="388" spans="1:10" x14ac:dyDescent="0.15">
      <c r="A388" s="28">
        <v>43210.903877314813</v>
      </c>
      <c r="B388" s="30">
        <v>616.70000000000005</v>
      </c>
      <c r="C388" s="30">
        <v>6.32</v>
      </c>
      <c r="D388" s="30" t="s">
        <v>3763</v>
      </c>
      <c r="E388" s="30">
        <v>6.65</v>
      </c>
      <c r="F388" s="30" t="s">
        <v>3764</v>
      </c>
      <c r="G388" s="30">
        <v>4.8</v>
      </c>
      <c r="H388" s="30" t="s">
        <v>3765</v>
      </c>
      <c r="I388" s="30">
        <v>3.54</v>
      </c>
      <c r="J388" s="30" t="s">
        <v>3766</v>
      </c>
    </row>
    <row r="389" spans="1:10" x14ac:dyDescent="0.15">
      <c r="A389" s="28">
        <v>43210.903912037036</v>
      </c>
      <c r="B389" s="30">
        <v>607.1</v>
      </c>
      <c r="C389" s="30">
        <v>6.19</v>
      </c>
      <c r="D389" s="30" t="s">
        <v>3767</v>
      </c>
      <c r="E389" s="30">
        <v>6.07</v>
      </c>
      <c r="F389" s="30" t="s">
        <v>3768</v>
      </c>
      <c r="G389" s="30">
        <v>5.24</v>
      </c>
      <c r="H389" s="30" t="s">
        <v>3769</v>
      </c>
      <c r="I389" s="30">
        <v>3.28</v>
      </c>
      <c r="J389" s="30" t="s">
        <v>3770</v>
      </c>
    </row>
    <row r="390" spans="1:10" x14ac:dyDescent="0.15">
      <c r="A390" s="28">
        <v>43210.903946759259</v>
      </c>
      <c r="B390" s="30">
        <v>597.79999999999995</v>
      </c>
      <c r="C390" s="30">
        <v>6.87</v>
      </c>
      <c r="D390" s="30" t="s">
        <v>3771</v>
      </c>
      <c r="E390" s="30">
        <v>5.68</v>
      </c>
      <c r="F390" s="30" t="s">
        <v>3772</v>
      </c>
      <c r="G390" s="30">
        <v>4.6500000000000004</v>
      </c>
      <c r="H390" s="30" t="s">
        <v>3773</v>
      </c>
      <c r="I390" s="30">
        <v>3.88</v>
      </c>
      <c r="J390" s="30" t="s">
        <v>3774</v>
      </c>
    </row>
    <row r="391" spans="1:10" x14ac:dyDescent="0.15">
      <c r="A391" s="28">
        <v>43210.903981481482</v>
      </c>
      <c r="B391" s="30">
        <v>589</v>
      </c>
      <c r="C391" s="30">
        <v>5.8</v>
      </c>
      <c r="D391" s="30" t="s">
        <v>3775</v>
      </c>
      <c r="E391" s="30">
        <v>4.76</v>
      </c>
      <c r="F391" s="30" t="s">
        <v>3776</v>
      </c>
      <c r="G391" s="30">
        <v>4.63</v>
      </c>
      <c r="H391" s="30" t="s">
        <v>3777</v>
      </c>
      <c r="I391" s="30">
        <v>2.9</v>
      </c>
      <c r="J391" s="30" t="s">
        <v>3778</v>
      </c>
    </row>
    <row r="392" spans="1:10" x14ac:dyDescent="0.15">
      <c r="A392" s="28">
        <v>43210.904027777775</v>
      </c>
      <c r="B392" s="30">
        <v>576.9</v>
      </c>
      <c r="C392" s="30">
        <v>6.56</v>
      </c>
      <c r="D392" s="30" t="s">
        <v>3779</v>
      </c>
      <c r="E392" s="30">
        <v>5.38</v>
      </c>
      <c r="F392" s="30" t="s">
        <v>3780</v>
      </c>
      <c r="G392" s="30">
        <v>4.25</v>
      </c>
      <c r="H392" s="30" t="s">
        <v>3781</v>
      </c>
      <c r="I392" s="30">
        <v>2.4500000000000002</v>
      </c>
      <c r="J392" s="30" t="s">
        <v>3782</v>
      </c>
    </row>
    <row r="393" spans="1:10" x14ac:dyDescent="0.15">
      <c r="A393" s="28">
        <v>43210.904062499998</v>
      </c>
      <c r="B393" s="30">
        <v>570.20000000000005</v>
      </c>
      <c r="C393" s="30">
        <v>6.47</v>
      </c>
      <c r="D393" s="30" t="s">
        <v>3783</v>
      </c>
      <c r="E393" s="30">
        <v>6.28</v>
      </c>
      <c r="F393" s="30" t="s">
        <v>3784</v>
      </c>
      <c r="G393" s="30">
        <v>3.75</v>
      </c>
      <c r="H393" s="30" t="s">
        <v>3785</v>
      </c>
      <c r="I393" s="30">
        <v>2.73</v>
      </c>
      <c r="J393" s="30" t="s">
        <v>3786</v>
      </c>
    </row>
    <row r="394" spans="1:10" x14ac:dyDescent="0.15">
      <c r="A394" s="28">
        <v>43210.904085648152</v>
      </c>
      <c r="B394" s="30">
        <v>563.70000000000005</v>
      </c>
      <c r="C394" s="30">
        <v>6.04</v>
      </c>
      <c r="D394" s="30" t="s">
        <v>3787</v>
      </c>
      <c r="E394" s="30">
        <v>5.24</v>
      </c>
      <c r="F394" s="30" t="s">
        <v>3788</v>
      </c>
      <c r="G394" s="30">
        <v>3.76</v>
      </c>
      <c r="H394" s="30" t="s">
        <v>3789</v>
      </c>
      <c r="I394" s="30">
        <v>2.83</v>
      </c>
      <c r="J394" s="30" t="s">
        <v>3790</v>
      </c>
    </row>
    <row r="395" spans="1:10" x14ac:dyDescent="0.15">
      <c r="A395" s="28">
        <v>43210.904131944444</v>
      </c>
      <c r="B395" s="30">
        <v>550.9</v>
      </c>
      <c r="C395" s="30">
        <v>5.38</v>
      </c>
      <c r="D395" s="30" t="s">
        <v>3791</v>
      </c>
      <c r="E395" s="30">
        <v>4.3600000000000003</v>
      </c>
      <c r="F395" s="30" t="s">
        <v>3792</v>
      </c>
      <c r="G395" s="30">
        <v>3.45</v>
      </c>
      <c r="H395" s="30" t="s">
        <v>3793</v>
      </c>
      <c r="I395" s="30">
        <v>2.83</v>
      </c>
      <c r="J395" s="30" t="s">
        <v>3790</v>
      </c>
    </row>
    <row r="396" spans="1:10" x14ac:dyDescent="0.15">
      <c r="A396" s="28">
        <v>43210.904143518521</v>
      </c>
      <c r="B396" s="30">
        <v>550.9</v>
      </c>
      <c r="C396" s="30">
        <v>5.38</v>
      </c>
      <c r="D396" s="30" t="s">
        <v>3791</v>
      </c>
      <c r="E396" s="30">
        <v>4.3600000000000003</v>
      </c>
      <c r="F396" s="30" t="s">
        <v>3792</v>
      </c>
      <c r="G396" s="30">
        <v>3.45</v>
      </c>
      <c r="H396" s="30" t="s">
        <v>3793</v>
      </c>
      <c r="I396" s="30">
        <v>2.39</v>
      </c>
      <c r="J396" s="30" t="s">
        <v>3794</v>
      </c>
    </row>
    <row r="397" spans="1:10" x14ac:dyDescent="0.15">
      <c r="A397" s="28">
        <v>43210.904166666667</v>
      </c>
      <c r="B397" s="30">
        <v>544.79999999999995</v>
      </c>
      <c r="C397" s="30">
        <v>5.67</v>
      </c>
      <c r="D397" s="30" t="s">
        <v>3795</v>
      </c>
      <c r="E397" s="30">
        <v>4.71</v>
      </c>
      <c r="F397" s="30" t="s">
        <v>3796</v>
      </c>
      <c r="G397" s="30">
        <v>3.49</v>
      </c>
      <c r="H397" s="30" t="s">
        <v>3797</v>
      </c>
      <c r="I397" s="30">
        <v>2.39</v>
      </c>
      <c r="J397" s="30" t="s">
        <v>3794</v>
      </c>
    </row>
    <row r="398" spans="1:10" x14ac:dyDescent="0.15">
      <c r="A398" s="28">
        <v>43210.904189814813</v>
      </c>
      <c r="B398" s="30">
        <v>538.79999999999995</v>
      </c>
      <c r="C398" s="30">
        <v>5.67</v>
      </c>
      <c r="D398" s="30" t="s">
        <v>3795</v>
      </c>
      <c r="E398" s="30">
        <v>4.71</v>
      </c>
      <c r="F398" s="30" t="s">
        <v>3796</v>
      </c>
      <c r="G398" s="30">
        <v>3.49</v>
      </c>
      <c r="H398" s="30" t="s">
        <v>3797</v>
      </c>
      <c r="I398" s="30">
        <v>2.4900000000000002</v>
      </c>
      <c r="J398" s="30" t="s">
        <v>3798</v>
      </c>
    </row>
    <row r="399" spans="1:10" x14ac:dyDescent="0.15">
      <c r="A399" s="28">
        <v>43210.90421296296</v>
      </c>
      <c r="B399" s="30">
        <v>532.9</v>
      </c>
      <c r="C399" s="30">
        <v>5.17</v>
      </c>
      <c r="D399" s="30" t="s">
        <v>3799</v>
      </c>
      <c r="E399" s="30">
        <v>4.78</v>
      </c>
      <c r="F399" s="30" t="s">
        <v>3800</v>
      </c>
      <c r="G399" s="30">
        <v>2.72</v>
      </c>
      <c r="H399" s="30" t="s">
        <v>3801</v>
      </c>
      <c r="I399" s="30">
        <v>2.4900000000000002</v>
      </c>
      <c r="J399" s="30" t="s">
        <v>3798</v>
      </c>
    </row>
    <row r="400" spans="1:10" x14ac:dyDescent="0.15">
      <c r="A400" s="28">
        <v>43210.904247685183</v>
      </c>
      <c r="B400" s="30">
        <v>527</v>
      </c>
      <c r="C400" s="30">
        <v>6.12</v>
      </c>
      <c r="D400" s="30" t="s">
        <v>3802</v>
      </c>
      <c r="E400" s="30">
        <v>6.3</v>
      </c>
      <c r="F400" s="30" t="s">
        <v>3803</v>
      </c>
      <c r="G400" s="30">
        <v>2.67</v>
      </c>
      <c r="H400" s="30" t="s">
        <v>3804</v>
      </c>
      <c r="I400" s="30">
        <v>2.74</v>
      </c>
      <c r="J400" s="30" t="s">
        <v>3805</v>
      </c>
    </row>
    <row r="401" spans="1:10" x14ac:dyDescent="0.15">
      <c r="A401" s="28">
        <v>43210.904270833336</v>
      </c>
      <c r="B401" s="30">
        <v>521.20000000000005</v>
      </c>
      <c r="C401" s="30">
        <v>5.51</v>
      </c>
      <c r="D401" s="30" t="s">
        <v>3806</v>
      </c>
      <c r="E401" s="30">
        <v>4.8</v>
      </c>
      <c r="F401" s="30" t="s">
        <v>3807</v>
      </c>
      <c r="G401" s="30">
        <v>2.67</v>
      </c>
      <c r="H401" s="30" t="s">
        <v>3808</v>
      </c>
      <c r="I401" s="30">
        <v>2.59</v>
      </c>
      <c r="J401" s="30" t="s">
        <v>3809</v>
      </c>
    </row>
    <row r="402" spans="1:10" x14ac:dyDescent="0.15">
      <c r="A402" s="28">
        <v>43210.904328703706</v>
      </c>
      <c r="B402" s="30">
        <v>510.1</v>
      </c>
      <c r="C402" s="30">
        <v>6.27</v>
      </c>
      <c r="D402" s="30" t="s">
        <v>3810</v>
      </c>
      <c r="E402" s="30">
        <v>6.17</v>
      </c>
      <c r="F402" s="30" t="s">
        <v>3811</v>
      </c>
      <c r="G402" s="30">
        <v>4.4400000000000004</v>
      </c>
      <c r="H402" s="30" t="s">
        <v>3812</v>
      </c>
      <c r="I402" s="30">
        <v>3.66</v>
      </c>
      <c r="J402" s="30" t="s">
        <v>3813</v>
      </c>
    </row>
    <row r="403" spans="1:10" x14ac:dyDescent="0.15">
      <c r="A403" s="28">
        <v>43210.904374999998</v>
      </c>
      <c r="B403" s="30">
        <v>499.2</v>
      </c>
      <c r="C403" s="30">
        <v>6.04</v>
      </c>
      <c r="D403" s="30" t="s">
        <v>3814</v>
      </c>
      <c r="E403" s="30">
        <v>5.77</v>
      </c>
      <c r="F403" s="30" t="s">
        <v>3815</v>
      </c>
      <c r="G403" s="30">
        <v>3.69</v>
      </c>
      <c r="H403" s="30" t="s">
        <v>3816</v>
      </c>
      <c r="I403" s="30">
        <v>3.17</v>
      </c>
      <c r="J403" s="30" t="s">
        <v>3817</v>
      </c>
    </row>
    <row r="404" spans="1:10" x14ac:dyDescent="0.15">
      <c r="A404" s="28">
        <v>43210.904409722221</v>
      </c>
      <c r="B404" s="30">
        <v>493.9</v>
      </c>
      <c r="C404" s="30">
        <v>5.52</v>
      </c>
      <c r="D404" s="30" t="s">
        <v>3818</v>
      </c>
      <c r="E404" s="30">
        <v>5.62</v>
      </c>
      <c r="F404" s="30" t="s">
        <v>3819</v>
      </c>
      <c r="G404" s="30">
        <v>3.17</v>
      </c>
      <c r="H404" s="30" t="s">
        <v>3820</v>
      </c>
      <c r="I404" s="30">
        <v>2.63</v>
      </c>
      <c r="J404" s="30" t="s">
        <v>3821</v>
      </c>
    </row>
    <row r="405" spans="1:10" x14ac:dyDescent="0.15">
      <c r="A405" s="28">
        <v>43210.904456018521</v>
      </c>
      <c r="B405" s="30">
        <v>483.8</v>
      </c>
      <c r="C405" s="30">
        <v>6</v>
      </c>
      <c r="D405" s="30" t="s">
        <v>3822</v>
      </c>
      <c r="E405" s="30">
        <v>6.88</v>
      </c>
      <c r="F405" s="30" t="s">
        <v>3823</v>
      </c>
      <c r="G405" s="30">
        <v>2.78</v>
      </c>
      <c r="H405" s="30" t="s">
        <v>3824</v>
      </c>
      <c r="I405" s="30">
        <v>2.99</v>
      </c>
      <c r="J405" s="30" t="s">
        <v>3825</v>
      </c>
    </row>
    <row r="406" spans="1:10" x14ac:dyDescent="0.15">
      <c r="A406" s="28">
        <v>43210.904490740744</v>
      </c>
      <c r="B406" s="30">
        <v>478.7</v>
      </c>
      <c r="C406" s="30">
        <v>5.42</v>
      </c>
      <c r="D406" s="30" t="s">
        <v>3826</v>
      </c>
      <c r="E406" s="30">
        <v>6.08</v>
      </c>
      <c r="F406" s="30" t="s">
        <v>3827</v>
      </c>
      <c r="G406" s="30">
        <v>2.4900000000000002</v>
      </c>
      <c r="H406" s="30" t="s">
        <v>3828</v>
      </c>
      <c r="I406" s="30">
        <v>2.5099999999999998</v>
      </c>
      <c r="J406" s="30" t="s">
        <v>3829</v>
      </c>
    </row>
    <row r="407" spans="1:10" x14ac:dyDescent="0.15">
      <c r="A407" s="28">
        <v>43210.904537037037</v>
      </c>
      <c r="B407" s="30">
        <v>469</v>
      </c>
      <c r="C407" s="30">
        <v>5.62</v>
      </c>
      <c r="D407" s="30" t="s">
        <v>3830</v>
      </c>
      <c r="E407" s="30">
        <v>6.34</v>
      </c>
      <c r="F407" s="30" t="s">
        <v>3831</v>
      </c>
      <c r="G407" s="30">
        <v>2.4</v>
      </c>
      <c r="H407" s="30" t="s">
        <v>3832</v>
      </c>
      <c r="I407" s="30">
        <v>3.13</v>
      </c>
      <c r="J407" s="30" t="s">
        <v>3833</v>
      </c>
    </row>
    <row r="408" spans="1:10" x14ac:dyDescent="0.15">
      <c r="A408" s="28">
        <v>43210.90457175926</v>
      </c>
      <c r="B408" s="30">
        <v>464.3</v>
      </c>
      <c r="C408" s="30">
        <v>5.25</v>
      </c>
      <c r="D408" s="30" t="s">
        <v>3834</v>
      </c>
      <c r="E408" s="30">
        <v>7.1</v>
      </c>
      <c r="F408" s="30" t="s">
        <v>3835</v>
      </c>
      <c r="G408" s="30">
        <v>2.38</v>
      </c>
      <c r="H408" s="30" t="s">
        <v>3836</v>
      </c>
      <c r="I408" s="30">
        <v>3.33</v>
      </c>
      <c r="J408" s="30" t="s">
        <v>3837</v>
      </c>
    </row>
    <row r="409" spans="1:10" x14ac:dyDescent="0.15">
      <c r="A409" s="28">
        <v>43210.904606481483</v>
      </c>
      <c r="B409" s="30">
        <v>457.5</v>
      </c>
      <c r="C409" s="30">
        <v>5.38</v>
      </c>
      <c r="D409" s="30" t="s">
        <v>3838</v>
      </c>
      <c r="E409" s="30">
        <v>7.73</v>
      </c>
      <c r="F409" s="30" t="s">
        <v>3839</v>
      </c>
      <c r="G409" s="30">
        <v>2.15</v>
      </c>
      <c r="H409" s="30" t="s">
        <v>3840</v>
      </c>
      <c r="I409" s="30">
        <v>4.17</v>
      </c>
      <c r="J409" s="30" t="s">
        <v>3841</v>
      </c>
    </row>
    <row r="410" spans="1:10" x14ac:dyDescent="0.15">
      <c r="A410" s="28">
        <v>43210.904641203706</v>
      </c>
      <c r="B410" s="30">
        <v>452.1</v>
      </c>
      <c r="C410" s="30">
        <v>6.11</v>
      </c>
      <c r="D410" s="30" t="s">
        <v>3842</v>
      </c>
      <c r="E410" s="30">
        <v>10.25</v>
      </c>
      <c r="F410" s="30" t="s">
        <v>3843</v>
      </c>
      <c r="G410" s="30">
        <v>2.69</v>
      </c>
      <c r="H410" s="30" t="s">
        <v>3844</v>
      </c>
      <c r="I410" s="30">
        <v>6.06</v>
      </c>
      <c r="J410" s="30" t="s">
        <v>3845</v>
      </c>
    </row>
    <row r="411" spans="1:10" x14ac:dyDescent="0.15">
      <c r="A411" s="28">
        <v>43210.904675925929</v>
      </c>
      <c r="B411" s="30">
        <v>446.7</v>
      </c>
      <c r="C411" s="30">
        <v>5.31</v>
      </c>
      <c r="D411" s="30" t="s">
        <v>3846</v>
      </c>
      <c r="E411" s="30">
        <v>10.9</v>
      </c>
      <c r="F411" s="30" t="s">
        <v>3847</v>
      </c>
      <c r="G411" s="30">
        <v>2.76</v>
      </c>
      <c r="H411" s="30" t="s">
        <v>3848</v>
      </c>
      <c r="I411" s="30">
        <v>7.85</v>
      </c>
      <c r="J411" s="30" t="s">
        <v>3849</v>
      </c>
    </row>
    <row r="412" spans="1:10" x14ac:dyDescent="0.15">
      <c r="A412" s="28">
        <v>43210.904710648145</v>
      </c>
      <c r="B412" s="30">
        <v>441.3</v>
      </c>
      <c r="C412" s="30">
        <v>5.0199999999999996</v>
      </c>
      <c r="D412" s="30" t="s">
        <v>3850</v>
      </c>
      <c r="E412" s="30">
        <v>5.19</v>
      </c>
      <c r="F412" s="30" t="s">
        <v>3851</v>
      </c>
      <c r="G412" s="30">
        <v>2.66</v>
      </c>
      <c r="H412" s="30" t="s">
        <v>3852</v>
      </c>
      <c r="I412" s="30">
        <v>3.96</v>
      </c>
      <c r="J412" s="30" t="s">
        <v>3853</v>
      </c>
    </row>
    <row r="413" spans="1:10" x14ac:dyDescent="0.15">
      <c r="A413" s="28">
        <v>43210.904745370368</v>
      </c>
      <c r="B413" s="30">
        <v>435.8</v>
      </c>
      <c r="C413" s="30">
        <v>5.29</v>
      </c>
      <c r="D413" s="30" t="s">
        <v>3854</v>
      </c>
      <c r="E413" s="30">
        <v>4.6100000000000003</v>
      </c>
      <c r="F413" s="30" t="s">
        <v>3855</v>
      </c>
      <c r="G413" s="30">
        <v>1.67</v>
      </c>
      <c r="H413" s="30" t="s">
        <v>3856</v>
      </c>
      <c r="I413" s="30">
        <v>2.81</v>
      </c>
      <c r="J413" s="30" t="s">
        <v>3857</v>
      </c>
    </row>
    <row r="414" spans="1:10" x14ac:dyDescent="0.15">
      <c r="A414" s="28">
        <v>43210.904768518521</v>
      </c>
      <c r="B414" s="30">
        <v>431</v>
      </c>
      <c r="C414" s="30">
        <v>5.77</v>
      </c>
      <c r="D414" s="30" t="s">
        <v>3858</v>
      </c>
      <c r="E414" s="30">
        <v>6</v>
      </c>
      <c r="F414" s="30" t="s">
        <v>3859</v>
      </c>
      <c r="G414" s="30">
        <v>1.58</v>
      </c>
      <c r="H414" s="30" t="s">
        <v>3860</v>
      </c>
      <c r="I414" s="30">
        <v>2.75</v>
      </c>
      <c r="J414" s="30" t="s">
        <v>3861</v>
      </c>
    </row>
    <row r="415" spans="1:10" x14ac:dyDescent="0.15">
      <c r="A415" s="28">
        <v>43210.904803240737</v>
      </c>
      <c r="B415" s="30">
        <v>425.7</v>
      </c>
      <c r="C415" s="30">
        <v>4.8899999999999997</v>
      </c>
      <c r="D415" s="30" t="s">
        <v>3862</v>
      </c>
      <c r="E415" s="30">
        <v>4.3499999999999996</v>
      </c>
      <c r="F415" s="30" t="s">
        <v>3863</v>
      </c>
      <c r="G415" s="30">
        <v>1.72</v>
      </c>
      <c r="H415" s="30" t="s">
        <v>3864</v>
      </c>
      <c r="I415" s="30">
        <v>2.52</v>
      </c>
      <c r="J415" s="30" t="s">
        <v>3865</v>
      </c>
    </row>
    <row r="416" spans="1:10" x14ac:dyDescent="0.15">
      <c r="A416" s="28">
        <v>43210.90483796296</v>
      </c>
      <c r="B416" s="30">
        <v>420.8</v>
      </c>
      <c r="C416" s="30">
        <v>5.47</v>
      </c>
      <c r="D416" s="30" t="s">
        <v>3866</v>
      </c>
      <c r="E416" s="30">
        <v>4.3099999999999996</v>
      </c>
      <c r="F416" s="30" t="s">
        <v>3867</v>
      </c>
      <c r="G416" s="30">
        <v>1.9</v>
      </c>
      <c r="H416" s="30" t="s">
        <v>3868</v>
      </c>
      <c r="I416" s="30">
        <v>2.29</v>
      </c>
      <c r="J416" s="30" t="s">
        <v>3869</v>
      </c>
    </row>
    <row r="417" spans="1:10" x14ac:dyDescent="0.15">
      <c r="A417" s="28">
        <v>43210.904872685183</v>
      </c>
      <c r="B417" s="30">
        <v>415.8</v>
      </c>
      <c r="C417" s="30">
        <v>5.88</v>
      </c>
      <c r="D417" s="30" t="s">
        <v>3870</v>
      </c>
      <c r="E417" s="30">
        <v>4.5999999999999996</v>
      </c>
      <c r="F417" s="30" t="s">
        <v>3871</v>
      </c>
      <c r="G417" s="30">
        <v>2.31</v>
      </c>
      <c r="H417" s="30" t="s">
        <v>3872</v>
      </c>
      <c r="I417" s="30">
        <v>2.35</v>
      </c>
      <c r="J417" s="30" t="s">
        <v>3873</v>
      </c>
    </row>
    <row r="418" spans="1:10" x14ac:dyDescent="0.15">
      <c r="A418" s="28">
        <v>43210.904907407406</v>
      </c>
      <c r="B418" s="30">
        <v>411.2</v>
      </c>
      <c r="C418" s="30">
        <v>7.87</v>
      </c>
      <c r="D418" s="30" t="s">
        <v>3874</v>
      </c>
      <c r="E418" s="30">
        <v>6.39</v>
      </c>
      <c r="F418" s="30" t="s">
        <v>3875</v>
      </c>
      <c r="G418" s="30">
        <v>2.94</v>
      </c>
      <c r="H418" s="30" t="s">
        <v>3876</v>
      </c>
      <c r="I418" s="30">
        <v>2.6</v>
      </c>
      <c r="J418" s="30" t="s">
        <v>3877</v>
      </c>
    </row>
    <row r="419" spans="1:10" x14ac:dyDescent="0.15">
      <c r="A419" s="28">
        <v>43210.904942129629</v>
      </c>
      <c r="B419" s="30">
        <v>406.3</v>
      </c>
      <c r="C419" s="30">
        <v>6.05</v>
      </c>
      <c r="D419" s="30" t="s">
        <v>3878</v>
      </c>
      <c r="E419" s="30">
        <v>4.95</v>
      </c>
      <c r="F419" s="30" t="s">
        <v>3879</v>
      </c>
      <c r="G419" s="30">
        <v>2.58</v>
      </c>
      <c r="H419" s="30" t="s">
        <v>3880</v>
      </c>
      <c r="I419" s="30">
        <v>2.0499999999999998</v>
      </c>
      <c r="J419" s="30" t="s">
        <v>3881</v>
      </c>
    </row>
    <row r="420" spans="1:10" x14ac:dyDescent="0.15">
      <c r="A420" s="28">
        <v>43210.904999999999</v>
      </c>
      <c r="B420" s="30">
        <v>397.3</v>
      </c>
      <c r="C420" s="30">
        <v>5.45</v>
      </c>
      <c r="D420" s="30" t="s">
        <v>3882</v>
      </c>
      <c r="E420" s="30">
        <v>5.49</v>
      </c>
      <c r="F420" s="30" t="s">
        <v>3883</v>
      </c>
      <c r="G420" s="30">
        <v>1.98</v>
      </c>
      <c r="H420" s="30" t="s">
        <v>3884</v>
      </c>
      <c r="I420" s="30">
        <v>2.19</v>
      </c>
      <c r="J420" s="30" t="s">
        <v>3885</v>
      </c>
    </row>
    <row r="421" spans="1:10" x14ac:dyDescent="0.15">
      <c r="A421" s="28">
        <v>43210.905034722222</v>
      </c>
      <c r="B421" s="30">
        <v>392.7</v>
      </c>
      <c r="C421" s="30">
        <v>5.2</v>
      </c>
      <c r="D421" s="30" t="s">
        <v>3886</v>
      </c>
      <c r="E421" s="30">
        <v>5.32</v>
      </c>
      <c r="F421" s="30" t="s">
        <v>3887</v>
      </c>
      <c r="G421" s="30">
        <v>1.75</v>
      </c>
      <c r="H421" s="30" t="s">
        <v>3888</v>
      </c>
      <c r="I421" s="30">
        <v>2.2999999999999998</v>
      </c>
      <c r="J421" s="30" t="s">
        <v>3889</v>
      </c>
    </row>
    <row r="422" spans="1:10" x14ac:dyDescent="0.15">
      <c r="A422" s="28">
        <v>43210.905069444445</v>
      </c>
      <c r="B422" s="30">
        <v>388.5</v>
      </c>
      <c r="C422" s="30">
        <v>6.9</v>
      </c>
      <c r="D422" s="30" t="s">
        <v>3890</v>
      </c>
      <c r="E422" s="30">
        <v>6.86</v>
      </c>
      <c r="F422" s="30" t="s">
        <v>3891</v>
      </c>
      <c r="G422" s="30">
        <v>2.1</v>
      </c>
      <c r="H422" s="30" t="s">
        <v>3892</v>
      </c>
      <c r="I422" s="30">
        <v>2.4700000000000002</v>
      </c>
      <c r="J422" s="30" t="s">
        <v>3893</v>
      </c>
    </row>
    <row r="423" spans="1:10" x14ac:dyDescent="0.15">
      <c r="A423" s="28">
        <v>43210.905104166668</v>
      </c>
      <c r="B423" s="30">
        <v>384</v>
      </c>
      <c r="C423" s="30">
        <v>5.42</v>
      </c>
      <c r="D423" s="30" t="s">
        <v>3894</v>
      </c>
      <c r="E423" s="30">
        <v>5.32</v>
      </c>
      <c r="F423" s="30" t="s">
        <v>3895</v>
      </c>
      <c r="G423" s="30">
        <v>2.19</v>
      </c>
      <c r="H423" s="30" t="s">
        <v>3896</v>
      </c>
      <c r="I423" s="30">
        <v>2.12</v>
      </c>
      <c r="J423" s="30" t="s">
        <v>3897</v>
      </c>
    </row>
    <row r="424" spans="1:10" x14ac:dyDescent="0.15">
      <c r="A424" s="28">
        <v>43210.905138888891</v>
      </c>
      <c r="B424" s="30">
        <v>379.6</v>
      </c>
      <c r="C424" s="30">
        <v>5.6</v>
      </c>
      <c r="D424" s="30" t="s">
        <v>3898</v>
      </c>
      <c r="E424" s="30">
        <v>5.36</v>
      </c>
      <c r="F424" s="30" t="s">
        <v>3899</v>
      </c>
      <c r="G424" s="30">
        <v>2.0699999999999998</v>
      </c>
      <c r="H424" s="30" t="s">
        <v>3900</v>
      </c>
      <c r="I424" s="30">
        <v>2.25</v>
      </c>
      <c r="J424" s="30" t="s">
        <v>3901</v>
      </c>
    </row>
    <row r="425" spans="1:10" x14ac:dyDescent="0.15">
      <c r="A425" s="28">
        <v>43210.905173611114</v>
      </c>
      <c r="B425" s="30">
        <v>375.5</v>
      </c>
      <c r="C425" s="30">
        <v>5.6</v>
      </c>
      <c r="D425" s="30" t="s">
        <v>3898</v>
      </c>
      <c r="E425" s="30">
        <v>6.52</v>
      </c>
      <c r="F425" s="30" t="s">
        <v>3902</v>
      </c>
      <c r="G425" s="30">
        <v>2.06</v>
      </c>
      <c r="H425" s="30" t="s">
        <v>3903</v>
      </c>
      <c r="I425" s="30">
        <v>2.57</v>
      </c>
      <c r="J425" s="30" t="s">
        <v>3904</v>
      </c>
    </row>
    <row r="426" spans="1:10" x14ac:dyDescent="0.15">
      <c r="A426" s="28">
        <v>43210.90519675926</v>
      </c>
      <c r="B426" s="30">
        <v>371.4</v>
      </c>
      <c r="C426" s="30">
        <v>5.33</v>
      </c>
      <c r="D426" s="30" t="s">
        <v>3905</v>
      </c>
      <c r="E426" s="30">
        <v>6.52</v>
      </c>
      <c r="F426" s="30" t="s">
        <v>3902</v>
      </c>
      <c r="G426" s="30">
        <v>2.06</v>
      </c>
      <c r="H426" s="30" t="s">
        <v>3903</v>
      </c>
      <c r="I426" s="30">
        <v>2.57</v>
      </c>
      <c r="J426" s="30" t="s">
        <v>3904</v>
      </c>
    </row>
    <row r="427" spans="1:10" x14ac:dyDescent="0.15">
      <c r="A427" s="28">
        <v>43210.90525462963</v>
      </c>
      <c r="B427" s="30">
        <v>365.8</v>
      </c>
      <c r="C427" s="30">
        <v>5.92</v>
      </c>
      <c r="D427" s="30" t="s">
        <v>3906</v>
      </c>
      <c r="E427" s="30">
        <v>6.06</v>
      </c>
      <c r="F427" s="30" t="s">
        <v>3907</v>
      </c>
      <c r="G427" s="30">
        <v>2.0299999999999998</v>
      </c>
      <c r="H427" s="30" t="s">
        <v>3908</v>
      </c>
      <c r="I427" s="30">
        <v>2.73</v>
      </c>
      <c r="J427" s="30" t="s">
        <v>3909</v>
      </c>
    </row>
    <row r="428" spans="1:10" x14ac:dyDescent="0.15">
      <c r="A428" s="28">
        <v>43210.905289351853</v>
      </c>
      <c r="B428" s="30">
        <v>361.1</v>
      </c>
      <c r="C428" s="30">
        <v>6.91</v>
      </c>
      <c r="D428" s="30" t="s">
        <v>3910</v>
      </c>
      <c r="E428" s="30">
        <v>6.92</v>
      </c>
      <c r="F428" s="30" t="s">
        <v>3911</v>
      </c>
      <c r="G428" s="30">
        <v>2.39</v>
      </c>
      <c r="H428" s="30" t="s">
        <v>3912</v>
      </c>
      <c r="I428" s="30">
        <v>2.88</v>
      </c>
      <c r="J428" s="30" t="s">
        <v>3913</v>
      </c>
    </row>
    <row r="429" spans="1:10" x14ac:dyDescent="0.15">
      <c r="A429" s="28">
        <v>43210.905324074076</v>
      </c>
      <c r="B429" s="30">
        <v>356.5</v>
      </c>
      <c r="C429" s="30">
        <v>6.12</v>
      </c>
      <c r="D429" s="30" t="s">
        <v>3914</v>
      </c>
      <c r="E429" s="30">
        <v>6.33</v>
      </c>
      <c r="F429" s="30" t="s">
        <v>3915</v>
      </c>
      <c r="G429" s="30">
        <v>2.41</v>
      </c>
      <c r="H429" s="30" t="s">
        <v>3916</v>
      </c>
      <c r="I429" s="30">
        <v>2.5499999999999998</v>
      </c>
      <c r="J429" s="30" t="s">
        <v>3917</v>
      </c>
    </row>
    <row r="430" spans="1:10" x14ac:dyDescent="0.15">
      <c r="A430" s="28">
        <v>43210.905370370368</v>
      </c>
      <c r="B430" s="30">
        <v>351.8</v>
      </c>
      <c r="C430" s="30">
        <v>7.56</v>
      </c>
      <c r="D430" s="30" t="s">
        <v>3918</v>
      </c>
      <c r="E430" s="30">
        <v>7.4</v>
      </c>
      <c r="F430" s="30" t="s">
        <v>3919</v>
      </c>
      <c r="G430" s="30">
        <v>2.25</v>
      </c>
      <c r="H430" s="30" t="s">
        <v>3920</v>
      </c>
      <c r="I430" s="30">
        <v>2.7</v>
      </c>
      <c r="J430" s="30" t="s">
        <v>3921</v>
      </c>
    </row>
    <row r="431" spans="1:10" x14ac:dyDescent="0.15">
      <c r="A431" s="28">
        <v>43210.905405092592</v>
      </c>
      <c r="B431" s="30">
        <v>347.1</v>
      </c>
      <c r="C431" s="30">
        <v>5.95</v>
      </c>
      <c r="D431" s="30" t="s">
        <v>3922</v>
      </c>
      <c r="E431" s="30">
        <v>5.42</v>
      </c>
      <c r="F431" s="30" t="s">
        <v>3923</v>
      </c>
      <c r="G431" s="30">
        <v>2.56</v>
      </c>
      <c r="H431" s="30" t="s">
        <v>3924</v>
      </c>
      <c r="I431" s="30">
        <v>2.52</v>
      </c>
      <c r="J431" s="30" t="s">
        <v>3925</v>
      </c>
    </row>
    <row r="432" spans="1:10" x14ac:dyDescent="0.15">
      <c r="A432" s="28">
        <v>43210.905451388891</v>
      </c>
      <c r="B432" s="30">
        <v>342.8</v>
      </c>
      <c r="C432" s="30">
        <v>7.55</v>
      </c>
      <c r="D432" s="30" t="s">
        <v>3926</v>
      </c>
      <c r="E432" s="30">
        <v>6.05</v>
      </c>
      <c r="F432" s="30" t="s">
        <v>3927</v>
      </c>
      <c r="G432" s="30">
        <v>3.91</v>
      </c>
      <c r="H432" s="30" t="s">
        <v>3928</v>
      </c>
      <c r="I432" s="30">
        <v>3.12</v>
      </c>
      <c r="J432" s="30" t="s">
        <v>3929</v>
      </c>
    </row>
    <row r="433" spans="1:10" x14ac:dyDescent="0.15">
      <c r="A433" s="28">
        <v>43210.905486111114</v>
      </c>
      <c r="B433" s="30">
        <v>338.3</v>
      </c>
      <c r="C433" s="30">
        <v>8.49</v>
      </c>
      <c r="D433" s="30" t="s">
        <v>3930</v>
      </c>
      <c r="E433" s="30">
        <v>6.85</v>
      </c>
      <c r="F433" s="30" t="s">
        <v>3907</v>
      </c>
      <c r="G433" s="30">
        <v>4.67</v>
      </c>
      <c r="H433" s="30" t="s">
        <v>3931</v>
      </c>
      <c r="I433" s="30">
        <v>3.73</v>
      </c>
      <c r="J433" s="30" t="s">
        <v>3932</v>
      </c>
    </row>
    <row r="434" spans="1:10" x14ac:dyDescent="0.15">
      <c r="A434" s="28">
        <v>43210.905532407407</v>
      </c>
      <c r="B434" s="30">
        <v>334</v>
      </c>
      <c r="C434" s="30">
        <v>9.1</v>
      </c>
      <c r="D434" s="30" t="s">
        <v>3933</v>
      </c>
      <c r="E434" s="30">
        <v>8.69</v>
      </c>
      <c r="F434" s="30" t="s">
        <v>3934</v>
      </c>
      <c r="G434" s="30">
        <v>5.04</v>
      </c>
      <c r="H434" s="30" t="s">
        <v>3935</v>
      </c>
      <c r="I434" s="30">
        <v>4.91</v>
      </c>
      <c r="J434" s="30" t="s">
        <v>3936</v>
      </c>
    </row>
    <row r="435" spans="1:10" x14ac:dyDescent="0.15">
      <c r="A435" s="28">
        <v>43210.90556712963</v>
      </c>
      <c r="B435" s="30">
        <v>329.8</v>
      </c>
      <c r="C435" s="30">
        <v>9.36</v>
      </c>
      <c r="D435" s="30" t="s">
        <v>3937</v>
      </c>
      <c r="E435" s="30">
        <v>11.51</v>
      </c>
      <c r="F435" s="30" t="s">
        <v>3938</v>
      </c>
      <c r="G435" s="30">
        <v>4.01</v>
      </c>
      <c r="H435" s="30" t="s">
        <v>3939</v>
      </c>
      <c r="I435" s="30">
        <v>6.27</v>
      </c>
      <c r="J435" s="30" t="s">
        <v>3940</v>
      </c>
    </row>
    <row r="436" spans="1:10" x14ac:dyDescent="0.15">
      <c r="A436" s="28">
        <v>43210.905613425923</v>
      </c>
      <c r="B436" s="30">
        <v>325.60000000000002</v>
      </c>
      <c r="C436" s="30">
        <v>9.11</v>
      </c>
      <c r="D436" s="30" t="s">
        <v>3941</v>
      </c>
      <c r="E436" s="30">
        <v>8.5</v>
      </c>
      <c r="F436" s="30" t="s">
        <v>3942</v>
      </c>
      <c r="G436" s="30">
        <v>2.89</v>
      </c>
      <c r="H436" s="30" t="s">
        <v>3943</v>
      </c>
      <c r="I436" s="30">
        <v>4.0599999999999996</v>
      </c>
      <c r="J436" s="30" t="s">
        <v>3944</v>
      </c>
    </row>
    <row r="437" spans="1:10" x14ac:dyDescent="0.15">
      <c r="A437" s="28">
        <v>43210.905648148146</v>
      </c>
      <c r="B437" s="30">
        <v>321.39999999999998</v>
      </c>
      <c r="C437" s="30">
        <v>7.11</v>
      </c>
      <c r="D437" s="30" t="s">
        <v>3945</v>
      </c>
      <c r="E437" s="30">
        <v>6.49</v>
      </c>
      <c r="F437" s="30" t="s">
        <v>3946</v>
      </c>
      <c r="G437" s="30">
        <v>2.16</v>
      </c>
      <c r="H437" s="30" t="s">
        <v>3947</v>
      </c>
      <c r="I437" s="30">
        <v>2.4500000000000002</v>
      </c>
      <c r="J437" s="30" t="s">
        <v>3948</v>
      </c>
    </row>
    <row r="438" spans="1:10" x14ac:dyDescent="0.15">
      <c r="A438" s="28">
        <v>43210.905694444446</v>
      </c>
      <c r="B438" s="30">
        <v>317.5</v>
      </c>
      <c r="C438" s="30">
        <v>6.09</v>
      </c>
      <c r="D438" s="30" t="s">
        <v>3949</v>
      </c>
      <c r="E438" s="30">
        <v>5.72</v>
      </c>
      <c r="F438" s="30" t="s">
        <v>3950</v>
      </c>
      <c r="G438" s="30">
        <v>1.68</v>
      </c>
      <c r="H438" s="30" t="s">
        <v>3951</v>
      </c>
      <c r="I438" s="30">
        <v>2.36</v>
      </c>
      <c r="J438" s="30" t="s">
        <v>3952</v>
      </c>
    </row>
    <row r="439" spans="1:10" x14ac:dyDescent="0.15">
      <c r="A439" s="28">
        <v>43210.905729166669</v>
      </c>
      <c r="B439" s="30">
        <v>313.5</v>
      </c>
      <c r="C439" s="30">
        <v>6.68</v>
      </c>
      <c r="D439" s="30" t="s">
        <v>3953</v>
      </c>
      <c r="E439" s="30">
        <v>6.31</v>
      </c>
      <c r="F439" s="30" t="s">
        <v>3954</v>
      </c>
      <c r="G439" s="30">
        <v>1.58</v>
      </c>
      <c r="H439" s="30" t="s">
        <v>3955</v>
      </c>
      <c r="I439" s="30">
        <v>2.38</v>
      </c>
      <c r="J439" s="30" t="s">
        <v>3956</v>
      </c>
    </row>
    <row r="440" spans="1:10" x14ac:dyDescent="0.15">
      <c r="A440" s="28">
        <v>43210.905775462961</v>
      </c>
      <c r="B440" s="30">
        <v>309.7</v>
      </c>
      <c r="C440" s="30">
        <v>7.15</v>
      </c>
      <c r="D440" s="30" t="s">
        <v>3957</v>
      </c>
      <c r="E440" s="30">
        <v>6.61</v>
      </c>
      <c r="F440" s="30" t="s">
        <v>3958</v>
      </c>
      <c r="G440" s="30">
        <v>1.56</v>
      </c>
      <c r="H440" s="30" t="s">
        <v>3959</v>
      </c>
      <c r="I440" s="30">
        <v>2.42</v>
      </c>
      <c r="J440" s="30" t="s">
        <v>3960</v>
      </c>
    </row>
    <row r="441" spans="1:10" x14ac:dyDescent="0.15">
      <c r="A441" s="28">
        <v>43210.905810185184</v>
      </c>
      <c r="B441" s="30">
        <v>305.8</v>
      </c>
      <c r="C441" s="30">
        <v>6.71</v>
      </c>
      <c r="D441" s="30" t="s">
        <v>3961</v>
      </c>
      <c r="E441" s="30">
        <v>6.55</v>
      </c>
      <c r="F441" s="30" t="s">
        <v>3962</v>
      </c>
      <c r="G441" s="30">
        <v>1.47</v>
      </c>
      <c r="H441" s="30" t="s">
        <v>3963</v>
      </c>
      <c r="I441" s="30">
        <v>2.2799999999999998</v>
      </c>
      <c r="J441" s="30" t="s">
        <v>3964</v>
      </c>
    </row>
    <row r="442" spans="1:10" x14ac:dyDescent="0.15">
      <c r="A442" s="28">
        <v>43210.905844907407</v>
      </c>
      <c r="B442" s="30">
        <v>302</v>
      </c>
      <c r="C442" s="30">
        <v>6.25</v>
      </c>
      <c r="D442" s="30" t="s">
        <v>3965</v>
      </c>
      <c r="E442" s="30">
        <v>6.37</v>
      </c>
      <c r="F442" s="30" t="s">
        <v>3966</v>
      </c>
      <c r="G442" s="30">
        <v>1.47</v>
      </c>
      <c r="H442" s="30" t="s">
        <v>3963</v>
      </c>
      <c r="I442" s="30">
        <v>2.2799999999999998</v>
      </c>
      <c r="J442" s="30" t="s">
        <v>3964</v>
      </c>
    </row>
    <row r="443" spans="1:10" x14ac:dyDescent="0.15">
      <c r="A443" s="28">
        <v>43210.905856481484</v>
      </c>
      <c r="B443" s="30">
        <v>302</v>
      </c>
      <c r="C443" s="30">
        <v>6.25</v>
      </c>
      <c r="D443" s="30" t="s">
        <v>3965</v>
      </c>
      <c r="E443" s="30">
        <v>6.37</v>
      </c>
      <c r="F443" s="30" t="s">
        <v>3966</v>
      </c>
      <c r="G443" s="30">
        <v>1.48</v>
      </c>
      <c r="H443" s="30" t="s">
        <v>3967</v>
      </c>
      <c r="I443" s="30">
        <v>2.0299999999999998</v>
      </c>
      <c r="J443" s="30" t="s">
        <v>3964</v>
      </c>
    </row>
    <row r="444" spans="1:10" x14ac:dyDescent="0.15">
      <c r="A444" s="28">
        <v>43210.905891203707</v>
      </c>
      <c r="B444" s="30">
        <v>298.39999999999998</v>
      </c>
      <c r="C444" s="30">
        <v>8.09</v>
      </c>
      <c r="D444" s="30" t="s">
        <v>3968</v>
      </c>
      <c r="E444" s="30">
        <v>7.11</v>
      </c>
      <c r="F444" s="30" t="s">
        <v>3969</v>
      </c>
      <c r="G444" s="30">
        <v>1.65</v>
      </c>
      <c r="H444" s="30" t="s">
        <v>3970</v>
      </c>
      <c r="I444" s="30">
        <v>2.08</v>
      </c>
      <c r="J444" s="30" t="s">
        <v>3971</v>
      </c>
    </row>
    <row r="445" spans="1:10" x14ac:dyDescent="0.15">
      <c r="A445" s="28">
        <v>43210.905925925923</v>
      </c>
      <c r="B445" s="30">
        <v>294.7</v>
      </c>
      <c r="C445" s="30">
        <v>8.59</v>
      </c>
      <c r="D445" s="30" t="s">
        <v>3972</v>
      </c>
      <c r="E445" s="30">
        <v>8.33</v>
      </c>
      <c r="F445" s="30" t="s">
        <v>3973</v>
      </c>
      <c r="G445" s="30">
        <v>1.56</v>
      </c>
      <c r="H445" s="30" t="s">
        <v>3974</v>
      </c>
      <c r="I445" s="30">
        <v>2.66</v>
      </c>
      <c r="J445" s="30" t="s">
        <v>3975</v>
      </c>
    </row>
    <row r="446" spans="1:10" x14ac:dyDescent="0.15">
      <c r="A446" s="28">
        <v>43210.905972222223</v>
      </c>
      <c r="B446" s="30">
        <v>291.10000000000002</v>
      </c>
      <c r="C446" s="30">
        <v>8.08</v>
      </c>
      <c r="D446" s="30" t="s">
        <v>3976</v>
      </c>
      <c r="E446" s="30">
        <v>8.1300000000000008</v>
      </c>
      <c r="F446" s="30" t="s">
        <v>3977</v>
      </c>
      <c r="G446" s="30">
        <v>1.48</v>
      </c>
      <c r="H446" s="30" t="s">
        <v>3978</v>
      </c>
      <c r="I446" s="30">
        <v>2.7</v>
      </c>
      <c r="J446" s="30" t="s">
        <v>3979</v>
      </c>
    </row>
    <row r="447" spans="1:10" x14ac:dyDescent="0.15">
      <c r="A447" s="28">
        <v>43210.906006944446</v>
      </c>
      <c r="B447" s="30">
        <v>287.60000000000002</v>
      </c>
      <c r="C447" s="30">
        <v>7.67</v>
      </c>
      <c r="D447" s="30" t="s">
        <v>3980</v>
      </c>
      <c r="E447" s="30">
        <v>7.09</v>
      </c>
      <c r="F447" s="30" t="s">
        <v>3981</v>
      </c>
      <c r="G447" s="30">
        <v>1.57</v>
      </c>
      <c r="H447" s="30" t="s">
        <v>3982</v>
      </c>
      <c r="I447" s="30">
        <v>2.41</v>
      </c>
      <c r="J447" s="30" t="s">
        <v>3983</v>
      </c>
    </row>
    <row r="448" spans="1:10" x14ac:dyDescent="0.15">
      <c r="A448" s="28">
        <v>43210.906053240738</v>
      </c>
      <c r="B448" s="30">
        <v>284</v>
      </c>
      <c r="C448" s="30">
        <v>7.73</v>
      </c>
      <c r="D448" s="30" t="s">
        <v>3984</v>
      </c>
      <c r="E448" s="30">
        <v>6.89</v>
      </c>
      <c r="F448" s="30" t="s">
        <v>3985</v>
      </c>
      <c r="G448" s="30">
        <v>1.58</v>
      </c>
      <c r="H448" s="30" t="s">
        <v>3986</v>
      </c>
      <c r="I448" s="30">
        <v>2.65</v>
      </c>
      <c r="J448" s="30" t="s">
        <v>3987</v>
      </c>
    </row>
    <row r="449" spans="1:10" x14ac:dyDescent="0.15">
      <c r="A449" s="28">
        <v>43210.906087962961</v>
      </c>
      <c r="B449" s="30">
        <v>280.7</v>
      </c>
      <c r="C449" s="30">
        <v>8.1199999999999992</v>
      </c>
      <c r="D449" s="30" t="s">
        <v>3988</v>
      </c>
      <c r="E449" s="30">
        <v>7.96</v>
      </c>
      <c r="F449" s="30" t="s">
        <v>3989</v>
      </c>
      <c r="G449" s="30">
        <v>2.21</v>
      </c>
      <c r="H449" s="30" t="s">
        <v>3990</v>
      </c>
      <c r="I449" s="30">
        <v>3.05</v>
      </c>
      <c r="J449" s="30" t="s">
        <v>3991</v>
      </c>
    </row>
    <row r="450" spans="1:10" x14ac:dyDescent="0.15">
      <c r="A450" s="28">
        <v>43210.906145833331</v>
      </c>
      <c r="B450" s="30">
        <v>276.10000000000002</v>
      </c>
      <c r="C450" s="30">
        <v>7.57</v>
      </c>
      <c r="D450" s="30" t="s">
        <v>3992</v>
      </c>
      <c r="E450" s="30">
        <v>6.64</v>
      </c>
      <c r="F450" s="30" t="s">
        <v>3993</v>
      </c>
      <c r="G450" s="30">
        <v>1.99</v>
      </c>
      <c r="H450" s="30" t="s">
        <v>3994</v>
      </c>
      <c r="I450" s="30">
        <v>2.69</v>
      </c>
      <c r="J450" s="30" t="s">
        <v>3995</v>
      </c>
    </row>
    <row r="451" spans="1:10" x14ac:dyDescent="0.15">
      <c r="A451" s="28">
        <v>43210.906192129631</v>
      </c>
      <c r="B451" s="30">
        <v>272.5</v>
      </c>
      <c r="C451" s="30">
        <v>9.8699999999999992</v>
      </c>
      <c r="D451" s="30" t="s">
        <v>3972</v>
      </c>
      <c r="E451" s="30">
        <v>9.6</v>
      </c>
      <c r="F451" s="30" t="s">
        <v>3996</v>
      </c>
      <c r="G451" s="30">
        <v>2.12</v>
      </c>
      <c r="H451" s="30" t="s">
        <v>3997</v>
      </c>
      <c r="I451" s="30">
        <v>3.27</v>
      </c>
      <c r="J451" s="30" t="s">
        <v>3998</v>
      </c>
    </row>
    <row r="452" spans="1:10" x14ac:dyDescent="0.15">
      <c r="A452" s="28">
        <v>43210.906238425923</v>
      </c>
      <c r="B452" s="30">
        <v>268.60000000000002</v>
      </c>
      <c r="C452" s="30">
        <v>8.1</v>
      </c>
      <c r="D452" s="30" t="s">
        <v>3999</v>
      </c>
      <c r="E452" s="30">
        <v>8.0299999999999994</v>
      </c>
      <c r="F452" s="30" t="s">
        <v>4000</v>
      </c>
      <c r="G452" s="30">
        <v>1.93</v>
      </c>
      <c r="H452" s="30" t="s">
        <v>4001</v>
      </c>
      <c r="I452" s="30">
        <v>2.63</v>
      </c>
      <c r="J452" s="30" t="s">
        <v>4002</v>
      </c>
    </row>
    <row r="453" spans="1:10" x14ac:dyDescent="0.15">
      <c r="A453" s="28">
        <v>43210.906284722223</v>
      </c>
      <c r="B453" s="30">
        <v>264.8</v>
      </c>
      <c r="C453" s="30">
        <v>8.59</v>
      </c>
      <c r="D453" s="30" t="s">
        <v>4003</v>
      </c>
      <c r="E453" s="30">
        <v>9.25</v>
      </c>
      <c r="F453" s="30" t="s">
        <v>4004</v>
      </c>
      <c r="G453" s="30">
        <v>2</v>
      </c>
      <c r="H453" s="30" t="s">
        <v>4005</v>
      </c>
      <c r="I453" s="30">
        <v>3.54</v>
      </c>
      <c r="J453" s="30" t="s">
        <v>4006</v>
      </c>
    </row>
    <row r="454" spans="1:10" x14ac:dyDescent="0.15">
      <c r="A454" s="28">
        <v>43210.906331018516</v>
      </c>
      <c r="B454" s="30">
        <v>261.2</v>
      </c>
      <c r="C454" s="30">
        <v>9.83</v>
      </c>
      <c r="D454" s="30" t="s">
        <v>4007</v>
      </c>
      <c r="E454" s="30">
        <v>11.62</v>
      </c>
      <c r="F454" s="30" t="s">
        <v>3985</v>
      </c>
      <c r="G454" s="30">
        <v>1.88</v>
      </c>
      <c r="H454" s="30" t="s">
        <v>4008</v>
      </c>
      <c r="I454" s="30">
        <v>4.72</v>
      </c>
      <c r="J454" s="30" t="s">
        <v>4009</v>
      </c>
    </row>
    <row r="455" spans="1:10" x14ac:dyDescent="0.15">
      <c r="A455" s="28">
        <v>43210.906388888892</v>
      </c>
      <c r="B455" s="30">
        <v>257.39999999999998</v>
      </c>
      <c r="C455" s="30">
        <v>9.49</v>
      </c>
      <c r="D455" s="30" t="s">
        <v>4010</v>
      </c>
      <c r="E455" s="30">
        <v>9.51</v>
      </c>
      <c r="F455" s="30" t="s">
        <v>4011</v>
      </c>
      <c r="G455" s="30">
        <v>2.1800000000000002</v>
      </c>
      <c r="H455" s="30" t="s">
        <v>4012</v>
      </c>
      <c r="I455" s="30">
        <v>3.56</v>
      </c>
      <c r="J455" s="30" t="s">
        <v>4013</v>
      </c>
    </row>
    <row r="456" spans="1:10" x14ac:dyDescent="0.15">
      <c r="A456" s="28">
        <v>43210.906435185185</v>
      </c>
      <c r="B456" s="30">
        <v>253.8</v>
      </c>
      <c r="C456" s="30">
        <v>10.16</v>
      </c>
      <c r="D456" s="30" t="s">
        <v>4014</v>
      </c>
      <c r="E456" s="30">
        <v>9.64</v>
      </c>
      <c r="F456" s="30" t="s">
        <v>4015</v>
      </c>
      <c r="G456" s="30">
        <v>2.91</v>
      </c>
      <c r="H456" s="30" t="s">
        <v>4016</v>
      </c>
      <c r="I456" s="30">
        <v>3.43</v>
      </c>
      <c r="J456" s="30" t="s">
        <v>4017</v>
      </c>
    </row>
    <row r="457" spans="1:10" x14ac:dyDescent="0.15">
      <c r="A457" s="28">
        <v>43210.906481481485</v>
      </c>
      <c r="B457" s="30">
        <v>250.4</v>
      </c>
      <c r="C457" s="30">
        <v>10.89</v>
      </c>
      <c r="D457" s="30" t="s">
        <v>4018</v>
      </c>
      <c r="E457" s="30">
        <v>9.18</v>
      </c>
      <c r="F457" s="30" t="s">
        <v>4019</v>
      </c>
      <c r="G457" s="30">
        <v>3.88</v>
      </c>
      <c r="H457" s="30" t="s">
        <v>4020</v>
      </c>
      <c r="I457" s="30">
        <v>3.48</v>
      </c>
      <c r="J457" s="30" t="s">
        <v>4021</v>
      </c>
    </row>
    <row r="458" spans="1:10" x14ac:dyDescent="0.15">
      <c r="A458" s="28">
        <v>43210.906527777777</v>
      </c>
      <c r="B458" s="30">
        <v>247</v>
      </c>
      <c r="C458" s="30">
        <v>10.68</v>
      </c>
      <c r="D458" s="30" t="s">
        <v>4022</v>
      </c>
      <c r="E458" s="30">
        <v>9.02</v>
      </c>
      <c r="F458" s="30" t="s">
        <v>4023</v>
      </c>
      <c r="G458" s="30">
        <v>3.11</v>
      </c>
      <c r="H458" s="30" t="s">
        <v>4024</v>
      </c>
      <c r="I458" s="30">
        <v>3.24</v>
      </c>
      <c r="J458" s="30" t="s">
        <v>4025</v>
      </c>
    </row>
    <row r="459" spans="1:10" x14ac:dyDescent="0.15">
      <c r="A459" s="28">
        <v>43210.906574074077</v>
      </c>
      <c r="B459" s="30">
        <v>243.4</v>
      </c>
      <c r="C459" s="30">
        <v>10.28</v>
      </c>
      <c r="D459" s="30" t="s">
        <v>4026</v>
      </c>
      <c r="E459" s="30">
        <v>9.32</v>
      </c>
      <c r="F459" s="30" t="s">
        <v>4027</v>
      </c>
      <c r="G459" s="30">
        <v>2.6</v>
      </c>
      <c r="H459" s="30" t="s">
        <v>4028</v>
      </c>
      <c r="I459" s="30">
        <v>3.17</v>
      </c>
      <c r="J459" s="30" t="s">
        <v>4029</v>
      </c>
    </row>
    <row r="460" spans="1:10" x14ac:dyDescent="0.15">
      <c r="A460" s="28">
        <v>43210.90662037037</v>
      </c>
      <c r="B460" s="30">
        <v>240</v>
      </c>
      <c r="C460" s="30">
        <v>6.66</v>
      </c>
      <c r="D460" s="30" t="s">
        <v>4030</v>
      </c>
      <c r="E460" s="30">
        <v>6.35</v>
      </c>
      <c r="F460" s="30" t="s">
        <v>4031</v>
      </c>
      <c r="G460" s="30">
        <v>1.84</v>
      </c>
      <c r="H460" s="30" t="s">
        <v>4032</v>
      </c>
      <c r="I460" s="30">
        <v>2.2400000000000002</v>
      </c>
      <c r="J460" s="30" t="s">
        <v>4033</v>
      </c>
    </row>
    <row r="461" spans="1:10" x14ac:dyDescent="0.15">
      <c r="A461" s="28">
        <v>43210.906666666669</v>
      </c>
      <c r="B461" s="30">
        <v>236.8</v>
      </c>
      <c r="C461" s="30">
        <v>9.15</v>
      </c>
      <c r="D461" s="30" t="s">
        <v>4034</v>
      </c>
      <c r="E461" s="30">
        <v>8.56</v>
      </c>
      <c r="F461" s="30" t="s">
        <v>4035</v>
      </c>
      <c r="G461" s="30">
        <v>1.83</v>
      </c>
      <c r="H461" s="30" t="s">
        <v>4036</v>
      </c>
      <c r="I461" s="30">
        <v>3.31</v>
      </c>
      <c r="J461" s="30" t="s">
        <v>4037</v>
      </c>
    </row>
    <row r="462" spans="1:10" x14ac:dyDescent="0.15">
      <c r="A462" s="28">
        <v>43210.906712962962</v>
      </c>
      <c r="B462" s="30">
        <v>233.5</v>
      </c>
      <c r="C462" s="30">
        <v>9.27</v>
      </c>
      <c r="D462" s="30" t="s">
        <v>4038</v>
      </c>
      <c r="E462" s="30">
        <v>8.11</v>
      </c>
      <c r="F462" s="30" t="s">
        <v>4039</v>
      </c>
      <c r="G462" s="30">
        <v>1.81</v>
      </c>
      <c r="H462" s="30" t="s">
        <v>4040</v>
      </c>
      <c r="I462" s="30">
        <v>3.17</v>
      </c>
      <c r="J462" s="30" t="s">
        <v>4041</v>
      </c>
    </row>
    <row r="463" spans="1:10" x14ac:dyDescent="0.15">
      <c r="A463" s="28">
        <v>43210.906782407408</v>
      </c>
      <c r="B463" s="30">
        <v>229.6</v>
      </c>
      <c r="C463" s="30">
        <v>8.26</v>
      </c>
      <c r="D463" s="30" t="s">
        <v>4042</v>
      </c>
      <c r="E463" s="30">
        <v>7.77</v>
      </c>
      <c r="F463" s="30" t="s">
        <v>4043</v>
      </c>
      <c r="G463" s="30">
        <v>2.0299999999999998</v>
      </c>
      <c r="H463" s="30" t="s">
        <v>4044</v>
      </c>
      <c r="I463" s="30">
        <v>2.62</v>
      </c>
      <c r="J463" s="30" t="s">
        <v>4045</v>
      </c>
    </row>
    <row r="464" spans="1:10" x14ac:dyDescent="0.15">
      <c r="A464" s="28">
        <v>43210.906828703701</v>
      </c>
      <c r="B464" s="30">
        <v>226.1</v>
      </c>
      <c r="C464" s="30">
        <v>8.35</v>
      </c>
      <c r="D464" s="30" t="s">
        <v>4046</v>
      </c>
      <c r="E464" s="30">
        <v>7.88</v>
      </c>
      <c r="F464" s="30" t="s">
        <v>4047</v>
      </c>
      <c r="G464" s="30">
        <v>1.72</v>
      </c>
      <c r="H464" s="30" t="s">
        <v>4048</v>
      </c>
      <c r="I464" s="30">
        <v>2.5</v>
      </c>
      <c r="J464" s="30" t="s">
        <v>4049</v>
      </c>
    </row>
    <row r="465" spans="1:10" x14ac:dyDescent="0.15">
      <c r="A465" s="28">
        <v>43210.906886574077</v>
      </c>
      <c r="B465" s="30">
        <v>222.5</v>
      </c>
      <c r="C465" s="30">
        <v>6.79</v>
      </c>
      <c r="D465" s="30" t="s">
        <v>4050</v>
      </c>
      <c r="E465" s="30">
        <v>6.48</v>
      </c>
      <c r="F465" s="30" t="s">
        <v>4051</v>
      </c>
      <c r="G465" s="30">
        <v>1.35</v>
      </c>
      <c r="H465" s="30" t="s">
        <v>4052</v>
      </c>
      <c r="I465" s="30">
        <v>2.2400000000000002</v>
      </c>
      <c r="J465" s="30" t="s">
        <v>4053</v>
      </c>
    </row>
    <row r="466" spans="1:10" x14ac:dyDescent="0.15">
      <c r="A466" s="28">
        <v>43210.906944444447</v>
      </c>
      <c r="B466" s="30">
        <v>219.1</v>
      </c>
      <c r="C466" s="30">
        <v>10.35</v>
      </c>
      <c r="D466" s="30" t="s">
        <v>4054</v>
      </c>
      <c r="E466" s="30">
        <v>10.52</v>
      </c>
      <c r="F466" s="30" t="s">
        <v>4055</v>
      </c>
      <c r="G466" s="30">
        <v>1.39</v>
      </c>
      <c r="H466" s="30" t="s">
        <v>4056</v>
      </c>
      <c r="I466" s="30">
        <v>3.76</v>
      </c>
      <c r="J466" s="30" t="s">
        <v>4057</v>
      </c>
    </row>
    <row r="467" spans="1:10" x14ac:dyDescent="0.15">
      <c r="A467" s="28">
        <v>43210.907002314816</v>
      </c>
      <c r="B467" s="30">
        <v>215.6</v>
      </c>
      <c r="C467" s="30">
        <v>6.97</v>
      </c>
      <c r="D467" s="30" t="s">
        <v>4058</v>
      </c>
      <c r="E467" s="30">
        <v>6.48</v>
      </c>
      <c r="F467" s="30" t="s">
        <v>4059</v>
      </c>
      <c r="G467" s="30">
        <v>1.31</v>
      </c>
      <c r="H467" s="30" t="s">
        <v>4060</v>
      </c>
      <c r="I467" s="30">
        <v>2.83</v>
      </c>
      <c r="J467" s="30" t="s">
        <v>4061</v>
      </c>
    </row>
    <row r="468" spans="1:10" x14ac:dyDescent="0.15">
      <c r="A468" s="28">
        <v>43210.907048611109</v>
      </c>
      <c r="B468" s="30">
        <v>212.3</v>
      </c>
      <c r="C468" s="30">
        <v>11.18</v>
      </c>
      <c r="D468" s="30" t="s">
        <v>4062</v>
      </c>
      <c r="E468" s="30">
        <v>10.48</v>
      </c>
      <c r="F468" s="30" t="s">
        <v>4063</v>
      </c>
      <c r="G468" s="30">
        <v>1.59</v>
      </c>
      <c r="H468" s="30" t="s">
        <v>4064</v>
      </c>
      <c r="I468" s="30">
        <v>3.67</v>
      </c>
      <c r="J468" s="30" t="s">
        <v>4065</v>
      </c>
    </row>
    <row r="469" spans="1:10" x14ac:dyDescent="0.15">
      <c r="A469" s="28">
        <v>43210.907106481478</v>
      </c>
      <c r="B469" s="30">
        <v>209.1</v>
      </c>
      <c r="C469" s="30">
        <v>9.3699999999999992</v>
      </c>
      <c r="D469" s="30" t="s">
        <v>4066</v>
      </c>
      <c r="E469" s="30">
        <v>8.92</v>
      </c>
      <c r="F469" s="30" t="s">
        <v>4067</v>
      </c>
      <c r="G469" s="30">
        <v>1.57</v>
      </c>
      <c r="H469" s="30" t="s">
        <v>4068</v>
      </c>
      <c r="I469" s="30">
        <v>3</v>
      </c>
      <c r="J469" s="30" t="s">
        <v>4069</v>
      </c>
    </row>
    <row r="470" spans="1:10" x14ac:dyDescent="0.15">
      <c r="A470" s="28">
        <v>43210.907164351855</v>
      </c>
      <c r="B470" s="30">
        <v>205.8</v>
      </c>
      <c r="C470" s="30">
        <v>7.38</v>
      </c>
      <c r="D470" s="30" t="s">
        <v>4070</v>
      </c>
      <c r="E470" s="30">
        <v>7.15</v>
      </c>
      <c r="F470" s="30" t="s">
        <v>4071</v>
      </c>
      <c r="G470" s="30">
        <v>1.68</v>
      </c>
      <c r="H470" s="30" t="s">
        <v>4072</v>
      </c>
      <c r="I470" s="30">
        <v>2.5099999999999998</v>
      </c>
      <c r="J470" s="30" t="s">
        <v>4073</v>
      </c>
    </row>
    <row r="471" spans="1:10" x14ac:dyDescent="0.15">
      <c r="A471" s="28">
        <v>43210.907210648147</v>
      </c>
      <c r="B471" s="30">
        <v>202.6</v>
      </c>
      <c r="C471" s="30">
        <v>7.92</v>
      </c>
      <c r="D471" s="30" t="s">
        <v>4074</v>
      </c>
      <c r="E471" s="30">
        <v>6.88</v>
      </c>
      <c r="F471" s="30" t="s">
        <v>4075</v>
      </c>
      <c r="G471" s="30">
        <v>1.54</v>
      </c>
      <c r="H471" s="30" t="s">
        <v>4076</v>
      </c>
      <c r="I471" s="30">
        <v>2.66</v>
      </c>
      <c r="J471" s="30" t="s">
        <v>4077</v>
      </c>
    </row>
    <row r="472" spans="1:10" x14ac:dyDescent="0.15">
      <c r="A472" s="28">
        <v>43210.907268518517</v>
      </c>
      <c r="B472" s="30">
        <v>199.4</v>
      </c>
      <c r="C472" s="30">
        <v>9.0299999999999994</v>
      </c>
      <c r="D472" s="30" t="s">
        <v>4078</v>
      </c>
      <c r="E472" s="30">
        <v>8.32</v>
      </c>
      <c r="F472" s="30" t="s">
        <v>4079</v>
      </c>
      <c r="G472" s="30">
        <v>2.0299999999999998</v>
      </c>
      <c r="H472" s="30" t="s">
        <v>4080</v>
      </c>
      <c r="I472" s="30">
        <v>3.04</v>
      </c>
      <c r="J472" s="30" t="s">
        <v>4081</v>
      </c>
    </row>
    <row r="473" spans="1:10" x14ac:dyDescent="0.15">
      <c r="A473" s="28">
        <v>43210.907326388886</v>
      </c>
      <c r="B473" s="30">
        <v>196.4</v>
      </c>
      <c r="C473" s="30">
        <v>11.18</v>
      </c>
      <c r="D473" s="30" t="s">
        <v>4082</v>
      </c>
      <c r="E473" s="30">
        <v>10.02</v>
      </c>
      <c r="F473" s="30" t="s">
        <v>4083</v>
      </c>
      <c r="G473" s="30">
        <v>2.12</v>
      </c>
      <c r="H473" s="30" t="s">
        <v>4084</v>
      </c>
      <c r="I473" s="30">
        <v>3.68</v>
      </c>
      <c r="J473" s="30" t="s">
        <v>4085</v>
      </c>
    </row>
    <row r="474" spans="1:10" x14ac:dyDescent="0.15">
      <c r="A474" s="28">
        <v>43210.907384259262</v>
      </c>
      <c r="B474" s="30">
        <v>193.3</v>
      </c>
      <c r="C474" s="30">
        <v>8.6300000000000008</v>
      </c>
      <c r="D474" s="30" t="s">
        <v>4086</v>
      </c>
      <c r="E474" s="30">
        <v>7.83</v>
      </c>
      <c r="F474" s="30" t="s">
        <v>4087</v>
      </c>
      <c r="G474" s="30">
        <v>1.44</v>
      </c>
      <c r="H474" s="30" t="s">
        <v>4088</v>
      </c>
      <c r="I474" s="30">
        <v>2.97</v>
      </c>
      <c r="J474" s="30" t="s">
        <v>4089</v>
      </c>
    </row>
    <row r="475" spans="1:10" x14ac:dyDescent="0.15">
      <c r="A475" s="28">
        <v>43210.907430555555</v>
      </c>
      <c r="B475" s="30">
        <v>190.3</v>
      </c>
      <c r="C475" s="30">
        <v>8.36</v>
      </c>
      <c r="D475" s="30" t="s">
        <v>4090</v>
      </c>
      <c r="E475" s="30">
        <v>7.45</v>
      </c>
      <c r="F475" s="30" t="s">
        <v>4091</v>
      </c>
      <c r="G475" s="30">
        <v>1.0900000000000001</v>
      </c>
      <c r="H475" s="30" t="s">
        <v>4092</v>
      </c>
      <c r="I475" s="30">
        <v>2.62</v>
      </c>
      <c r="J475" s="30" t="s">
        <v>4093</v>
      </c>
    </row>
  </sheetData>
  <mergeCells count="1">
    <mergeCell ref="B1:B2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B2FEC-D734-4944-B7E0-B53734FF6AA5}">
  <sheetPr codeName="Sheet5"/>
  <dimension ref="A1:L461"/>
  <sheetViews>
    <sheetView workbookViewId="0">
      <selection activeCell="D5" sqref="D5:J5"/>
    </sheetView>
  </sheetViews>
  <sheetFormatPr defaultRowHeight="13.5" x14ac:dyDescent="0.15"/>
  <cols>
    <col min="1" max="1" width="18.375" style="28" bestFit="1" customWidth="1"/>
    <col min="4" max="4" width="13.625" bestFit="1" customWidth="1"/>
    <col min="5" max="5" width="13" bestFit="1" customWidth="1"/>
    <col min="6" max="6" width="14.75" bestFit="1" customWidth="1"/>
    <col min="7" max="7" width="15.875" customWidth="1"/>
    <col min="8" max="8" width="13.625" bestFit="1" customWidth="1"/>
    <col min="10" max="10" width="13.625" bestFit="1" customWidth="1"/>
  </cols>
  <sheetData>
    <row r="1" spans="1:12" x14ac:dyDescent="0.15">
      <c r="A1" s="27" t="s">
        <v>76</v>
      </c>
      <c r="B1" s="44" t="s">
        <v>77</v>
      </c>
      <c r="C1" s="25" t="s">
        <v>78</v>
      </c>
      <c r="D1" s="25"/>
      <c r="E1" s="25" t="s">
        <v>79</v>
      </c>
      <c r="F1" s="25"/>
      <c r="G1" s="25" t="s">
        <v>807</v>
      </c>
      <c r="H1" s="25"/>
      <c r="I1" s="25" t="s">
        <v>808</v>
      </c>
      <c r="J1" s="25"/>
    </row>
    <row r="2" spans="1:12" x14ac:dyDescent="0.15">
      <c r="A2" s="27"/>
      <c r="B2" s="44"/>
      <c r="C2" s="24" t="s">
        <v>80</v>
      </c>
      <c r="D2" s="24" t="s">
        <v>81</v>
      </c>
      <c r="E2" s="24" t="s">
        <v>80</v>
      </c>
      <c r="F2" s="24" t="s">
        <v>81</v>
      </c>
      <c r="G2" s="24" t="s">
        <v>80</v>
      </c>
      <c r="H2" s="24" t="s">
        <v>81</v>
      </c>
      <c r="I2" s="24" t="s">
        <v>80</v>
      </c>
      <c r="J2" s="24" t="s">
        <v>81</v>
      </c>
    </row>
    <row r="3" spans="1:12" s="30" customFormat="1" x14ac:dyDescent="0.15">
      <c r="A3" s="30" t="s">
        <v>4095</v>
      </c>
      <c r="B3" s="30">
        <v>153</v>
      </c>
      <c r="C3" s="30">
        <f>B3</f>
        <v>153</v>
      </c>
      <c r="D3" s="30">
        <f t="shared" ref="D3:J4" si="0">C3</f>
        <v>153</v>
      </c>
      <c r="E3" s="30">
        <f t="shared" si="0"/>
        <v>153</v>
      </c>
      <c r="F3" s="30">
        <f t="shared" si="0"/>
        <v>153</v>
      </c>
      <c r="G3" s="30">
        <f t="shared" si="0"/>
        <v>153</v>
      </c>
      <c r="H3" s="30">
        <f t="shared" si="0"/>
        <v>153</v>
      </c>
      <c r="I3" s="30">
        <f t="shared" si="0"/>
        <v>153</v>
      </c>
      <c r="J3" s="30">
        <f t="shared" si="0"/>
        <v>153</v>
      </c>
    </row>
    <row r="4" spans="1:12" s="30" customFormat="1" x14ac:dyDescent="0.15">
      <c r="A4" s="30" t="s">
        <v>4096</v>
      </c>
      <c r="B4" s="30">
        <v>343</v>
      </c>
      <c r="C4" s="30">
        <f>B4</f>
        <v>343</v>
      </c>
      <c r="D4" s="30">
        <f t="shared" si="0"/>
        <v>343</v>
      </c>
      <c r="E4" s="30">
        <f t="shared" si="0"/>
        <v>343</v>
      </c>
      <c r="F4" s="30">
        <f t="shared" si="0"/>
        <v>343</v>
      </c>
      <c r="G4" s="30">
        <f t="shared" si="0"/>
        <v>343</v>
      </c>
      <c r="H4" s="30">
        <f t="shared" si="0"/>
        <v>343</v>
      </c>
      <c r="I4" s="30">
        <f t="shared" si="0"/>
        <v>343</v>
      </c>
      <c r="J4" s="30">
        <f t="shared" si="0"/>
        <v>343</v>
      </c>
    </row>
    <row r="5" spans="1:12" s="16" customFormat="1" x14ac:dyDescent="0.15">
      <c r="A5" s="29" t="s">
        <v>2390</v>
      </c>
      <c r="B5" s="32">
        <f ca="1">AVERAGE(OFFSET(B$6,B$3-6,0,B$4-B$3+1,1))</f>
        <v>1499.738219895288</v>
      </c>
      <c r="C5" s="32">
        <f ca="1">AVERAGE(OFFSET(C$6,C$3-6,0,C$4-C$3+1,1))</f>
        <v>47.198743455497414</v>
      </c>
      <c r="D5" s="33" t="str">
        <f ca="1">VecAverage(OFFSET(D$6,D$3-6,0,D$4-D$3+1,1))</f>
        <v>39.7∠20°</v>
      </c>
      <c r="E5" s="32">
        <f ca="1">AVERAGE(OFFSET(E$6,E$3-6,0,E$4-E$3+1,1))</f>
        <v>23.549790575916223</v>
      </c>
      <c r="F5" s="33" t="str">
        <f ca="1">VecAverage(OFFSET(F$6,F$3-6,0,F$4-F$3+1,1))</f>
        <v>18∠260.6°</v>
      </c>
      <c r="G5" s="32">
        <f ca="1">AVERAGE(OFFSET(G$6,G$3-6,0,G$4-G$3+1,1))</f>
        <v>116.39790575916234</v>
      </c>
      <c r="H5" s="33" t="str">
        <f ca="1">VecAverage(OFFSET(H$6,H$3-6,0,H$4-H$3+1,1))</f>
        <v>113.5∠3.9°</v>
      </c>
      <c r="I5" s="32">
        <f ca="1">AVERAGE(OFFSET(I$6,I$3-6,0,I$4-I$3+1,1))</f>
        <v>84.242565445026202</v>
      </c>
      <c r="J5" s="33" t="str">
        <f ca="1">VecAverage(OFFSET(J$6,J$3-6,0,J$4-J$3+1,1))</f>
        <v>75.8∠98.1°</v>
      </c>
    </row>
    <row r="6" spans="1:12" x14ac:dyDescent="0.15">
      <c r="A6" s="28">
        <v>43210.723136574074</v>
      </c>
      <c r="B6" s="24">
        <v>1500</v>
      </c>
      <c r="C6" s="24">
        <v>14.87</v>
      </c>
      <c r="D6" s="24" t="s">
        <v>809</v>
      </c>
      <c r="E6" s="24">
        <v>76.19</v>
      </c>
      <c r="F6" s="24" t="s">
        <v>810</v>
      </c>
      <c r="G6" s="24">
        <v>173.6</v>
      </c>
      <c r="H6" s="24" t="s">
        <v>2416</v>
      </c>
      <c r="I6" s="24">
        <v>149.6</v>
      </c>
      <c r="J6" s="24" t="s">
        <v>811</v>
      </c>
      <c r="L6" s="30"/>
    </row>
    <row r="7" spans="1:12" x14ac:dyDescent="0.15">
      <c r="A7" s="28">
        <v>43210.723171296297</v>
      </c>
      <c r="B7" s="24">
        <v>1500</v>
      </c>
      <c r="C7" s="24">
        <v>15.51</v>
      </c>
      <c r="D7" s="24" t="s">
        <v>812</v>
      </c>
      <c r="E7" s="24">
        <v>74.209999999999994</v>
      </c>
      <c r="F7" s="24" t="s">
        <v>813</v>
      </c>
      <c r="G7" s="24">
        <v>172.3</v>
      </c>
      <c r="H7" s="24" t="s">
        <v>814</v>
      </c>
      <c r="I7" s="24">
        <v>147.30000000000001</v>
      </c>
      <c r="J7" s="24" t="s">
        <v>815</v>
      </c>
      <c r="L7" s="30"/>
    </row>
    <row r="8" spans="1:12" x14ac:dyDescent="0.15">
      <c r="A8" s="28">
        <v>43210.72320601852</v>
      </c>
      <c r="B8" s="24">
        <v>1501</v>
      </c>
      <c r="C8" s="24">
        <v>16.22</v>
      </c>
      <c r="D8" s="24" t="s">
        <v>816</v>
      </c>
      <c r="E8" s="24">
        <v>73.84</v>
      </c>
      <c r="F8" s="24" t="s">
        <v>817</v>
      </c>
      <c r="G8" s="24">
        <v>173.4</v>
      </c>
      <c r="H8" s="24" t="s">
        <v>818</v>
      </c>
      <c r="I8" s="24">
        <v>143.9</v>
      </c>
      <c r="J8" s="24" t="s">
        <v>819</v>
      </c>
      <c r="L8" s="30"/>
    </row>
    <row r="9" spans="1:12" x14ac:dyDescent="0.15">
      <c r="A9" s="28">
        <v>43210.723240740743</v>
      </c>
      <c r="B9" s="24">
        <v>1501</v>
      </c>
      <c r="C9" s="24">
        <v>16.75</v>
      </c>
      <c r="D9" s="24" t="s">
        <v>820</v>
      </c>
      <c r="E9" s="24">
        <v>71.47</v>
      </c>
      <c r="F9" s="24" t="s">
        <v>821</v>
      </c>
      <c r="G9" s="24">
        <v>168.9</v>
      </c>
      <c r="H9" s="24" t="s">
        <v>822</v>
      </c>
      <c r="I9" s="24">
        <v>145.9</v>
      </c>
      <c r="J9" s="24" t="s">
        <v>823</v>
      </c>
      <c r="L9" s="30"/>
    </row>
    <row r="10" spans="1:12" x14ac:dyDescent="0.15">
      <c r="A10" s="28">
        <v>43210.723275462966</v>
      </c>
      <c r="B10" s="24">
        <v>1501</v>
      </c>
      <c r="C10" s="24">
        <v>17.7</v>
      </c>
      <c r="D10" s="24" t="s">
        <v>824</v>
      </c>
      <c r="E10" s="24">
        <v>73.34</v>
      </c>
      <c r="F10" s="24" t="s">
        <v>825</v>
      </c>
      <c r="G10" s="24">
        <v>164.7</v>
      </c>
      <c r="H10" s="24" t="s">
        <v>826</v>
      </c>
      <c r="I10" s="24">
        <v>142.30000000000001</v>
      </c>
      <c r="J10" s="24" t="s">
        <v>827</v>
      </c>
      <c r="L10" s="30"/>
    </row>
    <row r="11" spans="1:12" x14ac:dyDescent="0.15">
      <c r="A11" s="28">
        <v>43210.723310185182</v>
      </c>
      <c r="B11" s="24">
        <v>1501</v>
      </c>
      <c r="C11" s="24">
        <v>19.14</v>
      </c>
      <c r="D11" s="24" t="s">
        <v>828</v>
      </c>
      <c r="E11" s="24">
        <v>69.430000000000007</v>
      </c>
      <c r="F11" s="24" t="s">
        <v>829</v>
      </c>
      <c r="G11" s="24">
        <v>164.8</v>
      </c>
      <c r="H11" s="24" t="s">
        <v>830</v>
      </c>
      <c r="I11" s="24">
        <v>136.69999999999999</v>
      </c>
      <c r="J11" s="24" t="s">
        <v>831</v>
      </c>
    </row>
    <row r="12" spans="1:12" x14ac:dyDescent="0.15">
      <c r="A12" s="28">
        <v>43210.723333333335</v>
      </c>
      <c r="B12" s="24">
        <v>1501</v>
      </c>
      <c r="C12" s="24">
        <v>19.72</v>
      </c>
      <c r="D12" s="24" t="s">
        <v>832</v>
      </c>
      <c r="E12" s="24">
        <v>68.86</v>
      </c>
      <c r="F12" s="24" t="s">
        <v>833</v>
      </c>
      <c r="G12" s="24">
        <v>165.6</v>
      </c>
      <c r="H12" s="24" t="s">
        <v>834</v>
      </c>
      <c r="I12" s="24">
        <v>145.1</v>
      </c>
      <c r="J12" s="24" t="s">
        <v>835</v>
      </c>
    </row>
    <row r="13" spans="1:12" x14ac:dyDescent="0.15">
      <c r="A13" s="28">
        <v>43210.723368055558</v>
      </c>
      <c r="B13" s="24">
        <v>1501</v>
      </c>
      <c r="C13" s="24">
        <v>21.73</v>
      </c>
      <c r="D13" s="24" t="s">
        <v>836</v>
      </c>
      <c r="E13" s="24">
        <v>65.72</v>
      </c>
      <c r="F13" s="24" t="s">
        <v>837</v>
      </c>
      <c r="G13" s="24">
        <v>164.6</v>
      </c>
      <c r="H13" s="24" t="s">
        <v>838</v>
      </c>
      <c r="I13" s="24">
        <v>132.5</v>
      </c>
      <c r="J13" s="24" t="s">
        <v>839</v>
      </c>
    </row>
    <row r="14" spans="1:12" x14ac:dyDescent="0.15">
      <c r="A14" s="28">
        <v>43210.723402777781</v>
      </c>
      <c r="B14" s="24">
        <v>1500</v>
      </c>
      <c r="C14" s="24">
        <v>22.9</v>
      </c>
      <c r="D14" s="24" t="s">
        <v>840</v>
      </c>
      <c r="E14" s="24">
        <v>65.91</v>
      </c>
      <c r="F14" s="24" t="s">
        <v>841</v>
      </c>
      <c r="G14" s="24">
        <v>162.19999999999999</v>
      </c>
      <c r="H14" s="24" t="s">
        <v>842</v>
      </c>
      <c r="I14" s="24">
        <v>134.6</v>
      </c>
      <c r="J14" s="24" t="s">
        <v>843</v>
      </c>
    </row>
    <row r="15" spans="1:12" x14ac:dyDescent="0.15">
      <c r="A15" s="28">
        <v>43210.723437499997</v>
      </c>
      <c r="B15" s="24">
        <v>1501</v>
      </c>
      <c r="C15" s="24">
        <v>24.01</v>
      </c>
      <c r="D15" s="24" t="s">
        <v>844</v>
      </c>
      <c r="E15" s="24">
        <v>62.61</v>
      </c>
      <c r="F15" s="24" t="s">
        <v>845</v>
      </c>
      <c r="G15" s="24">
        <v>160.5</v>
      </c>
      <c r="H15" s="24" t="s">
        <v>846</v>
      </c>
      <c r="I15" s="24">
        <v>131.69999999999999</v>
      </c>
      <c r="J15" s="24" t="s">
        <v>847</v>
      </c>
    </row>
    <row r="16" spans="1:12" x14ac:dyDescent="0.15">
      <c r="A16" s="28">
        <v>43210.723460648151</v>
      </c>
      <c r="B16" s="24">
        <v>1500</v>
      </c>
      <c r="C16" s="24">
        <v>23.33</v>
      </c>
      <c r="D16" s="24" t="s">
        <v>848</v>
      </c>
      <c r="E16" s="24">
        <v>63.91</v>
      </c>
      <c r="F16" s="24" t="s">
        <v>849</v>
      </c>
      <c r="G16" s="24">
        <v>159.1</v>
      </c>
      <c r="H16" s="24" t="s">
        <v>850</v>
      </c>
      <c r="I16" s="24">
        <v>132.69999999999999</v>
      </c>
      <c r="J16" s="24" t="s">
        <v>851</v>
      </c>
    </row>
    <row r="17" spans="1:10" x14ac:dyDescent="0.15">
      <c r="A17" s="28">
        <v>43210.723495370374</v>
      </c>
      <c r="B17" s="24">
        <v>1501</v>
      </c>
      <c r="C17" s="24">
        <v>24.92</v>
      </c>
      <c r="D17" s="24" t="s">
        <v>852</v>
      </c>
      <c r="E17" s="24">
        <v>59.7</v>
      </c>
      <c r="F17" s="24" t="s">
        <v>853</v>
      </c>
      <c r="G17" s="24">
        <v>165.2</v>
      </c>
      <c r="H17" s="24" t="s">
        <v>854</v>
      </c>
      <c r="I17" s="24">
        <v>129.6</v>
      </c>
      <c r="J17" s="24" t="s">
        <v>855</v>
      </c>
    </row>
    <row r="18" spans="1:10" x14ac:dyDescent="0.15">
      <c r="A18" s="28">
        <v>43210.723530092589</v>
      </c>
      <c r="B18" s="24">
        <v>1501</v>
      </c>
      <c r="C18" s="24">
        <v>25.01</v>
      </c>
      <c r="D18" s="24" t="s">
        <v>856</v>
      </c>
      <c r="E18" s="24">
        <v>61</v>
      </c>
      <c r="F18" s="24" t="s">
        <v>857</v>
      </c>
      <c r="G18" s="24">
        <v>156.69999999999999</v>
      </c>
      <c r="H18" s="24" t="s">
        <v>858</v>
      </c>
      <c r="I18" s="24">
        <v>131.19999999999999</v>
      </c>
      <c r="J18" s="24" t="s">
        <v>859</v>
      </c>
    </row>
    <row r="19" spans="1:10" x14ac:dyDescent="0.15">
      <c r="A19" s="28">
        <v>43210.723553240743</v>
      </c>
      <c r="B19" s="24">
        <v>1501</v>
      </c>
      <c r="C19" s="24">
        <v>27.68</v>
      </c>
      <c r="D19" s="24" t="s">
        <v>860</v>
      </c>
      <c r="E19" s="24">
        <v>61.4</v>
      </c>
      <c r="F19" s="24" t="s">
        <v>861</v>
      </c>
      <c r="G19" s="24">
        <v>155.9</v>
      </c>
      <c r="H19" s="24" t="s">
        <v>862</v>
      </c>
      <c r="I19" s="24">
        <v>130.6</v>
      </c>
      <c r="J19" s="24" t="s">
        <v>863</v>
      </c>
    </row>
    <row r="20" spans="1:10" x14ac:dyDescent="0.15">
      <c r="A20" s="28">
        <v>43210.723587962966</v>
      </c>
      <c r="B20" s="24">
        <v>1500</v>
      </c>
      <c r="C20" s="24">
        <v>27.82</v>
      </c>
      <c r="D20" s="24" t="s">
        <v>864</v>
      </c>
      <c r="E20" s="24">
        <v>58.36</v>
      </c>
      <c r="F20" s="24" t="s">
        <v>865</v>
      </c>
      <c r="G20" s="24">
        <v>158</v>
      </c>
      <c r="H20" s="24" t="s">
        <v>866</v>
      </c>
      <c r="I20" s="24">
        <v>126.2</v>
      </c>
      <c r="J20" s="24" t="s">
        <v>863</v>
      </c>
    </row>
    <row r="21" spans="1:10" x14ac:dyDescent="0.15">
      <c r="A21" s="28">
        <v>43210.723622685182</v>
      </c>
      <c r="B21" s="24">
        <v>1500</v>
      </c>
      <c r="C21" s="24">
        <v>27.62</v>
      </c>
      <c r="D21" s="24" t="s">
        <v>867</v>
      </c>
      <c r="E21" s="24">
        <v>56.49</v>
      </c>
      <c r="F21" s="24" t="s">
        <v>868</v>
      </c>
      <c r="G21" s="24">
        <v>151.9</v>
      </c>
      <c r="H21" s="24" t="s">
        <v>869</v>
      </c>
      <c r="I21" s="24">
        <v>124.8</v>
      </c>
      <c r="J21" s="24" t="s">
        <v>870</v>
      </c>
    </row>
    <row r="22" spans="1:10" x14ac:dyDescent="0.15">
      <c r="A22" s="28">
        <v>43210.723645833335</v>
      </c>
      <c r="B22" s="24">
        <v>1500</v>
      </c>
      <c r="C22" s="24">
        <v>28.61</v>
      </c>
      <c r="D22" s="24" t="s">
        <v>871</v>
      </c>
      <c r="E22" s="24">
        <v>57.05</v>
      </c>
      <c r="F22" s="24" t="s">
        <v>872</v>
      </c>
      <c r="G22" s="24">
        <v>156.69999999999999</v>
      </c>
      <c r="H22" s="24" t="s">
        <v>873</v>
      </c>
      <c r="I22" s="24">
        <v>123.3</v>
      </c>
      <c r="J22" s="24" t="s">
        <v>874</v>
      </c>
    </row>
    <row r="23" spans="1:10" x14ac:dyDescent="0.15">
      <c r="A23" s="28">
        <v>43210.723680555559</v>
      </c>
      <c r="B23" s="24">
        <v>1500</v>
      </c>
      <c r="C23" s="24">
        <v>28.82</v>
      </c>
      <c r="D23" s="24" t="s">
        <v>875</v>
      </c>
      <c r="E23" s="24">
        <v>53.71</v>
      </c>
      <c r="F23" s="24" t="s">
        <v>876</v>
      </c>
      <c r="G23" s="24">
        <v>156.69999999999999</v>
      </c>
      <c r="H23" s="24" t="s">
        <v>877</v>
      </c>
      <c r="I23" s="24">
        <v>121.6</v>
      </c>
      <c r="J23" s="24" t="s">
        <v>878</v>
      </c>
    </row>
    <row r="24" spans="1:10" x14ac:dyDescent="0.15">
      <c r="A24" s="28">
        <v>43210.723715277774</v>
      </c>
      <c r="B24" s="24">
        <v>1500</v>
      </c>
      <c r="C24" s="24">
        <v>29.85</v>
      </c>
      <c r="D24" s="24" t="s">
        <v>879</v>
      </c>
      <c r="E24" s="24">
        <v>54.78</v>
      </c>
      <c r="F24" s="24" t="s">
        <v>880</v>
      </c>
      <c r="G24" s="24">
        <v>149.5</v>
      </c>
      <c r="H24" s="24" t="s">
        <v>881</v>
      </c>
      <c r="I24" s="24">
        <v>124.3</v>
      </c>
      <c r="J24" s="24" t="s">
        <v>882</v>
      </c>
    </row>
    <row r="25" spans="1:10" x14ac:dyDescent="0.15">
      <c r="A25" s="28">
        <v>43210.723738425928</v>
      </c>
      <c r="B25" s="24">
        <v>1500</v>
      </c>
      <c r="C25" s="24">
        <v>30.47</v>
      </c>
      <c r="D25" s="24" t="s">
        <v>883</v>
      </c>
      <c r="E25" s="24">
        <v>53.79</v>
      </c>
      <c r="F25" s="24" t="s">
        <v>884</v>
      </c>
      <c r="G25" s="24">
        <v>148.9</v>
      </c>
      <c r="H25" s="24" t="s">
        <v>885</v>
      </c>
      <c r="I25" s="24">
        <v>124.7</v>
      </c>
      <c r="J25" s="24" t="s">
        <v>886</v>
      </c>
    </row>
    <row r="26" spans="1:10" x14ac:dyDescent="0.15">
      <c r="A26" s="28">
        <v>43210.723773148151</v>
      </c>
      <c r="B26" s="24">
        <v>1500</v>
      </c>
      <c r="C26" s="24">
        <v>31.14</v>
      </c>
      <c r="D26" s="24" t="s">
        <v>887</v>
      </c>
      <c r="E26" s="24">
        <v>52.45</v>
      </c>
      <c r="F26" s="24" t="s">
        <v>888</v>
      </c>
      <c r="G26" s="24">
        <v>150.1</v>
      </c>
      <c r="H26" s="24" t="s">
        <v>889</v>
      </c>
      <c r="I26" s="24">
        <v>125.2</v>
      </c>
      <c r="J26" s="24" t="s">
        <v>890</v>
      </c>
    </row>
    <row r="27" spans="1:10" x14ac:dyDescent="0.15">
      <c r="A27" s="28">
        <v>43210.723807870374</v>
      </c>
      <c r="B27" s="24">
        <v>1500</v>
      </c>
      <c r="C27" s="24">
        <v>30.27</v>
      </c>
      <c r="D27" s="24" t="s">
        <v>891</v>
      </c>
      <c r="E27" s="24">
        <v>51.52</v>
      </c>
      <c r="F27" s="24" t="s">
        <v>892</v>
      </c>
      <c r="G27" s="24">
        <v>149.9</v>
      </c>
      <c r="H27" s="24" t="s">
        <v>893</v>
      </c>
      <c r="I27" s="24">
        <v>123.7</v>
      </c>
      <c r="J27" s="24" t="s">
        <v>894</v>
      </c>
    </row>
    <row r="28" spans="1:10" x14ac:dyDescent="0.15">
      <c r="A28" s="28">
        <v>43210.72384259259</v>
      </c>
      <c r="B28" s="24">
        <v>1500</v>
      </c>
      <c r="C28" s="24">
        <v>32.47</v>
      </c>
      <c r="D28" s="24" t="s">
        <v>895</v>
      </c>
      <c r="E28" s="24">
        <v>49.16</v>
      </c>
      <c r="F28" s="24" t="s">
        <v>896</v>
      </c>
      <c r="G28" s="24">
        <v>150.19999999999999</v>
      </c>
      <c r="H28" s="24" t="s">
        <v>897</v>
      </c>
      <c r="I28" s="24">
        <v>118.4</v>
      </c>
      <c r="J28" s="24" t="s">
        <v>898</v>
      </c>
    </row>
    <row r="29" spans="1:10" x14ac:dyDescent="0.15">
      <c r="A29" s="28">
        <v>43210.723865740743</v>
      </c>
      <c r="B29" s="24">
        <v>1500</v>
      </c>
      <c r="C29" s="24">
        <v>31.52</v>
      </c>
      <c r="D29" s="24" t="s">
        <v>899</v>
      </c>
      <c r="E29" s="24">
        <v>51.04</v>
      </c>
      <c r="F29" s="24" t="s">
        <v>900</v>
      </c>
      <c r="G29" s="24">
        <v>146.30000000000001</v>
      </c>
      <c r="H29" s="24" t="s">
        <v>901</v>
      </c>
      <c r="I29" s="24">
        <v>118</v>
      </c>
      <c r="J29" s="24" t="s">
        <v>902</v>
      </c>
    </row>
    <row r="30" spans="1:10" x14ac:dyDescent="0.15">
      <c r="A30" s="28">
        <v>43210.723900462966</v>
      </c>
      <c r="B30" s="24">
        <v>1500</v>
      </c>
      <c r="C30" s="24">
        <v>32.56</v>
      </c>
      <c r="D30" s="24" t="s">
        <v>903</v>
      </c>
      <c r="E30" s="24">
        <v>48.89</v>
      </c>
      <c r="F30" s="24" t="s">
        <v>904</v>
      </c>
      <c r="G30" s="24">
        <v>153</v>
      </c>
      <c r="H30" s="24" t="s">
        <v>905</v>
      </c>
      <c r="I30" s="24">
        <v>117.8</v>
      </c>
      <c r="J30" s="24" t="s">
        <v>906</v>
      </c>
    </row>
    <row r="31" spans="1:10" x14ac:dyDescent="0.15">
      <c r="A31" s="28">
        <v>43210.723935185182</v>
      </c>
      <c r="B31" s="24">
        <v>1500</v>
      </c>
      <c r="C31" s="24">
        <v>33.11</v>
      </c>
      <c r="D31" s="24" t="s">
        <v>907</v>
      </c>
      <c r="E31" s="24">
        <v>50.02</v>
      </c>
      <c r="F31" s="24" t="s">
        <v>908</v>
      </c>
      <c r="G31" s="24">
        <v>149.30000000000001</v>
      </c>
      <c r="H31" s="24" t="s">
        <v>909</v>
      </c>
      <c r="I31" s="24">
        <v>118.2</v>
      </c>
      <c r="J31" s="24" t="s">
        <v>910</v>
      </c>
    </row>
    <row r="32" spans="1:10" x14ac:dyDescent="0.15">
      <c r="A32" s="28">
        <v>43210.723958333336</v>
      </c>
      <c r="B32" s="24">
        <v>1499</v>
      </c>
      <c r="C32" s="24">
        <v>33.65</v>
      </c>
      <c r="D32" s="24" t="s">
        <v>911</v>
      </c>
      <c r="E32" s="24">
        <v>47.01</v>
      </c>
      <c r="F32" s="24" t="s">
        <v>912</v>
      </c>
      <c r="G32" s="24">
        <v>151.4</v>
      </c>
      <c r="H32" s="24" t="s">
        <v>913</v>
      </c>
      <c r="I32" s="24">
        <v>118.1</v>
      </c>
      <c r="J32" s="24" t="s">
        <v>914</v>
      </c>
    </row>
    <row r="33" spans="1:10" x14ac:dyDescent="0.15">
      <c r="A33" s="28">
        <v>43210.723993055559</v>
      </c>
      <c r="B33" s="24">
        <v>1499</v>
      </c>
      <c r="C33" s="24">
        <v>33.76</v>
      </c>
      <c r="D33" s="24" t="s">
        <v>915</v>
      </c>
      <c r="E33" s="24">
        <v>46.23</v>
      </c>
      <c r="F33" s="24" t="s">
        <v>916</v>
      </c>
      <c r="G33" s="24">
        <v>152.1</v>
      </c>
      <c r="H33" s="24" t="s">
        <v>917</v>
      </c>
      <c r="I33" s="24">
        <v>113.2</v>
      </c>
      <c r="J33" s="24" t="s">
        <v>918</v>
      </c>
    </row>
    <row r="34" spans="1:10" x14ac:dyDescent="0.15">
      <c r="A34" s="28">
        <v>43210.724027777775</v>
      </c>
      <c r="B34" s="24">
        <v>1499</v>
      </c>
      <c r="C34" s="24">
        <v>34.22</v>
      </c>
      <c r="D34" s="24" t="s">
        <v>919</v>
      </c>
      <c r="E34" s="24">
        <v>45.88</v>
      </c>
      <c r="F34" s="24" t="s">
        <v>920</v>
      </c>
      <c r="G34" s="24">
        <v>146.6</v>
      </c>
      <c r="H34" s="24" t="s">
        <v>921</v>
      </c>
      <c r="I34" s="24">
        <v>109.7</v>
      </c>
      <c r="J34" s="24" t="s">
        <v>922</v>
      </c>
    </row>
    <row r="35" spans="1:10" x14ac:dyDescent="0.15">
      <c r="A35" s="28">
        <v>43210.724050925928</v>
      </c>
      <c r="B35" s="24">
        <v>1499</v>
      </c>
      <c r="C35" s="24">
        <v>36.33</v>
      </c>
      <c r="D35" s="24" t="s">
        <v>923</v>
      </c>
      <c r="E35" s="24">
        <v>46.01</v>
      </c>
      <c r="F35" s="24" t="s">
        <v>924</v>
      </c>
      <c r="G35" s="24">
        <v>146.30000000000001</v>
      </c>
      <c r="H35" s="24" t="s">
        <v>925</v>
      </c>
      <c r="I35" s="24">
        <v>115.9</v>
      </c>
      <c r="J35" s="24" t="s">
        <v>926</v>
      </c>
    </row>
    <row r="36" spans="1:10" x14ac:dyDescent="0.15">
      <c r="A36" s="28">
        <v>43210.724085648151</v>
      </c>
      <c r="B36" s="24">
        <v>1499</v>
      </c>
      <c r="C36" s="24">
        <v>35.450000000000003</v>
      </c>
      <c r="D36" s="24" t="s">
        <v>927</v>
      </c>
      <c r="E36" s="24">
        <v>46.69</v>
      </c>
      <c r="F36" s="24" t="s">
        <v>928</v>
      </c>
      <c r="G36" s="24">
        <v>147.1</v>
      </c>
      <c r="H36" s="24" t="s">
        <v>929</v>
      </c>
      <c r="I36" s="24">
        <v>110.6</v>
      </c>
      <c r="J36" s="24" t="s">
        <v>930</v>
      </c>
    </row>
    <row r="37" spans="1:10" x14ac:dyDescent="0.15">
      <c r="A37" s="28">
        <v>43210.724120370367</v>
      </c>
      <c r="B37" s="24">
        <v>1499</v>
      </c>
      <c r="C37" s="24">
        <v>35.590000000000003</v>
      </c>
      <c r="D37" s="24" t="s">
        <v>931</v>
      </c>
      <c r="E37" s="24">
        <v>44.21</v>
      </c>
      <c r="F37" s="24" t="s">
        <v>932</v>
      </c>
      <c r="G37" s="24">
        <v>142.6</v>
      </c>
      <c r="H37" s="24" t="s">
        <v>933</v>
      </c>
      <c r="I37" s="24">
        <v>117.1</v>
      </c>
      <c r="J37" s="24" t="s">
        <v>934</v>
      </c>
    </row>
    <row r="38" spans="1:10" x14ac:dyDescent="0.15">
      <c r="A38" s="28">
        <v>43210.724143518521</v>
      </c>
      <c r="B38" s="24">
        <v>1499</v>
      </c>
      <c r="C38" s="24">
        <v>36.229999999999997</v>
      </c>
      <c r="D38" s="24" t="s">
        <v>935</v>
      </c>
      <c r="E38" s="24">
        <v>45.45</v>
      </c>
      <c r="F38" s="24" t="s">
        <v>936</v>
      </c>
      <c r="G38" s="24">
        <v>143.5</v>
      </c>
      <c r="H38" s="24" t="s">
        <v>937</v>
      </c>
      <c r="I38" s="24">
        <v>113.9</v>
      </c>
      <c r="J38" s="24" t="s">
        <v>938</v>
      </c>
    </row>
    <row r="39" spans="1:10" x14ac:dyDescent="0.15">
      <c r="A39" s="28">
        <v>43210.724178240744</v>
      </c>
      <c r="B39" s="24">
        <v>1499</v>
      </c>
      <c r="C39" s="24">
        <v>36.61</v>
      </c>
      <c r="D39" s="24" t="s">
        <v>939</v>
      </c>
      <c r="E39" s="24">
        <v>44.42</v>
      </c>
      <c r="F39" s="24" t="s">
        <v>940</v>
      </c>
      <c r="G39" s="24">
        <v>141.4</v>
      </c>
      <c r="H39" s="24" t="s">
        <v>941</v>
      </c>
      <c r="I39" s="24">
        <v>106.5</v>
      </c>
      <c r="J39" s="24" t="s">
        <v>942</v>
      </c>
    </row>
    <row r="40" spans="1:10" x14ac:dyDescent="0.15">
      <c r="A40" s="28">
        <v>43210.724212962959</v>
      </c>
      <c r="B40" s="24">
        <v>1499</v>
      </c>
      <c r="C40" s="24">
        <v>36.369999999999997</v>
      </c>
      <c r="D40" s="24" t="s">
        <v>943</v>
      </c>
      <c r="E40" s="24">
        <v>42.31</v>
      </c>
      <c r="F40" s="24" t="s">
        <v>944</v>
      </c>
      <c r="G40" s="24">
        <v>141.30000000000001</v>
      </c>
      <c r="H40" s="24" t="s">
        <v>945</v>
      </c>
      <c r="I40" s="24">
        <v>114.2</v>
      </c>
      <c r="J40" s="24" t="s">
        <v>946</v>
      </c>
    </row>
    <row r="41" spans="1:10" x14ac:dyDescent="0.15">
      <c r="A41" s="28">
        <v>43210.724236111113</v>
      </c>
      <c r="B41" s="24">
        <v>1499</v>
      </c>
      <c r="C41" s="24">
        <v>36.71</v>
      </c>
      <c r="D41" s="24" t="s">
        <v>947</v>
      </c>
      <c r="E41" s="24">
        <v>44.37</v>
      </c>
      <c r="F41" s="24" t="s">
        <v>948</v>
      </c>
      <c r="G41" s="24">
        <v>138.19999999999999</v>
      </c>
      <c r="H41" s="24" t="s">
        <v>949</v>
      </c>
      <c r="I41" s="24">
        <v>113.4</v>
      </c>
      <c r="J41" s="24" t="s">
        <v>950</v>
      </c>
    </row>
    <row r="42" spans="1:10" x14ac:dyDescent="0.15">
      <c r="A42" s="28">
        <v>43210.724270833336</v>
      </c>
      <c r="B42" s="24">
        <v>1499</v>
      </c>
      <c r="C42" s="24">
        <v>37.19</v>
      </c>
      <c r="D42" s="24" t="s">
        <v>951</v>
      </c>
      <c r="E42" s="24">
        <v>43.13</v>
      </c>
      <c r="F42" s="24" t="s">
        <v>952</v>
      </c>
      <c r="G42" s="24">
        <v>142.1</v>
      </c>
      <c r="H42" s="24" t="s">
        <v>953</v>
      </c>
      <c r="I42" s="24">
        <v>113.8</v>
      </c>
      <c r="J42" s="24" t="s">
        <v>954</v>
      </c>
    </row>
    <row r="43" spans="1:10" x14ac:dyDescent="0.15">
      <c r="A43" s="28">
        <v>43210.724305555559</v>
      </c>
      <c r="B43" s="24">
        <v>1499</v>
      </c>
      <c r="C43" s="24">
        <v>38.450000000000003</v>
      </c>
      <c r="D43" s="24" t="s">
        <v>955</v>
      </c>
      <c r="E43" s="24">
        <v>42.12</v>
      </c>
      <c r="F43" s="24" t="s">
        <v>956</v>
      </c>
      <c r="G43" s="24">
        <v>139.6</v>
      </c>
      <c r="H43" s="24" t="s">
        <v>957</v>
      </c>
      <c r="I43" s="24">
        <v>110.2</v>
      </c>
      <c r="J43" s="24" t="s">
        <v>950</v>
      </c>
    </row>
    <row r="44" spans="1:10" x14ac:dyDescent="0.15">
      <c r="A44" s="28">
        <v>43210.724340277775</v>
      </c>
      <c r="B44" s="24">
        <v>1499</v>
      </c>
      <c r="C44" s="24">
        <v>40.159999999999997</v>
      </c>
      <c r="D44" s="24" t="s">
        <v>958</v>
      </c>
      <c r="E44" s="24">
        <v>40.880000000000003</v>
      </c>
      <c r="F44" s="24" t="s">
        <v>959</v>
      </c>
      <c r="G44" s="24">
        <v>143.4</v>
      </c>
      <c r="H44" s="24" t="s">
        <v>960</v>
      </c>
      <c r="I44" s="24">
        <v>109.2</v>
      </c>
      <c r="J44" s="24" t="s">
        <v>961</v>
      </c>
    </row>
    <row r="45" spans="1:10" x14ac:dyDescent="0.15">
      <c r="A45" s="28">
        <v>43210.724363425928</v>
      </c>
      <c r="B45" s="24">
        <v>1499</v>
      </c>
      <c r="C45" s="24">
        <v>38.590000000000003</v>
      </c>
      <c r="D45" s="24" t="s">
        <v>962</v>
      </c>
      <c r="E45" s="24">
        <v>41.2</v>
      </c>
      <c r="F45" s="24" t="s">
        <v>963</v>
      </c>
      <c r="G45" s="24">
        <v>145.80000000000001</v>
      </c>
      <c r="H45" s="24" t="s">
        <v>964</v>
      </c>
      <c r="I45" s="24">
        <v>108.4</v>
      </c>
      <c r="J45" s="24" t="s">
        <v>965</v>
      </c>
    </row>
    <row r="46" spans="1:10" x14ac:dyDescent="0.15">
      <c r="A46" s="28">
        <v>43210.724398148152</v>
      </c>
      <c r="B46" s="24">
        <v>1499</v>
      </c>
      <c r="C46" s="24">
        <v>40.35</v>
      </c>
      <c r="D46" s="24" t="s">
        <v>966</v>
      </c>
      <c r="E46" s="24">
        <v>39.79</v>
      </c>
      <c r="F46" s="24" t="s">
        <v>967</v>
      </c>
      <c r="G46" s="24">
        <v>143</v>
      </c>
      <c r="H46" s="24" t="s">
        <v>968</v>
      </c>
      <c r="I46" s="24">
        <v>108.1</v>
      </c>
      <c r="J46" s="24" t="s">
        <v>969</v>
      </c>
    </row>
    <row r="47" spans="1:10" x14ac:dyDescent="0.15">
      <c r="A47" s="28">
        <v>43210.724432870367</v>
      </c>
      <c r="B47" s="24">
        <v>1499</v>
      </c>
      <c r="C47" s="24">
        <v>39.590000000000003</v>
      </c>
      <c r="D47" s="24" t="s">
        <v>970</v>
      </c>
      <c r="E47" s="24">
        <v>41.08</v>
      </c>
      <c r="F47" s="24" t="s">
        <v>971</v>
      </c>
      <c r="G47" s="24">
        <v>135.69999999999999</v>
      </c>
      <c r="H47" s="24" t="s">
        <v>972</v>
      </c>
      <c r="I47" s="24">
        <v>106.8</v>
      </c>
      <c r="J47" s="24" t="s">
        <v>973</v>
      </c>
    </row>
    <row r="48" spans="1:10" x14ac:dyDescent="0.15">
      <c r="A48" s="28">
        <v>43210.724456018521</v>
      </c>
      <c r="B48" s="24">
        <v>1499</v>
      </c>
      <c r="C48" s="24">
        <v>39.89</v>
      </c>
      <c r="D48" s="24" t="s">
        <v>974</v>
      </c>
      <c r="E48" s="24">
        <v>40.67</v>
      </c>
      <c r="F48" s="24" t="s">
        <v>975</v>
      </c>
      <c r="G48" s="24">
        <v>140</v>
      </c>
      <c r="H48" s="24" t="s">
        <v>976</v>
      </c>
      <c r="I48" s="24">
        <v>110.9</v>
      </c>
      <c r="J48" s="24" t="s">
        <v>977</v>
      </c>
    </row>
    <row r="49" spans="1:10" x14ac:dyDescent="0.15">
      <c r="A49" s="28">
        <v>43210.724490740744</v>
      </c>
      <c r="B49" s="24">
        <v>1499</v>
      </c>
      <c r="C49" s="24">
        <v>39.46</v>
      </c>
      <c r="D49" s="24" t="s">
        <v>978</v>
      </c>
      <c r="E49" s="24">
        <v>40.08</v>
      </c>
      <c r="F49" s="24" t="s">
        <v>979</v>
      </c>
      <c r="G49" s="24">
        <v>138.30000000000001</v>
      </c>
      <c r="H49" s="24" t="s">
        <v>980</v>
      </c>
      <c r="I49" s="24">
        <v>107.8</v>
      </c>
      <c r="J49" s="24" t="s">
        <v>981</v>
      </c>
    </row>
    <row r="50" spans="1:10" x14ac:dyDescent="0.15">
      <c r="A50" s="28">
        <v>43210.72452546296</v>
      </c>
      <c r="B50" s="24">
        <v>1499</v>
      </c>
      <c r="C50" s="24">
        <v>41.75</v>
      </c>
      <c r="D50" s="24" t="s">
        <v>982</v>
      </c>
      <c r="E50" s="24">
        <v>38.72</v>
      </c>
      <c r="F50" s="24" t="s">
        <v>983</v>
      </c>
      <c r="G50" s="24">
        <v>137.5</v>
      </c>
      <c r="H50" s="24" t="s">
        <v>984</v>
      </c>
      <c r="I50" s="24">
        <v>105.1</v>
      </c>
      <c r="J50" s="24" t="s">
        <v>985</v>
      </c>
    </row>
    <row r="51" spans="1:10" x14ac:dyDescent="0.15">
      <c r="A51" s="28">
        <v>43210.724548611113</v>
      </c>
      <c r="B51" s="24">
        <v>1499</v>
      </c>
      <c r="C51" s="24">
        <v>41.29</v>
      </c>
      <c r="D51" s="24" t="s">
        <v>986</v>
      </c>
      <c r="E51" s="24">
        <v>39.07</v>
      </c>
      <c r="F51" s="24" t="s">
        <v>987</v>
      </c>
      <c r="G51" s="24">
        <v>139</v>
      </c>
      <c r="H51" s="24" t="s">
        <v>988</v>
      </c>
      <c r="I51" s="24">
        <v>109.8</v>
      </c>
      <c r="J51" s="24" t="s">
        <v>989</v>
      </c>
    </row>
    <row r="52" spans="1:10" x14ac:dyDescent="0.15">
      <c r="A52" s="28">
        <v>43210.724583333336</v>
      </c>
      <c r="B52" s="24">
        <v>1499</v>
      </c>
      <c r="C52" s="24">
        <v>41.61</v>
      </c>
      <c r="D52" s="24" t="s">
        <v>990</v>
      </c>
      <c r="E52" s="24">
        <v>39.71</v>
      </c>
      <c r="F52" s="24" t="s">
        <v>991</v>
      </c>
      <c r="G52" s="24">
        <v>137.5</v>
      </c>
      <c r="H52" s="24" t="s">
        <v>992</v>
      </c>
      <c r="I52" s="24">
        <v>107.9</v>
      </c>
      <c r="J52" s="24" t="s">
        <v>993</v>
      </c>
    </row>
    <row r="53" spans="1:10" x14ac:dyDescent="0.15">
      <c r="A53" s="28">
        <v>43210.724618055552</v>
      </c>
      <c r="B53" s="24">
        <v>1499</v>
      </c>
      <c r="C53" s="24">
        <v>41.29</v>
      </c>
      <c r="D53" s="24" t="s">
        <v>994</v>
      </c>
      <c r="E53" s="24">
        <v>37.979999999999997</v>
      </c>
      <c r="F53" s="24" t="s">
        <v>995</v>
      </c>
      <c r="G53" s="24">
        <v>136.1</v>
      </c>
      <c r="H53" s="24" t="s">
        <v>996</v>
      </c>
      <c r="I53" s="24">
        <v>103.7</v>
      </c>
      <c r="J53" s="24" t="s">
        <v>997</v>
      </c>
    </row>
    <row r="54" spans="1:10" x14ac:dyDescent="0.15">
      <c r="A54" s="28">
        <v>43210.724641203706</v>
      </c>
      <c r="B54" s="24">
        <v>1499</v>
      </c>
      <c r="C54" s="24">
        <v>42.43</v>
      </c>
      <c r="D54" s="24" t="s">
        <v>998</v>
      </c>
      <c r="E54" s="24">
        <v>38.090000000000003</v>
      </c>
      <c r="F54" s="24" t="s">
        <v>999</v>
      </c>
      <c r="G54" s="24">
        <v>132.80000000000001</v>
      </c>
      <c r="H54" s="24" t="s">
        <v>1000</v>
      </c>
      <c r="I54" s="24">
        <v>104.1</v>
      </c>
      <c r="J54" s="24" t="s">
        <v>1001</v>
      </c>
    </row>
    <row r="55" spans="1:10" x14ac:dyDescent="0.15">
      <c r="A55" s="28">
        <v>43210.724675925929</v>
      </c>
      <c r="B55" s="24">
        <v>1499</v>
      </c>
      <c r="C55" s="24">
        <v>44.1</v>
      </c>
      <c r="D55" s="24" t="s">
        <v>1002</v>
      </c>
      <c r="E55" s="24">
        <v>38.299999999999997</v>
      </c>
      <c r="F55" s="24" t="s">
        <v>1003</v>
      </c>
      <c r="G55" s="24">
        <v>136.1</v>
      </c>
      <c r="H55" s="24" t="s">
        <v>1004</v>
      </c>
      <c r="I55" s="24">
        <v>104.5</v>
      </c>
      <c r="J55" s="24" t="s">
        <v>1005</v>
      </c>
    </row>
    <row r="56" spans="1:10" x14ac:dyDescent="0.15">
      <c r="A56" s="28">
        <v>43210.724710648145</v>
      </c>
      <c r="B56" s="24">
        <v>1499</v>
      </c>
      <c r="C56" s="24">
        <v>41.36</v>
      </c>
      <c r="D56" s="24" t="s">
        <v>1006</v>
      </c>
      <c r="E56" s="24">
        <v>36.4</v>
      </c>
      <c r="F56" s="24" t="s">
        <v>1007</v>
      </c>
      <c r="G56" s="24">
        <v>133.80000000000001</v>
      </c>
      <c r="H56" s="24" t="s">
        <v>1008</v>
      </c>
      <c r="I56" s="24">
        <v>106.1</v>
      </c>
      <c r="J56" s="24" t="s">
        <v>1009</v>
      </c>
    </row>
    <row r="57" spans="1:10" x14ac:dyDescent="0.15">
      <c r="A57" s="28">
        <v>43210.724733796298</v>
      </c>
      <c r="B57" s="24">
        <v>1499</v>
      </c>
      <c r="C57" s="24">
        <v>42.46</v>
      </c>
      <c r="D57" s="24" t="s">
        <v>1010</v>
      </c>
      <c r="E57" s="24">
        <v>36.229999999999997</v>
      </c>
      <c r="F57" s="24" t="s">
        <v>1011</v>
      </c>
      <c r="G57" s="24">
        <v>139.69999999999999</v>
      </c>
      <c r="H57" s="24" t="s">
        <v>1012</v>
      </c>
      <c r="I57" s="24">
        <v>102.6</v>
      </c>
      <c r="J57" s="24" t="s">
        <v>1013</v>
      </c>
    </row>
    <row r="58" spans="1:10" x14ac:dyDescent="0.15">
      <c r="A58" s="28">
        <v>43210.724768518521</v>
      </c>
      <c r="B58" s="24">
        <v>1499</v>
      </c>
      <c r="C58" s="24">
        <v>43.39</v>
      </c>
      <c r="D58" s="24" t="s">
        <v>1014</v>
      </c>
      <c r="E58" s="24">
        <v>36.17</v>
      </c>
      <c r="F58" s="24" t="s">
        <v>1015</v>
      </c>
      <c r="G58" s="24">
        <v>135.80000000000001</v>
      </c>
      <c r="H58" s="24" t="s">
        <v>1008</v>
      </c>
      <c r="I58" s="24">
        <v>103.5</v>
      </c>
      <c r="J58" s="24" t="s">
        <v>1016</v>
      </c>
    </row>
    <row r="59" spans="1:10" x14ac:dyDescent="0.15">
      <c r="A59" s="28">
        <v>43210.724803240744</v>
      </c>
      <c r="B59" s="24">
        <v>1499</v>
      </c>
      <c r="C59" s="24">
        <v>42.89</v>
      </c>
      <c r="D59" s="24" t="s">
        <v>1017</v>
      </c>
      <c r="E59" s="24">
        <v>36.31</v>
      </c>
      <c r="F59" s="24" t="s">
        <v>1018</v>
      </c>
      <c r="G59" s="24">
        <v>137.9</v>
      </c>
      <c r="H59" s="24" t="s">
        <v>1019</v>
      </c>
      <c r="I59" s="24">
        <v>99.11</v>
      </c>
      <c r="J59" s="24" t="s">
        <v>1020</v>
      </c>
    </row>
    <row r="60" spans="1:10" x14ac:dyDescent="0.15">
      <c r="A60" s="28">
        <v>43210.72483796296</v>
      </c>
      <c r="B60" s="24">
        <v>1499</v>
      </c>
      <c r="C60" s="24">
        <v>43.22</v>
      </c>
      <c r="D60" s="24" t="s">
        <v>1021</v>
      </c>
      <c r="E60" s="24">
        <v>37.450000000000003</v>
      </c>
      <c r="F60" s="24" t="s">
        <v>1022</v>
      </c>
      <c r="G60" s="24">
        <v>134.19999999999999</v>
      </c>
      <c r="H60" s="24" t="s">
        <v>1023</v>
      </c>
      <c r="I60" s="24">
        <v>103.1</v>
      </c>
      <c r="J60" s="24" t="s">
        <v>1024</v>
      </c>
    </row>
    <row r="61" spans="1:10" x14ac:dyDescent="0.15">
      <c r="A61" s="28">
        <v>43210.724861111114</v>
      </c>
      <c r="B61" s="24">
        <v>1499</v>
      </c>
      <c r="C61" s="24">
        <v>43.14</v>
      </c>
      <c r="D61" s="24" t="s">
        <v>1025</v>
      </c>
      <c r="E61" s="24">
        <v>35.86</v>
      </c>
      <c r="F61" s="24" t="s">
        <v>1026</v>
      </c>
      <c r="G61" s="24">
        <v>137.1</v>
      </c>
      <c r="H61" s="24" t="s">
        <v>1027</v>
      </c>
      <c r="I61" s="24">
        <v>101.3</v>
      </c>
      <c r="J61" s="24" t="s">
        <v>1028</v>
      </c>
    </row>
    <row r="62" spans="1:10" x14ac:dyDescent="0.15">
      <c r="A62" s="28">
        <v>43210.724895833337</v>
      </c>
      <c r="B62" s="24">
        <v>1499</v>
      </c>
      <c r="C62" s="24">
        <v>44.29</v>
      </c>
      <c r="D62" s="24" t="s">
        <v>1029</v>
      </c>
      <c r="E62" s="24">
        <v>35.71</v>
      </c>
      <c r="F62" s="24" t="s">
        <v>1030</v>
      </c>
      <c r="G62" s="24">
        <v>137.9</v>
      </c>
      <c r="H62" s="24" t="s">
        <v>1031</v>
      </c>
      <c r="I62" s="24">
        <v>103.9</v>
      </c>
      <c r="J62" s="24" t="s">
        <v>1032</v>
      </c>
    </row>
    <row r="63" spans="1:10" x14ac:dyDescent="0.15">
      <c r="A63" s="28">
        <v>43210.724930555552</v>
      </c>
      <c r="B63" s="24">
        <v>1499</v>
      </c>
      <c r="C63" s="24">
        <v>44.43</v>
      </c>
      <c r="D63" s="24" t="s">
        <v>1033</v>
      </c>
      <c r="E63" s="24">
        <v>34.99</v>
      </c>
      <c r="F63" s="24" t="s">
        <v>1034</v>
      </c>
      <c r="G63" s="24">
        <v>137.4</v>
      </c>
      <c r="H63" s="24" t="s">
        <v>1035</v>
      </c>
      <c r="I63" s="24">
        <v>100.2</v>
      </c>
      <c r="J63" s="24" t="s">
        <v>1036</v>
      </c>
    </row>
    <row r="64" spans="1:10" x14ac:dyDescent="0.15">
      <c r="A64" s="28">
        <v>43210.724953703706</v>
      </c>
      <c r="B64" s="24">
        <v>1499</v>
      </c>
      <c r="C64" s="24">
        <v>43.79</v>
      </c>
      <c r="D64" s="24" t="s">
        <v>1037</v>
      </c>
      <c r="E64" s="24">
        <v>34.46</v>
      </c>
      <c r="F64" s="24" t="s">
        <v>1038</v>
      </c>
      <c r="G64" s="24">
        <v>130</v>
      </c>
      <c r="H64" s="24" t="s">
        <v>1039</v>
      </c>
      <c r="I64" s="24">
        <v>99.64</v>
      </c>
      <c r="J64" s="24" t="s">
        <v>1040</v>
      </c>
    </row>
    <row r="65" spans="1:10" x14ac:dyDescent="0.15">
      <c r="A65" s="28">
        <v>43210.724988425929</v>
      </c>
      <c r="B65" s="24">
        <v>1499</v>
      </c>
      <c r="C65" s="24">
        <v>43.27</v>
      </c>
      <c r="D65" s="24" t="s">
        <v>1041</v>
      </c>
      <c r="E65" s="24">
        <v>36.22</v>
      </c>
      <c r="F65" s="24" t="s">
        <v>1042</v>
      </c>
      <c r="G65" s="24">
        <v>130.6</v>
      </c>
      <c r="H65" s="24" t="s">
        <v>1043</v>
      </c>
      <c r="I65" s="24">
        <v>105.4</v>
      </c>
      <c r="J65" s="24" t="s">
        <v>1044</v>
      </c>
    </row>
    <row r="66" spans="1:10" x14ac:dyDescent="0.15">
      <c r="A66" s="28">
        <v>43210.725023148145</v>
      </c>
      <c r="B66" s="24">
        <v>1499</v>
      </c>
      <c r="C66" s="24">
        <v>42.89</v>
      </c>
      <c r="D66" s="24" t="s">
        <v>1045</v>
      </c>
      <c r="E66" s="24">
        <v>36.380000000000003</v>
      </c>
      <c r="F66" s="24" t="s">
        <v>1046</v>
      </c>
      <c r="G66" s="24">
        <v>132.69999999999999</v>
      </c>
      <c r="H66" s="24" t="s">
        <v>1035</v>
      </c>
      <c r="I66" s="24">
        <v>101.5</v>
      </c>
      <c r="J66" s="24" t="s">
        <v>1047</v>
      </c>
    </row>
    <row r="67" spans="1:10" x14ac:dyDescent="0.15">
      <c r="A67" s="28">
        <v>43210.725046296298</v>
      </c>
      <c r="B67" s="24">
        <v>1500</v>
      </c>
      <c r="C67" s="24">
        <v>45.13</v>
      </c>
      <c r="D67" s="24" t="s">
        <v>1048</v>
      </c>
      <c r="E67" s="24">
        <v>34.03</v>
      </c>
      <c r="F67" s="24" t="s">
        <v>1049</v>
      </c>
      <c r="G67" s="24">
        <v>132.5</v>
      </c>
      <c r="H67" s="24" t="s">
        <v>1050</v>
      </c>
      <c r="I67" s="24">
        <v>99.26</v>
      </c>
      <c r="J67" s="24" t="s">
        <v>1051</v>
      </c>
    </row>
    <row r="68" spans="1:10" x14ac:dyDescent="0.15">
      <c r="A68" s="28">
        <v>43210.725081018521</v>
      </c>
      <c r="B68" s="24">
        <v>1500</v>
      </c>
      <c r="C68" s="24">
        <v>46.27</v>
      </c>
      <c r="D68" s="24" t="s">
        <v>1052</v>
      </c>
      <c r="E68" s="24">
        <v>36.090000000000003</v>
      </c>
      <c r="F68" s="24" t="s">
        <v>1053</v>
      </c>
      <c r="G68" s="24">
        <v>132.80000000000001</v>
      </c>
      <c r="H68" s="24" t="s">
        <v>1054</v>
      </c>
      <c r="I68" s="24">
        <v>98.64</v>
      </c>
      <c r="J68" s="24" t="s">
        <v>1055</v>
      </c>
    </row>
    <row r="69" spans="1:10" x14ac:dyDescent="0.15">
      <c r="A69" s="28">
        <v>43210.725115740737</v>
      </c>
      <c r="B69" s="24">
        <v>1500</v>
      </c>
      <c r="C69" s="24">
        <v>45.58</v>
      </c>
      <c r="D69" s="24" t="s">
        <v>1056</v>
      </c>
      <c r="E69" s="24">
        <v>32.85</v>
      </c>
      <c r="F69" s="24" t="s">
        <v>1057</v>
      </c>
      <c r="G69" s="24">
        <v>134.6</v>
      </c>
      <c r="H69" s="24" t="s">
        <v>1058</v>
      </c>
      <c r="I69" s="24">
        <v>98.25</v>
      </c>
      <c r="J69" s="24" t="s">
        <v>1059</v>
      </c>
    </row>
    <row r="70" spans="1:10" x14ac:dyDescent="0.15">
      <c r="A70" s="28">
        <v>43210.725138888891</v>
      </c>
      <c r="B70" s="24">
        <v>1500</v>
      </c>
      <c r="C70" s="24">
        <v>45.91</v>
      </c>
      <c r="D70" s="24" t="s">
        <v>1060</v>
      </c>
      <c r="E70" s="24">
        <v>33.69</v>
      </c>
      <c r="F70" s="24" t="s">
        <v>1061</v>
      </c>
      <c r="G70" s="24">
        <v>131</v>
      </c>
      <c r="H70" s="24" t="s">
        <v>1062</v>
      </c>
      <c r="I70" s="24">
        <v>99.62</v>
      </c>
      <c r="J70" s="24" t="s">
        <v>1063</v>
      </c>
    </row>
    <row r="71" spans="1:10" x14ac:dyDescent="0.15">
      <c r="A71" s="28">
        <v>43210.725173611114</v>
      </c>
      <c r="B71" s="24">
        <v>1501</v>
      </c>
      <c r="C71" s="24">
        <v>46.16</v>
      </c>
      <c r="D71" s="24" t="s">
        <v>1064</v>
      </c>
      <c r="E71" s="24">
        <v>33.83</v>
      </c>
      <c r="F71" s="24" t="s">
        <v>1065</v>
      </c>
      <c r="G71" s="24">
        <v>132.19999999999999</v>
      </c>
      <c r="H71" s="24" t="s">
        <v>1066</v>
      </c>
      <c r="I71" s="24">
        <v>100.8</v>
      </c>
      <c r="J71" s="24" t="s">
        <v>1067</v>
      </c>
    </row>
    <row r="72" spans="1:10" x14ac:dyDescent="0.15">
      <c r="A72" s="28">
        <v>43210.725208333337</v>
      </c>
      <c r="B72" s="24">
        <v>1501</v>
      </c>
      <c r="C72" s="24">
        <v>45.88</v>
      </c>
      <c r="D72" s="24" t="s">
        <v>1068</v>
      </c>
      <c r="E72" s="24">
        <v>33.909999999999997</v>
      </c>
      <c r="F72" s="24" t="s">
        <v>1069</v>
      </c>
      <c r="G72" s="24">
        <v>129.80000000000001</v>
      </c>
      <c r="H72" s="24" t="s">
        <v>1070</v>
      </c>
      <c r="I72" s="24">
        <v>101</v>
      </c>
      <c r="J72" s="24" t="s">
        <v>1071</v>
      </c>
    </row>
    <row r="73" spans="1:10" x14ac:dyDescent="0.15">
      <c r="A73" s="28">
        <v>43210.725243055553</v>
      </c>
      <c r="B73" s="24">
        <v>1501</v>
      </c>
      <c r="C73" s="24">
        <v>45.62</v>
      </c>
      <c r="D73" s="24" t="s">
        <v>1072</v>
      </c>
      <c r="E73" s="24">
        <v>32.979999999999997</v>
      </c>
      <c r="F73" s="24" t="s">
        <v>1073</v>
      </c>
      <c r="G73" s="24">
        <v>132.5</v>
      </c>
      <c r="H73" s="24" t="s">
        <v>1074</v>
      </c>
      <c r="I73" s="24">
        <v>96.92</v>
      </c>
      <c r="J73" s="24" t="s">
        <v>1075</v>
      </c>
    </row>
    <row r="74" spans="1:10" x14ac:dyDescent="0.15">
      <c r="A74" s="28">
        <v>43210.725266203706</v>
      </c>
      <c r="B74" s="24">
        <v>1501</v>
      </c>
      <c r="C74" s="24">
        <v>45.09</v>
      </c>
      <c r="D74" s="24" t="s">
        <v>1076</v>
      </c>
      <c r="E74" s="24">
        <v>32.6</v>
      </c>
      <c r="F74" s="24" t="s">
        <v>1077</v>
      </c>
      <c r="G74" s="24">
        <v>133.5</v>
      </c>
      <c r="H74" s="24" t="s">
        <v>1078</v>
      </c>
      <c r="I74" s="24">
        <v>98.34</v>
      </c>
      <c r="J74" s="24" t="s">
        <v>1079</v>
      </c>
    </row>
    <row r="75" spans="1:10" x14ac:dyDescent="0.15">
      <c r="A75" s="28">
        <v>43210.725300925929</v>
      </c>
      <c r="B75" s="24">
        <v>1500</v>
      </c>
      <c r="C75" s="24">
        <v>45.27</v>
      </c>
      <c r="D75" s="24" t="s">
        <v>1080</v>
      </c>
      <c r="E75" s="24">
        <v>32.83</v>
      </c>
      <c r="F75" s="24" t="s">
        <v>1081</v>
      </c>
      <c r="G75" s="24">
        <v>131</v>
      </c>
      <c r="H75" s="24" t="s">
        <v>1082</v>
      </c>
      <c r="I75" s="24">
        <v>98.23</v>
      </c>
      <c r="J75" s="24" t="s">
        <v>1083</v>
      </c>
    </row>
    <row r="76" spans="1:10" x14ac:dyDescent="0.15">
      <c r="A76" s="28">
        <v>43210.725335648145</v>
      </c>
      <c r="B76" s="24">
        <v>1501</v>
      </c>
      <c r="C76" s="24">
        <v>45.15</v>
      </c>
      <c r="D76" s="24" t="s">
        <v>1084</v>
      </c>
      <c r="E76" s="24">
        <v>31.88</v>
      </c>
      <c r="F76" s="24" t="s">
        <v>1085</v>
      </c>
      <c r="G76" s="24">
        <v>135.5</v>
      </c>
      <c r="H76" s="24" t="s">
        <v>1086</v>
      </c>
      <c r="I76" s="24">
        <v>96.3</v>
      </c>
      <c r="J76" s="24" t="s">
        <v>1087</v>
      </c>
    </row>
    <row r="77" spans="1:10" x14ac:dyDescent="0.15">
      <c r="A77" s="28">
        <v>43210.725358796299</v>
      </c>
      <c r="B77" s="24">
        <v>1501</v>
      </c>
      <c r="C77" s="24">
        <v>45.88</v>
      </c>
      <c r="D77" s="24" t="s">
        <v>1088</v>
      </c>
      <c r="E77" s="24">
        <v>32.1</v>
      </c>
      <c r="F77" s="24" t="s">
        <v>1089</v>
      </c>
      <c r="G77" s="24">
        <v>127.8</v>
      </c>
      <c r="H77" s="24" t="s">
        <v>1090</v>
      </c>
      <c r="I77" s="24">
        <v>90.91</v>
      </c>
      <c r="J77" s="24" t="s">
        <v>1091</v>
      </c>
    </row>
    <row r="78" spans="1:10" x14ac:dyDescent="0.15">
      <c r="A78" s="28">
        <v>43210.725393518522</v>
      </c>
      <c r="B78" s="24">
        <v>1501</v>
      </c>
      <c r="C78" s="24">
        <v>46.35</v>
      </c>
      <c r="D78" s="24" t="s">
        <v>1092</v>
      </c>
      <c r="E78" s="24">
        <v>32.659999999999997</v>
      </c>
      <c r="F78" s="24" t="s">
        <v>1093</v>
      </c>
      <c r="G78" s="24">
        <v>126.7</v>
      </c>
      <c r="H78" s="24" t="s">
        <v>1078</v>
      </c>
      <c r="I78" s="24">
        <v>96.31</v>
      </c>
      <c r="J78" s="24" t="s">
        <v>1094</v>
      </c>
    </row>
    <row r="79" spans="1:10" x14ac:dyDescent="0.15">
      <c r="A79" s="28">
        <v>43210.725428240738</v>
      </c>
      <c r="B79" s="24">
        <v>1501</v>
      </c>
      <c r="C79" s="24">
        <v>48.54</v>
      </c>
      <c r="D79" s="24" t="s">
        <v>1095</v>
      </c>
      <c r="E79" s="24">
        <v>31.97</v>
      </c>
      <c r="F79" s="24" t="s">
        <v>1096</v>
      </c>
      <c r="G79" s="24">
        <v>131.19999999999999</v>
      </c>
      <c r="H79" s="24" t="s">
        <v>1097</v>
      </c>
      <c r="I79" s="24">
        <v>98.38</v>
      </c>
      <c r="J79" s="24" t="s">
        <v>1098</v>
      </c>
    </row>
    <row r="80" spans="1:10" x14ac:dyDescent="0.15">
      <c r="A80" s="28">
        <v>43210.725451388891</v>
      </c>
      <c r="B80" s="24">
        <v>1501</v>
      </c>
      <c r="C80" s="24">
        <v>45.33</v>
      </c>
      <c r="D80" s="24" t="s">
        <v>1099</v>
      </c>
      <c r="E80" s="24">
        <v>30.73</v>
      </c>
      <c r="F80" s="24" t="s">
        <v>1100</v>
      </c>
      <c r="G80" s="24">
        <v>131.30000000000001</v>
      </c>
      <c r="H80" s="24" t="s">
        <v>1101</v>
      </c>
      <c r="I80" s="24">
        <v>92.16</v>
      </c>
      <c r="J80" s="24" t="s">
        <v>1102</v>
      </c>
    </row>
    <row r="81" spans="1:10" x14ac:dyDescent="0.15">
      <c r="A81" s="28">
        <v>43210.725486111114</v>
      </c>
      <c r="B81" s="24">
        <v>1501</v>
      </c>
      <c r="C81" s="24">
        <v>47.96</v>
      </c>
      <c r="D81" s="24" t="s">
        <v>1103</v>
      </c>
      <c r="E81" s="24">
        <v>32.03</v>
      </c>
      <c r="F81" s="24" t="s">
        <v>1104</v>
      </c>
      <c r="G81" s="24">
        <v>132.30000000000001</v>
      </c>
      <c r="H81" s="24" t="s">
        <v>1105</v>
      </c>
      <c r="I81" s="24">
        <v>95.21</v>
      </c>
      <c r="J81" s="24" t="s">
        <v>1106</v>
      </c>
    </row>
    <row r="82" spans="1:10" x14ac:dyDescent="0.15">
      <c r="A82" s="28">
        <v>43210.72552083333</v>
      </c>
      <c r="B82" s="24">
        <v>1501</v>
      </c>
      <c r="C82" s="24">
        <v>46.12</v>
      </c>
      <c r="D82" s="24" t="s">
        <v>1107</v>
      </c>
      <c r="E82" s="24">
        <v>30.76</v>
      </c>
      <c r="F82" s="24" t="s">
        <v>1108</v>
      </c>
      <c r="G82" s="24">
        <v>131</v>
      </c>
      <c r="H82" s="24" t="s">
        <v>1109</v>
      </c>
      <c r="I82" s="24">
        <v>98.61</v>
      </c>
      <c r="J82" s="24" t="s">
        <v>1110</v>
      </c>
    </row>
    <row r="83" spans="1:10" x14ac:dyDescent="0.15">
      <c r="A83" s="28">
        <v>43210.725543981483</v>
      </c>
      <c r="B83" s="24">
        <v>1501</v>
      </c>
      <c r="C83" s="24">
        <v>44.89</v>
      </c>
      <c r="D83" s="24" t="s">
        <v>1111</v>
      </c>
      <c r="E83" s="24">
        <v>31.9</v>
      </c>
      <c r="F83" s="24" t="s">
        <v>1100</v>
      </c>
      <c r="G83" s="24">
        <v>124</v>
      </c>
      <c r="H83" s="24" t="s">
        <v>1112</v>
      </c>
      <c r="I83" s="24">
        <v>96.16</v>
      </c>
      <c r="J83" s="24" t="s">
        <v>1113</v>
      </c>
    </row>
    <row r="84" spans="1:10" x14ac:dyDescent="0.15">
      <c r="A84" s="28">
        <v>43210.725578703707</v>
      </c>
      <c r="B84" s="24">
        <v>1501</v>
      </c>
      <c r="C84" s="24">
        <v>47.01</v>
      </c>
      <c r="D84" s="24" t="s">
        <v>1114</v>
      </c>
      <c r="E84" s="24">
        <v>31.31</v>
      </c>
      <c r="F84" s="24" t="s">
        <v>1115</v>
      </c>
      <c r="G84" s="24">
        <v>125.8</v>
      </c>
      <c r="H84" s="24" t="s">
        <v>1116</v>
      </c>
      <c r="I84" s="24">
        <v>98.43</v>
      </c>
      <c r="J84" s="24" t="s">
        <v>1117</v>
      </c>
    </row>
    <row r="85" spans="1:10" x14ac:dyDescent="0.15">
      <c r="A85" s="28">
        <v>43210.725613425922</v>
      </c>
      <c r="B85" s="24">
        <v>1501</v>
      </c>
      <c r="C85" s="24">
        <v>46.55</v>
      </c>
      <c r="D85" s="24" t="s">
        <v>1118</v>
      </c>
      <c r="E85" s="24">
        <v>30.93</v>
      </c>
      <c r="F85" s="24" t="s">
        <v>1119</v>
      </c>
      <c r="G85" s="24">
        <v>125.8</v>
      </c>
      <c r="H85" s="24" t="s">
        <v>1120</v>
      </c>
      <c r="I85" s="24">
        <v>97.55</v>
      </c>
      <c r="J85" s="24" t="s">
        <v>1121</v>
      </c>
    </row>
    <row r="86" spans="1:10" x14ac:dyDescent="0.15">
      <c r="A86" s="28">
        <v>43210.725636574076</v>
      </c>
      <c r="B86" s="24">
        <v>1500</v>
      </c>
      <c r="C86" s="24">
        <v>46.96</v>
      </c>
      <c r="D86" s="24" t="s">
        <v>1122</v>
      </c>
      <c r="E86" s="24">
        <v>30.14</v>
      </c>
      <c r="F86" s="24" t="s">
        <v>1123</v>
      </c>
      <c r="G86" s="24">
        <v>123.6</v>
      </c>
      <c r="H86" s="24" t="s">
        <v>1124</v>
      </c>
      <c r="I86" s="24">
        <v>100.3</v>
      </c>
      <c r="J86" s="24" t="s">
        <v>1125</v>
      </c>
    </row>
    <row r="87" spans="1:10" x14ac:dyDescent="0.15">
      <c r="A87" s="28">
        <v>43210.725671296299</v>
      </c>
      <c r="B87" s="24">
        <v>1501</v>
      </c>
      <c r="C87" s="24">
        <v>49.26</v>
      </c>
      <c r="D87" s="24" t="s">
        <v>1126</v>
      </c>
      <c r="E87" s="24">
        <v>29.39</v>
      </c>
      <c r="F87" s="24" t="s">
        <v>1127</v>
      </c>
      <c r="G87" s="24">
        <v>129.5</v>
      </c>
      <c r="H87" s="24" t="s">
        <v>1112</v>
      </c>
      <c r="I87" s="24">
        <v>96.64</v>
      </c>
      <c r="J87" s="24" t="s">
        <v>1128</v>
      </c>
    </row>
    <row r="88" spans="1:10" x14ac:dyDescent="0.15">
      <c r="A88" s="28">
        <v>43210.725706018522</v>
      </c>
      <c r="B88" s="24">
        <v>1501</v>
      </c>
      <c r="C88" s="24">
        <v>46.9</v>
      </c>
      <c r="D88" s="24" t="s">
        <v>1129</v>
      </c>
      <c r="E88" s="24">
        <v>29.83</v>
      </c>
      <c r="F88" s="24" t="s">
        <v>1130</v>
      </c>
      <c r="G88" s="24">
        <v>127</v>
      </c>
      <c r="H88" s="24" t="s">
        <v>1131</v>
      </c>
      <c r="I88" s="24">
        <v>93.52</v>
      </c>
      <c r="J88" s="24" t="s">
        <v>1132</v>
      </c>
    </row>
    <row r="89" spans="1:10" x14ac:dyDescent="0.15">
      <c r="A89" s="28">
        <v>43210.725740740738</v>
      </c>
      <c r="B89" s="24">
        <v>1501</v>
      </c>
      <c r="C89" s="24">
        <v>48.06</v>
      </c>
      <c r="D89" s="24" t="s">
        <v>1133</v>
      </c>
      <c r="E89" s="24">
        <v>30.91</v>
      </c>
      <c r="F89" s="24" t="s">
        <v>1134</v>
      </c>
      <c r="G89" s="24">
        <v>126.5</v>
      </c>
      <c r="H89" s="24" t="s">
        <v>1116</v>
      </c>
      <c r="I89" s="24">
        <v>93.2</v>
      </c>
      <c r="J89" s="24" t="s">
        <v>1135</v>
      </c>
    </row>
    <row r="90" spans="1:10" x14ac:dyDescent="0.15">
      <c r="A90" s="28">
        <v>43210.725763888891</v>
      </c>
      <c r="B90" s="24">
        <v>1501</v>
      </c>
      <c r="C90" s="24">
        <v>46.93</v>
      </c>
      <c r="D90" s="24" t="s">
        <v>1136</v>
      </c>
      <c r="E90" s="24">
        <v>31.01</v>
      </c>
      <c r="F90" s="24" t="s">
        <v>1137</v>
      </c>
      <c r="G90" s="24">
        <v>127</v>
      </c>
      <c r="H90" s="24" t="s">
        <v>1138</v>
      </c>
      <c r="I90" s="24">
        <v>94.36</v>
      </c>
      <c r="J90" s="24" t="s">
        <v>1139</v>
      </c>
    </row>
    <row r="91" spans="1:10" x14ac:dyDescent="0.15">
      <c r="A91" s="28">
        <v>43210.725798611114</v>
      </c>
      <c r="B91" s="24">
        <v>1501</v>
      </c>
      <c r="C91" s="24">
        <v>46.25</v>
      </c>
      <c r="D91" s="24" t="s">
        <v>1140</v>
      </c>
      <c r="E91" s="24">
        <v>28.42</v>
      </c>
      <c r="F91" s="24" t="s">
        <v>1141</v>
      </c>
      <c r="G91" s="24">
        <v>123.4</v>
      </c>
      <c r="H91" s="24" t="s">
        <v>1142</v>
      </c>
      <c r="I91" s="24">
        <v>93.39</v>
      </c>
      <c r="J91" s="24" t="s">
        <v>1143</v>
      </c>
    </row>
    <row r="92" spans="1:10" x14ac:dyDescent="0.15">
      <c r="A92" s="28">
        <v>43210.72583333333</v>
      </c>
      <c r="B92" s="24">
        <v>1501</v>
      </c>
      <c r="C92" s="24">
        <v>47.73</v>
      </c>
      <c r="D92" s="24" t="s">
        <v>1144</v>
      </c>
      <c r="E92" s="24">
        <v>30.95</v>
      </c>
      <c r="F92" s="24" t="s">
        <v>1145</v>
      </c>
      <c r="G92" s="24">
        <v>128</v>
      </c>
      <c r="H92" s="24" t="s">
        <v>1146</v>
      </c>
      <c r="I92" s="24">
        <v>92.06</v>
      </c>
      <c r="J92" s="24" t="s">
        <v>1147</v>
      </c>
    </row>
    <row r="93" spans="1:10" x14ac:dyDescent="0.15">
      <c r="A93" s="28">
        <v>43210.725856481484</v>
      </c>
      <c r="B93" s="24">
        <v>1501</v>
      </c>
      <c r="C93" s="24">
        <v>49.26</v>
      </c>
      <c r="D93" s="24" t="s">
        <v>1148</v>
      </c>
      <c r="E93" s="24">
        <v>29.41</v>
      </c>
      <c r="F93" s="24" t="s">
        <v>1149</v>
      </c>
      <c r="G93" s="24">
        <v>128.80000000000001</v>
      </c>
      <c r="H93" s="24" t="s">
        <v>1150</v>
      </c>
      <c r="I93" s="24">
        <v>92.29</v>
      </c>
      <c r="J93" s="24" t="s">
        <v>1151</v>
      </c>
    </row>
    <row r="94" spans="1:10" x14ac:dyDescent="0.15">
      <c r="A94" s="28">
        <v>43210.725891203707</v>
      </c>
      <c r="B94" s="24">
        <v>1500</v>
      </c>
      <c r="C94" s="24">
        <v>46.29</v>
      </c>
      <c r="D94" s="24" t="s">
        <v>1152</v>
      </c>
      <c r="E94" s="24">
        <v>30.4</v>
      </c>
      <c r="F94" s="24" t="s">
        <v>1153</v>
      </c>
      <c r="G94" s="24">
        <v>126.7</v>
      </c>
      <c r="H94" s="24" t="s">
        <v>1154</v>
      </c>
      <c r="I94" s="24">
        <v>94.32</v>
      </c>
      <c r="J94" s="24" t="s">
        <v>1155</v>
      </c>
    </row>
    <row r="95" spans="1:10" x14ac:dyDescent="0.15">
      <c r="A95" s="28">
        <v>43210.725925925923</v>
      </c>
      <c r="B95" s="24">
        <v>1500</v>
      </c>
      <c r="C95" s="24">
        <v>47.13</v>
      </c>
      <c r="D95" s="24" t="s">
        <v>1156</v>
      </c>
      <c r="E95" s="24">
        <v>28.64</v>
      </c>
      <c r="F95" s="24" t="s">
        <v>1157</v>
      </c>
      <c r="G95" s="24">
        <v>126.9</v>
      </c>
      <c r="H95" s="24" t="s">
        <v>1158</v>
      </c>
      <c r="I95" s="24">
        <v>90.58</v>
      </c>
      <c r="J95" s="24" t="s">
        <v>1147</v>
      </c>
    </row>
    <row r="96" spans="1:10" x14ac:dyDescent="0.15">
      <c r="A96" s="28">
        <v>43210.725949074076</v>
      </c>
      <c r="B96" s="24">
        <v>1500</v>
      </c>
      <c r="C96" s="24">
        <v>48.2</v>
      </c>
      <c r="D96" s="24" t="s">
        <v>1159</v>
      </c>
      <c r="E96" s="24">
        <v>28.28</v>
      </c>
      <c r="F96" s="24" t="s">
        <v>1160</v>
      </c>
      <c r="G96" s="24">
        <v>127.3</v>
      </c>
      <c r="H96" s="24" t="s">
        <v>1161</v>
      </c>
      <c r="I96" s="24">
        <v>92.51</v>
      </c>
      <c r="J96" s="24" t="s">
        <v>1162</v>
      </c>
    </row>
    <row r="97" spans="1:10" x14ac:dyDescent="0.15">
      <c r="A97" s="28">
        <v>43210.725983796299</v>
      </c>
      <c r="B97" s="24">
        <v>1500</v>
      </c>
      <c r="C97" s="24">
        <v>47.93</v>
      </c>
      <c r="D97" s="24" t="s">
        <v>1163</v>
      </c>
      <c r="E97" s="24">
        <v>28.11</v>
      </c>
      <c r="F97" s="24" t="s">
        <v>1164</v>
      </c>
      <c r="G97" s="24">
        <v>125.2</v>
      </c>
      <c r="H97" s="24" t="s">
        <v>1165</v>
      </c>
      <c r="I97" s="24">
        <v>91.52</v>
      </c>
      <c r="J97" s="24" t="s">
        <v>1166</v>
      </c>
    </row>
    <row r="98" spans="1:10" x14ac:dyDescent="0.15">
      <c r="A98" s="28">
        <v>43210.726018518515</v>
      </c>
      <c r="B98" s="24">
        <v>1500</v>
      </c>
      <c r="C98" s="24">
        <v>46.44</v>
      </c>
      <c r="D98" s="24" t="s">
        <v>1167</v>
      </c>
      <c r="E98" s="24">
        <v>29.17</v>
      </c>
      <c r="F98" s="24" t="s">
        <v>1168</v>
      </c>
      <c r="G98" s="24">
        <v>123.5</v>
      </c>
      <c r="H98" s="24" t="s">
        <v>1169</v>
      </c>
      <c r="I98" s="24">
        <v>97.03</v>
      </c>
      <c r="J98" s="24" t="s">
        <v>1170</v>
      </c>
    </row>
    <row r="99" spans="1:10" x14ac:dyDescent="0.15">
      <c r="A99" s="28">
        <v>43210.726041666669</v>
      </c>
      <c r="B99" s="24">
        <v>1499</v>
      </c>
      <c r="C99" s="24">
        <v>49.17</v>
      </c>
      <c r="D99" s="24" t="s">
        <v>1171</v>
      </c>
      <c r="E99" s="24">
        <v>28.37</v>
      </c>
      <c r="F99" s="24" t="s">
        <v>1172</v>
      </c>
      <c r="G99" s="24">
        <v>126.1</v>
      </c>
      <c r="H99" s="24" t="s">
        <v>1173</v>
      </c>
      <c r="I99" s="24">
        <v>92.53</v>
      </c>
      <c r="J99" s="24" t="s">
        <v>1174</v>
      </c>
    </row>
    <row r="100" spans="1:10" x14ac:dyDescent="0.15">
      <c r="A100" s="28">
        <v>43210.726076388892</v>
      </c>
      <c r="B100" s="24">
        <v>1499</v>
      </c>
      <c r="C100" s="24">
        <v>47.34</v>
      </c>
      <c r="D100" s="24" t="s">
        <v>1175</v>
      </c>
      <c r="E100" s="24">
        <v>28.01</v>
      </c>
      <c r="F100" s="24" t="s">
        <v>1176</v>
      </c>
      <c r="G100" s="24">
        <v>120.5</v>
      </c>
      <c r="H100" s="24" t="s">
        <v>1177</v>
      </c>
      <c r="I100" s="24">
        <v>89.35</v>
      </c>
      <c r="J100" s="24" t="s">
        <v>1178</v>
      </c>
    </row>
    <row r="101" spans="1:10" x14ac:dyDescent="0.15">
      <c r="A101" s="28">
        <v>43210.726111111115</v>
      </c>
      <c r="B101" s="24">
        <v>1499</v>
      </c>
      <c r="C101" s="24">
        <v>49.01</v>
      </c>
      <c r="D101" s="24" t="s">
        <v>1179</v>
      </c>
      <c r="E101" s="24">
        <v>27.07</v>
      </c>
      <c r="F101" s="24" t="s">
        <v>1180</v>
      </c>
      <c r="G101" s="24">
        <v>126.7</v>
      </c>
      <c r="H101" s="24" t="s">
        <v>1181</v>
      </c>
      <c r="I101" s="24">
        <v>91.43</v>
      </c>
      <c r="J101" s="24" t="s">
        <v>1182</v>
      </c>
    </row>
    <row r="102" spans="1:10" x14ac:dyDescent="0.15">
      <c r="A102" s="28">
        <v>43210.726145833331</v>
      </c>
      <c r="B102" s="24">
        <v>1499</v>
      </c>
      <c r="C102" s="24">
        <v>48</v>
      </c>
      <c r="D102" s="24" t="s">
        <v>1183</v>
      </c>
      <c r="E102" s="24">
        <v>27.3</v>
      </c>
      <c r="F102" s="24" t="s">
        <v>1184</v>
      </c>
      <c r="G102" s="24">
        <v>124.7</v>
      </c>
      <c r="H102" s="24" t="s">
        <v>1185</v>
      </c>
      <c r="I102" s="24">
        <v>88.38</v>
      </c>
      <c r="J102" s="24" t="s">
        <v>1186</v>
      </c>
    </row>
    <row r="103" spans="1:10" x14ac:dyDescent="0.15">
      <c r="A103" s="28">
        <v>43210.726168981484</v>
      </c>
      <c r="B103" s="24">
        <v>1498</v>
      </c>
      <c r="C103" s="24">
        <v>45.92</v>
      </c>
      <c r="D103" s="24" t="s">
        <v>1187</v>
      </c>
      <c r="E103" s="24">
        <v>26.81</v>
      </c>
      <c r="F103" s="24" t="s">
        <v>1188</v>
      </c>
      <c r="G103" s="24">
        <v>123.2</v>
      </c>
      <c r="H103" s="24" t="s">
        <v>1189</v>
      </c>
      <c r="I103" s="24">
        <v>90.04</v>
      </c>
      <c r="J103" s="24" t="s">
        <v>1190</v>
      </c>
    </row>
    <row r="104" spans="1:10" x14ac:dyDescent="0.15">
      <c r="A104" s="28">
        <v>43210.726203703707</v>
      </c>
      <c r="B104" s="24">
        <v>1498</v>
      </c>
      <c r="C104" s="24">
        <v>48.45</v>
      </c>
      <c r="D104" s="24" t="s">
        <v>1191</v>
      </c>
      <c r="E104" s="24">
        <v>27.06</v>
      </c>
      <c r="F104" s="24" t="s">
        <v>1192</v>
      </c>
      <c r="G104" s="24">
        <v>122.9</v>
      </c>
      <c r="H104" s="24" t="s">
        <v>1193</v>
      </c>
      <c r="I104" s="24">
        <v>91.72</v>
      </c>
      <c r="J104" s="24" t="s">
        <v>1194</v>
      </c>
    </row>
    <row r="105" spans="1:10" x14ac:dyDescent="0.15">
      <c r="A105" s="28">
        <v>43210.726238425923</v>
      </c>
      <c r="B105" s="24">
        <v>1498</v>
      </c>
      <c r="C105" s="24">
        <v>50.17</v>
      </c>
      <c r="D105" s="24" t="s">
        <v>1195</v>
      </c>
      <c r="E105" s="24">
        <v>28.13</v>
      </c>
      <c r="F105" s="24" t="s">
        <v>1196</v>
      </c>
      <c r="G105" s="24">
        <v>127</v>
      </c>
      <c r="H105" s="24" t="s">
        <v>1197</v>
      </c>
      <c r="I105" s="24">
        <v>89.37</v>
      </c>
      <c r="J105" s="24" t="s">
        <v>1198</v>
      </c>
    </row>
    <row r="106" spans="1:10" x14ac:dyDescent="0.15">
      <c r="A106" s="28">
        <v>43210.726261574076</v>
      </c>
      <c r="B106" s="24">
        <v>1499</v>
      </c>
      <c r="C106" s="24">
        <v>46.77</v>
      </c>
      <c r="D106" s="24" t="s">
        <v>1199</v>
      </c>
      <c r="E106" s="24">
        <v>26.53</v>
      </c>
      <c r="F106" s="24" t="s">
        <v>1200</v>
      </c>
      <c r="G106" s="24">
        <v>124.1</v>
      </c>
      <c r="H106" s="24" t="s">
        <v>1201</v>
      </c>
      <c r="I106" s="24">
        <v>90.18</v>
      </c>
      <c r="J106" s="24" t="s">
        <v>1202</v>
      </c>
    </row>
    <row r="107" spans="1:10" x14ac:dyDescent="0.15">
      <c r="A107" s="28">
        <v>43210.7262962963</v>
      </c>
      <c r="B107" s="24">
        <v>1499</v>
      </c>
      <c r="C107" s="24">
        <v>46.23</v>
      </c>
      <c r="D107" s="24" t="s">
        <v>1203</v>
      </c>
      <c r="E107" s="24">
        <v>26.87</v>
      </c>
      <c r="F107" s="24" t="s">
        <v>1204</v>
      </c>
      <c r="G107" s="24">
        <v>123.2</v>
      </c>
      <c r="H107" s="24" t="s">
        <v>1205</v>
      </c>
      <c r="I107" s="24">
        <v>86.98</v>
      </c>
      <c r="J107" s="24" t="s">
        <v>1206</v>
      </c>
    </row>
    <row r="108" spans="1:10" x14ac:dyDescent="0.15">
      <c r="A108" s="28">
        <v>43210.726331018515</v>
      </c>
      <c r="B108" s="24">
        <v>1499</v>
      </c>
      <c r="C108" s="24">
        <v>47.19</v>
      </c>
      <c r="D108" s="24" t="s">
        <v>1207</v>
      </c>
      <c r="E108" s="24">
        <v>26.13</v>
      </c>
      <c r="F108" s="24" t="s">
        <v>1208</v>
      </c>
      <c r="G108" s="24">
        <v>121.1</v>
      </c>
      <c r="H108" s="24" t="s">
        <v>1209</v>
      </c>
      <c r="I108" s="24">
        <v>88.71</v>
      </c>
      <c r="J108" s="24" t="s">
        <v>1210</v>
      </c>
    </row>
    <row r="109" spans="1:10" x14ac:dyDescent="0.15">
      <c r="A109" s="28">
        <v>43210.726354166669</v>
      </c>
      <c r="B109" s="24">
        <v>1498</v>
      </c>
      <c r="C109" s="24">
        <v>47.93</v>
      </c>
      <c r="D109" s="24" t="s">
        <v>1211</v>
      </c>
      <c r="E109" s="24">
        <v>26.67</v>
      </c>
      <c r="F109" s="24" t="s">
        <v>1212</v>
      </c>
      <c r="G109" s="24">
        <v>121.1</v>
      </c>
      <c r="H109" s="24" t="s">
        <v>1213</v>
      </c>
      <c r="I109" s="24">
        <v>88.13</v>
      </c>
      <c r="J109" s="24" t="s">
        <v>1214</v>
      </c>
    </row>
    <row r="110" spans="1:10" x14ac:dyDescent="0.15">
      <c r="A110" s="28">
        <v>43210.726388888892</v>
      </c>
      <c r="B110" s="24">
        <v>1498</v>
      </c>
      <c r="C110" s="24">
        <v>47.41</v>
      </c>
      <c r="D110" s="24" t="s">
        <v>1215</v>
      </c>
      <c r="E110" s="24">
        <v>27.58</v>
      </c>
      <c r="F110" s="24" t="s">
        <v>1216</v>
      </c>
      <c r="G110" s="24">
        <v>124.4</v>
      </c>
      <c r="H110" s="24" t="s">
        <v>1217</v>
      </c>
      <c r="I110" s="24">
        <v>88.5</v>
      </c>
      <c r="J110" s="24" t="s">
        <v>1218</v>
      </c>
    </row>
    <row r="111" spans="1:10" x14ac:dyDescent="0.15">
      <c r="A111" s="28">
        <v>43210.726423611108</v>
      </c>
      <c r="B111" s="24">
        <v>1499</v>
      </c>
      <c r="C111" s="24">
        <v>48.01</v>
      </c>
      <c r="D111" s="24" t="s">
        <v>1219</v>
      </c>
      <c r="E111" s="24">
        <v>26.25</v>
      </c>
      <c r="F111" s="24" t="s">
        <v>1220</v>
      </c>
      <c r="G111" s="24">
        <v>119.1</v>
      </c>
      <c r="H111" s="24" t="s">
        <v>1209</v>
      </c>
      <c r="I111" s="24">
        <v>90.5</v>
      </c>
      <c r="J111" s="24" t="s">
        <v>1221</v>
      </c>
    </row>
    <row r="112" spans="1:10" x14ac:dyDescent="0.15">
      <c r="A112" s="28">
        <v>43210.726446759261</v>
      </c>
      <c r="B112" s="24">
        <v>1498</v>
      </c>
      <c r="C112" s="24">
        <v>46.42</v>
      </c>
      <c r="D112" s="24" t="s">
        <v>1222</v>
      </c>
      <c r="E112" s="24">
        <v>27.24</v>
      </c>
      <c r="F112" s="24" t="s">
        <v>1223</v>
      </c>
      <c r="G112" s="24">
        <v>122</v>
      </c>
      <c r="H112" s="24" t="s">
        <v>1224</v>
      </c>
      <c r="I112" s="24">
        <v>87.76</v>
      </c>
      <c r="J112" s="24" t="s">
        <v>1225</v>
      </c>
    </row>
    <row r="113" spans="1:10" x14ac:dyDescent="0.15">
      <c r="A113" s="28">
        <v>43210.726481481484</v>
      </c>
      <c r="B113" s="24">
        <v>1499</v>
      </c>
      <c r="C113" s="24">
        <v>46.22</v>
      </c>
      <c r="D113" s="24" t="s">
        <v>1226</v>
      </c>
      <c r="E113" s="24">
        <v>25.91</v>
      </c>
      <c r="F113" s="24" t="s">
        <v>1227</v>
      </c>
      <c r="G113" s="24">
        <v>119.7</v>
      </c>
      <c r="H113" s="24" t="s">
        <v>1224</v>
      </c>
      <c r="I113" s="24">
        <v>89.36</v>
      </c>
      <c r="J113" s="24" t="s">
        <v>1228</v>
      </c>
    </row>
    <row r="114" spans="1:10" x14ac:dyDescent="0.15">
      <c r="A114" s="28">
        <v>43210.7265162037</v>
      </c>
      <c r="B114" s="24">
        <v>1499</v>
      </c>
      <c r="C114" s="24">
        <v>52.66</v>
      </c>
      <c r="D114" s="24" t="s">
        <v>1229</v>
      </c>
      <c r="E114" s="24">
        <v>26.08</v>
      </c>
      <c r="F114" s="24" t="s">
        <v>1230</v>
      </c>
      <c r="G114" s="24">
        <v>125.7</v>
      </c>
      <c r="H114" s="24" t="s">
        <v>1209</v>
      </c>
      <c r="I114" s="24">
        <v>87.66</v>
      </c>
      <c r="J114" s="24" t="s">
        <v>1231</v>
      </c>
    </row>
    <row r="115" spans="1:10" x14ac:dyDescent="0.15">
      <c r="A115" s="28">
        <v>43210.726539351854</v>
      </c>
      <c r="B115" s="24">
        <v>1498</v>
      </c>
      <c r="C115" s="24">
        <v>48.54</v>
      </c>
      <c r="D115" s="24" t="s">
        <v>1232</v>
      </c>
      <c r="E115" s="24">
        <v>25.63</v>
      </c>
      <c r="F115" s="24" t="s">
        <v>1233</v>
      </c>
      <c r="G115" s="24">
        <v>118.2</v>
      </c>
      <c r="H115" s="24" t="s">
        <v>1234</v>
      </c>
      <c r="I115" s="24">
        <v>87.61</v>
      </c>
      <c r="J115" s="24" t="s">
        <v>1235</v>
      </c>
    </row>
    <row r="116" spans="1:10" x14ac:dyDescent="0.15">
      <c r="A116" s="28">
        <v>43210.726574074077</v>
      </c>
      <c r="B116" s="24">
        <v>1499</v>
      </c>
      <c r="C116" s="24">
        <v>48.85</v>
      </c>
      <c r="D116" s="24" t="s">
        <v>1236</v>
      </c>
      <c r="E116" s="24">
        <v>26.12</v>
      </c>
      <c r="F116" s="24" t="s">
        <v>1237</v>
      </c>
      <c r="G116" s="24">
        <v>121</v>
      </c>
      <c r="H116" s="24" t="s">
        <v>1238</v>
      </c>
      <c r="I116" s="24">
        <v>87.8</v>
      </c>
      <c r="J116" s="24" t="s">
        <v>1239</v>
      </c>
    </row>
    <row r="117" spans="1:10" x14ac:dyDescent="0.15">
      <c r="A117" s="28">
        <v>43210.7266087963</v>
      </c>
      <c r="B117" s="24">
        <v>1499</v>
      </c>
      <c r="C117" s="24">
        <v>48.45</v>
      </c>
      <c r="D117" s="24" t="s">
        <v>1240</v>
      </c>
      <c r="E117" s="24">
        <v>26.72</v>
      </c>
      <c r="F117" s="24" t="s">
        <v>1241</v>
      </c>
      <c r="G117" s="24">
        <v>122.5</v>
      </c>
      <c r="H117" s="24" t="s">
        <v>1242</v>
      </c>
      <c r="I117" s="24">
        <v>88.49</v>
      </c>
      <c r="J117" s="24" t="s">
        <v>1243</v>
      </c>
    </row>
    <row r="118" spans="1:10" x14ac:dyDescent="0.15">
      <c r="A118" s="28">
        <v>43210.726643518516</v>
      </c>
      <c r="B118" s="24">
        <v>1499</v>
      </c>
      <c r="C118" s="24">
        <v>46.48</v>
      </c>
      <c r="D118" s="24" t="s">
        <v>1244</v>
      </c>
      <c r="E118" s="24">
        <v>26.09</v>
      </c>
      <c r="F118" s="24" t="s">
        <v>1245</v>
      </c>
      <c r="G118" s="24">
        <v>116.4</v>
      </c>
      <c r="H118" s="24" t="s">
        <v>1246</v>
      </c>
      <c r="I118" s="24">
        <v>86.7</v>
      </c>
      <c r="J118" s="24" t="s">
        <v>1247</v>
      </c>
    </row>
    <row r="119" spans="1:10" x14ac:dyDescent="0.15">
      <c r="A119" s="28">
        <v>43210.726666666669</v>
      </c>
      <c r="B119" s="24">
        <v>1499</v>
      </c>
      <c r="C119" s="24">
        <v>48.67</v>
      </c>
      <c r="D119" s="24" t="s">
        <v>1248</v>
      </c>
      <c r="E119" s="24">
        <v>26.76</v>
      </c>
      <c r="F119" s="24" t="s">
        <v>1249</v>
      </c>
      <c r="G119" s="24">
        <v>123.5</v>
      </c>
      <c r="H119" s="24" t="s">
        <v>1250</v>
      </c>
      <c r="I119" s="24">
        <v>87.95</v>
      </c>
      <c r="J119" s="24" t="s">
        <v>1251</v>
      </c>
    </row>
    <row r="120" spans="1:10" x14ac:dyDescent="0.15">
      <c r="A120" s="28">
        <v>43210.726701388892</v>
      </c>
      <c r="B120" s="24">
        <v>1499</v>
      </c>
      <c r="C120" s="24">
        <v>48.19</v>
      </c>
      <c r="D120" s="24" t="s">
        <v>1252</v>
      </c>
      <c r="E120" s="24">
        <v>26.09</v>
      </c>
      <c r="F120" s="24" t="s">
        <v>1253</v>
      </c>
      <c r="G120" s="24">
        <v>116</v>
      </c>
      <c r="H120" s="24" t="s">
        <v>1254</v>
      </c>
      <c r="I120" s="24">
        <v>87.47</v>
      </c>
      <c r="J120" s="24" t="s">
        <v>1255</v>
      </c>
    </row>
    <row r="121" spans="1:10" x14ac:dyDescent="0.15">
      <c r="A121" s="28">
        <v>43210.726736111108</v>
      </c>
      <c r="B121" s="24">
        <v>1499</v>
      </c>
      <c r="C121" s="24">
        <v>49.6</v>
      </c>
      <c r="D121" s="24" t="s">
        <v>1187</v>
      </c>
      <c r="E121" s="24">
        <v>27.66</v>
      </c>
      <c r="F121" s="24" t="s">
        <v>1256</v>
      </c>
      <c r="G121" s="24">
        <v>118.2</v>
      </c>
      <c r="H121" s="24" t="s">
        <v>1257</v>
      </c>
      <c r="I121" s="24">
        <v>90.95</v>
      </c>
      <c r="J121" s="24" t="s">
        <v>1258</v>
      </c>
    </row>
    <row r="122" spans="1:10" x14ac:dyDescent="0.15">
      <c r="A122" s="28">
        <v>43210.726759259262</v>
      </c>
      <c r="B122" s="24">
        <v>1499</v>
      </c>
      <c r="C122" s="24">
        <v>47.27</v>
      </c>
      <c r="D122" s="24" t="s">
        <v>1259</v>
      </c>
      <c r="E122" s="24">
        <v>25.19</v>
      </c>
      <c r="F122" s="24" t="s">
        <v>1260</v>
      </c>
      <c r="G122" s="24">
        <v>120.1</v>
      </c>
      <c r="H122" s="24" t="s">
        <v>1261</v>
      </c>
      <c r="I122" s="24">
        <v>87.7</v>
      </c>
      <c r="J122" s="24" t="s">
        <v>1262</v>
      </c>
    </row>
    <row r="123" spans="1:10" x14ac:dyDescent="0.15">
      <c r="A123" s="28">
        <v>43210.726793981485</v>
      </c>
      <c r="B123" s="24">
        <v>1500</v>
      </c>
      <c r="C123" s="24">
        <v>46.96</v>
      </c>
      <c r="D123" s="24" t="s">
        <v>1263</v>
      </c>
      <c r="E123" s="24">
        <v>26.03</v>
      </c>
      <c r="F123" s="24" t="s">
        <v>1264</v>
      </c>
      <c r="G123" s="24">
        <v>121.4</v>
      </c>
      <c r="H123" s="24" t="s">
        <v>1242</v>
      </c>
      <c r="I123" s="24">
        <v>86.69</v>
      </c>
      <c r="J123" s="24" t="s">
        <v>1265</v>
      </c>
    </row>
    <row r="124" spans="1:10" x14ac:dyDescent="0.15">
      <c r="A124" s="28">
        <v>43210.7268287037</v>
      </c>
      <c r="B124" s="24">
        <v>1500</v>
      </c>
      <c r="C124" s="24">
        <v>47.9</v>
      </c>
      <c r="D124" s="24" t="s">
        <v>1175</v>
      </c>
      <c r="E124" s="24">
        <v>25.26</v>
      </c>
      <c r="F124" s="24" t="s">
        <v>1266</v>
      </c>
      <c r="G124" s="24">
        <v>119.6</v>
      </c>
      <c r="H124" s="24" t="s">
        <v>1267</v>
      </c>
      <c r="I124" s="24">
        <v>85.23</v>
      </c>
      <c r="J124" s="24" t="s">
        <v>1268</v>
      </c>
    </row>
    <row r="125" spans="1:10" x14ac:dyDescent="0.15">
      <c r="A125" s="28">
        <v>43210.726851851854</v>
      </c>
      <c r="B125" s="24">
        <v>1500</v>
      </c>
      <c r="C125" s="24">
        <v>45.31</v>
      </c>
      <c r="D125" s="24" t="s">
        <v>1269</v>
      </c>
      <c r="E125" s="24">
        <v>24.78</v>
      </c>
      <c r="F125" s="24" t="s">
        <v>1270</v>
      </c>
      <c r="G125" s="24">
        <v>121.3</v>
      </c>
      <c r="H125" s="24" t="s">
        <v>1271</v>
      </c>
      <c r="I125" s="24">
        <v>88.64</v>
      </c>
      <c r="J125" s="24" t="s">
        <v>1272</v>
      </c>
    </row>
    <row r="126" spans="1:10" x14ac:dyDescent="0.15">
      <c r="A126" s="28">
        <v>43210.726886574077</v>
      </c>
      <c r="B126" s="24">
        <v>1501</v>
      </c>
      <c r="C126" s="24">
        <v>47.24</v>
      </c>
      <c r="D126" s="24" t="s">
        <v>1273</v>
      </c>
      <c r="E126" s="24">
        <v>25.47</v>
      </c>
      <c r="F126" s="24" t="s">
        <v>1274</v>
      </c>
      <c r="G126" s="24">
        <v>116</v>
      </c>
      <c r="H126" s="24" t="s">
        <v>1242</v>
      </c>
      <c r="I126" s="24">
        <v>89.46</v>
      </c>
      <c r="J126" s="24" t="s">
        <v>1275</v>
      </c>
    </row>
    <row r="127" spans="1:10" x14ac:dyDescent="0.15">
      <c r="A127" s="28">
        <v>43210.726921296293</v>
      </c>
      <c r="B127" s="24">
        <v>1501</v>
      </c>
      <c r="C127" s="24">
        <v>47.37</v>
      </c>
      <c r="D127" s="24" t="s">
        <v>1276</v>
      </c>
      <c r="E127" s="24">
        <v>25.25</v>
      </c>
      <c r="F127" s="24" t="s">
        <v>1277</v>
      </c>
      <c r="G127" s="24">
        <v>121.3</v>
      </c>
      <c r="H127" s="24" t="s">
        <v>1278</v>
      </c>
      <c r="I127" s="24">
        <v>84.56</v>
      </c>
      <c r="J127" s="24" t="s">
        <v>1279</v>
      </c>
    </row>
    <row r="128" spans="1:10" x14ac:dyDescent="0.15">
      <c r="A128" s="28">
        <v>43210.726944444446</v>
      </c>
      <c r="B128" s="24">
        <v>1501</v>
      </c>
      <c r="C128" s="24">
        <v>47.16</v>
      </c>
      <c r="D128" s="24" t="s">
        <v>1280</v>
      </c>
      <c r="E128" s="24">
        <v>26.13</v>
      </c>
      <c r="F128" s="24" t="s">
        <v>1281</v>
      </c>
      <c r="G128" s="24">
        <v>126.8</v>
      </c>
      <c r="H128" s="24" t="s">
        <v>1282</v>
      </c>
      <c r="I128" s="24">
        <v>87.88</v>
      </c>
      <c r="J128" s="24" t="s">
        <v>1283</v>
      </c>
    </row>
    <row r="129" spans="1:10" x14ac:dyDescent="0.15">
      <c r="A129" s="28">
        <v>43210.726979166669</v>
      </c>
      <c r="B129" s="24">
        <v>1501</v>
      </c>
      <c r="C129" s="24">
        <v>47.68</v>
      </c>
      <c r="D129" s="24" t="s">
        <v>1284</v>
      </c>
      <c r="E129" s="24">
        <v>25.95</v>
      </c>
      <c r="F129" s="24" t="s">
        <v>1285</v>
      </c>
      <c r="G129" s="24">
        <v>116.9</v>
      </c>
      <c r="H129" s="24" t="s">
        <v>1286</v>
      </c>
      <c r="I129" s="24">
        <v>92.71</v>
      </c>
      <c r="J129" s="24" t="s">
        <v>1287</v>
      </c>
    </row>
    <row r="130" spans="1:10" x14ac:dyDescent="0.15">
      <c r="A130" s="28">
        <v>43210.727013888885</v>
      </c>
      <c r="B130" s="24">
        <v>1501</v>
      </c>
      <c r="C130" s="24">
        <v>47.38</v>
      </c>
      <c r="D130" s="24" t="s">
        <v>1288</v>
      </c>
      <c r="E130" s="24">
        <v>25.38</v>
      </c>
      <c r="F130" s="24" t="s">
        <v>1289</v>
      </c>
      <c r="G130" s="24">
        <v>123.6</v>
      </c>
      <c r="H130" s="24" t="s">
        <v>1238</v>
      </c>
      <c r="I130" s="24">
        <v>92.49</v>
      </c>
      <c r="J130" s="24" t="s">
        <v>1290</v>
      </c>
    </row>
    <row r="131" spans="1:10" x14ac:dyDescent="0.15">
      <c r="A131" s="28">
        <v>43210.727037037039</v>
      </c>
      <c r="B131" s="24">
        <v>1501</v>
      </c>
      <c r="C131" s="24">
        <v>48.77</v>
      </c>
      <c r="D131" s="24" t="s">
        <v>1291</v>
      </c>
      <c r="E131" s="24">
        <v>25.13</v>
      </c>
      <c r="F131" s="24" t="s">
        <v>1292</v>
      </c>
      <c r="G131" s="24">
        <v>123.8</v>
      </c>
      <c r="H131" s="24" t="s">
        <v>1293</v>
      </c>
      <c r="I131" s="24">
        <v>86.01</v>
      </c>
      <c r="J131" s="24" t="s">
        <v>1294</v>
      </c>
    </row>
    <row r="132" spans="1:10" x14ac:dyDescent="0.15">
      <c r="A132" s="28">
        <v>43210.727071759262</v>
      </c>
      <c r="B132" s="24">
        <v>1501</v>
      </c>
      <c r="C132" s="24">
        <v>46.26</v>
      </c>
      <c r="D132" s="24" t="s">
        <v>1295</v>
      </c>
      <c r="E132" s="24">
        <v>27.22</v>
      </c>
      <c r="F132" s="24" t="s">
        <v>1296</v>
      </c>
      <c r="G132" s="24">
        <v>116.3</v>
      </c>
      <c r="H132" s="24" t="s">
        <v>1297</v>
      </c>
      <c r="I132" s="24">
        <v>88.56</v>
      </c>
      <c r="J132" s="24" t="s">
        <v>1298</v>
      </c>
    </row>
    <row r="133" spans="1:10" x14ac:dyDescent="0.15">
      <c r="A133" s="28">
        <v>43210.727106481485</v>
      </c>
      <c r="B133" s="24">
        <v>1501</v>
      </c>
      <c r="C133" s="24">
        <v>47.35</v>
      </c>
      <c r="D133" s="24" t="s">
        <v>1299</v>
      </c>
      <c r="E133" s="24">
        <v>25.02</v>
      </c>
      <c r="F133" s="24" t="s">
        <v>1300</v>
      </c>
      <c r="G133" s="24">
        <v>122.2</v>
      </c>
      <c r="H133" s="24" t="s">
        <v>1267</v>
      </c>
      <c r="I133" s="24">
        <v>87.24</v>
      </c>
      <c r="J133" s="24" t="s">
        <v>1301</v>
      </c>
    </row>
    <row r="134" spans="1:10" x14ac:dyDescent="0.15">
      <c r="A134" s="28">
        <v>43210.727141203701</v>
      </c>
      <c r="B134" s="24">
        <v>1501</v>
      </c>
      <c r="C134" s="24">
        <v>48.31</v>
      </c>
      <c r="D134" s="24" t="s">
        <v>1302</v>
      </c>
      <c r="E134" s="24">
        <v>26</v>
      </c>
      <c r="F134" s="24" t="s">
        <v>1303</v>
      </c>
      <c r="G134" s="24">
        <v>119.1</v>
      </c>
      <c r="H134" s="24" t="s">
        <v>1261</v>
      </c>
      <c r="I134" s="24">
        <v>86.39</v>
      </c>
      <c r="J134" s="24" t="s">
        <v>1304</v>
      </c>
    </row>
    <row r="135" spans="1:10" x14ac:dyDescent="0.15">
      <c r="A135" s="28">
        <v>43210.727164351854</v>
      </c>
      <c r="B135" s="24">
        <v>1501</v>
      </c>
      <c r="C135" s="24">
        <v>47.88</v>
      </c>
      <c r="D135" s="24" t="s">
        <v>1305</v>
      </c>
      <c r="E135" s="24">
        <v>25.48</v>
      </c>
      <c r="F135" s="24" t="s">
        <v>1306</v>
      </c>
      <c r="G135" s="24">
        <v>116.6</v>
      </c>
      <c r="H135" s="24" t="s">
        <v>1307</v>
      </c>
      <c r="I135" s="24">
        <v>86.18</v>
      </c>
      <c r="J135" s="24" t="s">
        <v>1308</v>
      </c>
    </row>
    <row r="136" spans="1:10" x14ac:dyDescent="0.15">
      <c r="A136" s="28">
        <v>43210.727199074077</v>
      </c>
      <c r="B136" s="24">
        <v>1501</v>
      </c>
      <c r="C136" s="24">
        <v>47.62</v>
      </c>
      <c r="D136" s="24" t="s">
        <v>1191</v>
      </c>
      <c r="E136" s="24">
        <v>25.74</v>
      </c>
      <c r="F136" s="24" t="s">
        <v>1309</v>
      </c>
      <c r="G136" s="24">
        <v>122.5</v>
      </c>
      <c r="H136" s="24" t="s">
        <v>1310</v>
      </c>
      <c r="I136" s="24">
        <v>87.35</v>
      </c>
      <c r="J136" s="24" t="s">
        <v>1311</v>
      </c>
    </row>
    <row r="137" spans="1:10" x14ac:dyDescent="0.15">
      <c r="A137" s="28">
        <v>43210.727233796293</v>
      </c>
      <c r="B137" s="24">
        <v>1501</v>
      </c>
      <c r="C137" s="24">
        <v>48.91</v>
      </c>
      <c r="D137" s="24" t="s">
        <v>1312</v>
      </c>
      <c r="E137" s="24">
        <v>24.76</v>
      </c>
      <c r="F137" s="24" t="s">
        <v>1313</v>
      </c>
      <c r="G137" s="24">
        <v>115.7</v>
      </c>
      <c r="H137" s="24" t="s">
        <v>1314</v>
      </c>
      <c r="I137" s="24">
        <v>87.73</v>
      </c>
      <c r="J137" s="24" t="s">
        <v>1315</v>
      </c>
    </row>
    <row r="138" spans="1:10" x14ac:dyDescent="0.15">
      <c r="A138" s="28">
        <v>43210.727256944447</v>
      </c>
      <c r="B138" s="24">
        <v>1501</v>
      </c>
      <c r="C138" s="24">
        <v>48.47</v>
      </c>
      <c r="D138" s="24" t="s">
        <v>1316</v>
      </c>
      <c r="E138" s="24">
        <v>24.88</v>
      </c>
      <c r="F138" s="24" t="s">
        <v>1317</v>
      </c>
      <c r="G138" s="24">
        <v>120.3</v>
      </c>
      <c r="H138" s="24" t="s">
        <v>1318</v>
      </c>
      <c r="I138" s="24">
        <v>86.12</v>
      </c>
      <c r="J138" s="24" t="s">
        <v>1319</v>
      </c>
    </row>
    <row r="139" spans="1:10" x14ac:dyDescent="0.15">
      <c r="A139" s="28">
        <v>43210.72729166667</v>
      </c>
      <c r="B139" s="24">
        <v>1500</v>
      </c>
      <c r="C139" s="24">
        <v>46.08</v>
      </c>
      <c r="D139" s="24" t="s">
        <v>1320</v>
      </c>
      <c r="E139" s="24">
        <v>24.93</v>
      </c>
      <c r="F139" s="24" t="s">
        <v>1321</v>
      </c>
      <c r="G139" s="24">
        <v>118.3</v>
      </c>
      <c r="H139" s="24" t="s">
        <v>1310</v>
      </c>
      <c r="I139" s="24">
        <v>85.64</v>
      </c>
      <c r="J139" s="24" t="s">
        <v>1322</v>
      </c>
    </row>
    <row r="140" spans="1:10" x14ac:dyDescent="0.15">
      <c r="A140" s="28">
        <v>43210.727326388886</v>
      </c>
      <c r="B140" s="24">
        <v>1501</v>
      </c>
      <c r="C140" s="24">
        <v>47.91</v>
      </c>
      <c r="D140" s="24" t="s">
        <v>1183</v>
      </c>
      <c r="E140" s="24">
        <v>27.84</v>
      </c>
      <c r="F140" s="24" t="s">
        <v>1323</v>
      </c>
      <c r="G140" s="24">
        <v>116.5</v>
      </c>
      <c r="H140" s="24" t="s">
        <v>1324</v>
      </c>
      <c r="I140" s="24">
        <v>85.34</v>
      </c>
      <c r="J140" s="24" t="s">
        <v>1325</v>
      </c>
    </row>
    <row r="141" spans="1:10" x14ac:dyDescent="0.15">
      <c r="A141" s="28">
        <v>43210.727349537039</v>
      </c>
      <c r="B141" s="24">
        <v>1500</v>
      </c>
      <c r="C141" s="24">
        <v>47.25</v>
      </c>
      <c r="D141" s="24" t="s">
        <v>1326</v>
      </c>
      <c r="E141" s="24">
        <v>24.9</v>
      </c>
      <c r="F141" s="24" t="s">
        <v>1327</v>
      </c>
      <c r="G141" s="24">
        <v>116.5</v>
      </c>
      <c r="H141" s="24" t="s">
        <v>1310</v>
      </c>
      <c r="I141" s="24">
        <v>89.06</v>
      </c>
      <c r="J141" s="24" t="s">
        <v>1328</v>
      </c>
    </row>
    <row r="142" spans="1:10" x14ac:dyDescent="0.15">
      <c r="A142" s="28">
        <v>43210.727384259262</v>
      </c>
      <c r="B142" s="24">
        <v>1500</v>
      </c>
      <c r="C142" s="24">
        <v>46.5</v>
      </c>
      <c r="D142" s="24" t="s">
        <v>1329</v>
      </c>
      <c r="E142" s="24">
        <v>24.26</v>
      </c>
      <c r="F142" s="24" t="s">
        <v>1330</v>
      </c>
      <c r="G142" s="24">
        <v>116.7</v>
      </c>
      <c r="H142" s="24" t="s">
        <v>1331</v>
      </c>
      <c r="I142" s="24">
        <v>88.39</v>
      </c>
      <c r="J142" s="24" t="s">
        <v>1332</v>
      </c>
    </row>
    <row r="143" spans="1:10" x14ac:dyDescent="0.15">
      <c r="A143" s="28">
        <v>43210.727418981478</v>
      </c>
      <c r="B143" s="24">
        <v>1500</v>
      </c>
      <c r="C143" s="24">
        <v>47.84</v>
      </c>
      <c r="D143" s="24" t="s">
        <v>1333</v>
      </c>
      <c r="E143" s="24">
        <v>24.84</v>
      </c>
      <c r="F143" s="24" t="s">
        <v>1334</v>
      </c>
      <c r="G143" s="24">
        <v>117.6</v>
      </c>
      <c r="H143" s="24" t="s">
        <v>1335</v>
      </c>
      <c r="I143" s="24">
        <v>83.69</v>
      </c>
      <c r="J143" s="24" t="s">
        <v>1336</v>
      </c>
    </row>
    <row r="144" spans="1:10" x14ac:dyDescent="0.15">
      <c r="A144" s="28">
        <v>43210.727442129632</v>
      </c>
      <c r="B144" s="24">
        <v>1500</v>
      </c>
      <c r="C144" s="24">
        <v>46.68</v>
      </c>
      <c r="D144" s="24" t="s">
        <v>1337</v>
      </c>
      <c r="E144" s="24">
        <v>23.77</v>
      </c>
      <c r="F144" s="24" t="s">
        <v>1338</v>
      </c>
      <c r="G144" s="24">
        <v>117.1</v>
      </c>
      <c r="H144" s="24" t="s">
        <v>1331</v>
      </c>
      <c r="I144" s="24">
        <v>87.29</v>
      </c>
      <c r="J144" s="24" t="s">
        <v>1339</v>
      </c>
    </row>
    <row r="145" spans="1:10" x14ac:dyDescent="0.15">
      <c r="A145" s="28">
        <v>43210.727476851855</v>
      </c>
      <c r="B145" s="24">
        <v>1500</v>
      </c>
      <c r="C145" s="24">
        <v>47.89</v>
      </c>
      <c r="D145" s="24" t="s">
        <v>1340</v>
      </c>
      <c r="E145" s="24">
        <v>23.83</v>
      </c>
      <c r="F145" s="24" t="s">
        <v>1341</v>
      </c>
      <c r="G145" s="24">
        <v>117.2</v>
      </c>
      <c r="H145" s="24" t="s">
        <v>1342</v>
      </c>
      <c r="I145" s="24">
        <v>87.21</v>
      </c>
      <c r="J145" s="24" t="s">
        <v>1343</v>
      </c>
    </row>
    <row r="146" spans="1:10" x14ac:dyDescent="0.15">
      <c r="A146" s="28">
        <v>43210.727511574078</v>
      </c>
      <c r="B146" s="24">
        <v>1500</v>
      </c>
      <c r="C146" s="24">
        <v>47.57</v>
      </c>
      <c r="D146" s="24" t="s">
        <v>1344</v>
      </c>
      <c r="E146" s="24">
        <v>23.99</v>
      </c>
      <c r="F146" s="24" t="s">
        <v>1345</v>
      </c>
      <c r="G146" s="24">
        <v>120.8</v>
      </c>
      <c r="H146" s="24" t="s">
        <v>1346</v>
      </c>
      <c r="I146" s="24">
        <v>85.26</v>
      </c>
      <c r="J146" s="24" t="s">
        <v>1347</v>
      </c>
    </row>
    <row r="147" spans="1:10" x14ac:dyDescent="0.15">
      <c r="A147" s="28">
        <v>43210.727546296293</v>
      </c>
      <c r="B147" s="24">
        <v>1499</v>
      </c>
      <c r="C147" s="24">
        <v>47.36</v>
      </c>
      <c r="D147" s="24" t="s">
        <v>1348</v>
      </c>
      <c r="E147" s="24">
        <v>24.32</v>
      </c>
      <c r="F147" s="24" t="s">
        <v>1349</v>
      </c>
      <c r="G147" s="24">
        <v>114.7</v>
      </c>
      <c r="H147" s="24" t="s">
        <v>1350</v>
      </c>
      <c r="I147" s="24">
        <v>86.42</v>
      </c>
      <c r="J147" s="24" t="s">
        <v>1351</v>
      </c>
    </row>
    <row r="148" spans="1:10" x14ac:dyDescent="0.15">
      <c r="A148" s="28">
        <v>43210.727569444447</v>
      </c>
      <c r="B148" s="24">
        <v>1499</v>
      </c>
      <c r="C148" s="24">
        <v>47.56</v>
      </c>
      <c r="D148" s="24" t="s">
        <v>1352</v>
      </c>
      <c r="E148" s="24">
        <v>24.23</v>
      </c>
      <c r="F148" s="24" t="s">
        <v>1353</v>
      </c>
      <c r="G148" s="24">
        <v>119.8</v>
      </c>
      <c r="H148" s="24" t="s">
        <v>1354</v>
      </c>
      <c r="I148" s="24">
        <v>89.31</v>
      </c>
      <c r="J148" s="24" t="s">
        <v>1355</v>
      </c>
    </row>
    <row r="149" spans="1:10" x14ac:dyDescent="0.15">
      <c r="A149" s="28">
        <v>43210.72760416667</v>
      </c>
      <c r="B149" s="24">
        <v>1499</v>
      </c>
      <c r="C149" s="24">
        <v>47.4</v>
      </c>
      <c r="D149" s="24" t="s">
        <v>1356</v>
      </c>
      <c r="E149" s="24">
        <v>23.51</v>
      </c>
      <c r="F149" s="24" t="s">
        <v>1357</v>
      </c>
      <c r="G149" s="24">
        <v>116.2</v>
      </c>
      <c r="H149" s="24" t="s">
        <v>1358</v>
      </c>
      <c r="I149" s="24">
        <v>84.95</v>
      </c>
      <c r="J149" s="24" t="s">
        <v>1359</v>
      </c>
    </row>
    <row r="150" spans="1:10" x14ac:dyDescent="0.15">
      <c r="A150" s="28">
        <v>43210.727638888886</v>
      </c>
      <c r="B150" s="24">
        <v>1499</v>
      </c>
      <c r="C150" s="24">
        <v>47.83</v>
      </c>
      <c r="D150" s="24" t="s">
        <v>1360</v>
      </c>
      <c r="E150" s="24">
        <v>25.49</v>
      </c>
      <c r="F150" s="24" t="s">
        <v>1361</v>
      </c>
      <c r="G150" s="24">
        <v>116.2</v>
      </c>
      <c r="H150" s="24" t="s">
        <v>1362</v>
      </c>
      <c r="I150" s="24">
        <v>84.21</v>
      </c>
      <c r="J150" s="24" t="s">
        <v>1363</v>
      </c>
    </row>
    <row r="151" spans="1:10" x14ac:dyDescent="0.15">
      <c r="A151" s="28">
        <v>43210.727662037039</v>
      </c>
      <c r="B151" s="24">
        <v>1499</v>
      </c>
      <c r="C151" s="24">
        <v>46.37</v>
      </c>
      <c r="D151" s="24" t="s">
        <v>1364</v>
      </c>
      <c r="E151" s="24">
        <v>24.94</v>
      </c>
      <c r="F151" s="24" t="s">
        <v>1365</v>
      </c>
      <c r="G151" s="24">
        <v>115</v>
      </c>
      <c r="H151" s="24" t="s">
        <v>1366</v>
      </c>
      <c r="I151" s="24">
        <v>85.32</v>
      </c>
      <c r="J151" s="24" t="s">
        <v>1367</v>
      </c>
    </row>
    <row r="152" spans="1:10" x14ac:dyDescent="0.15">
      <c r="A152" s="28">
        <v>43210.727696759262</v>
      </c>
      <c r="B152" s="24">
        <v>1499</v>
      </c>
      <c r="C152" s="24">
        <v>49.89</v>
      </c>
      <c r="D152" s="24" t="s">
        <v>1368</v>
      </c>
      <c r="E152" s="24">
        <v>24.9</v>
      </c>
      <c r="F152" s="24" t="s">
        <v>1369</v>
      </c>
      <c r="G152" s="24">
        <v>117.9</v>
      </c>
      <c r="H152" s="24" t="s">
        <v>1370</v>
      </c>
      <c r="I152" s="24">
        <v>86.13</v>
      </c>
      <c r="J152" s="24" t="s">
        <v>1371</v>
      </c>
    </row>
    <row r="153" spans="1:10" x14ac:dyDescent="0.15">
      <c r="A153" s="28">
        <v>43210.727731481478</v>
      </c>
      <c r="B153" s="24">
        <v>1499</v>
      </c>
      <c r="C153" s="24">
        <v>47.55</v>
      </c>
      <c r="D153" s="24" t="s">
        <v>1226</v>
      </c>
      <c r="E153" s="24">
        <v>23.64</v>
      </c>
      <c r="F153" s="24" t="s">
        <v>1372</v>
      </c>
      <c r="G153" s="24">
        <v>119.3</v>
      </c>
      <c r="H153" s="24" t="s">
        <v>1373</v>
      </c>
      <c r="I153" s="24">
        <v>82.34</v>
      </c>
      <c r="J153" s="24" t="s">
        <v>1374</v>
      </c>
    </row>
    <row r="154" spans="1:10" x14ac:dyDescent="0.15">
      <c r="A154" s="28">
        <v>43210.727754629632</v>
      </c>
      <c r="B154" s="24">
        <v>1499</v>
      </c>
      <c r="C154" s="24">
        <v>46.19</v>
      </c>
      <c r="D154" s="24" t="s">
        <v>1375</v>
      </c>
      <c r="E154" s="24">
        <v>24.23</v>
      </c>
      <c r="F154" s="24" t="s">
        <v>1376</v>
      </c>
      <c r="G154" s="24">
        <v>116.6</v>
      </c>
      <c r="H154" s="24" t="s">
        <v>1373</v>
      </c>
      <c r="I154" s="24">
        <v>88.15</v>
      </c>
      <c r="J154" s="24" t="s">
        <v>1377</v>
      </c>
    </row>
    <row r="155" spans="1:10" x14ac:dyDescent="0.15">
      <c r="A155" s="28">
        <v>43210.727789351855</v>
      </c>
      <c r="B155" s="24">
        <v>1500</v>
      </c>
      <c r="C155" s="24">
        <v>46.63</v>
      </c>
      <c r="D155" s="24" t="s">
        <v>1378</v>
      </c>
      <c r="E155" s="24">
        <v>23.72</v>
      </c>
      <c r="F155" s="24" t="s">
        <v>1379</v>
      </c>
      <c r="G155" s="24">
        <v>121.2</v>
      </c>
      <c r="H155" s="24" t="s">
        <v>1380</v>
      </c>
      <c r="I155" s="24">
        <v>84.85</v>
      </c>
      <c r="J155" s="24" t="s">
        <v>1381</v>
      </c>
    </row>
    <row r="156" spans="1:10" x14ac:dyDescent="0.15">
      <c r="A156" s="28">
        <v>43210.727824074071</v>
      </c>
      <c r="B156" s="24">
        <v>1500</v>
      </c>
      <c r="C156" s="24">
        <v>46.99</v>
      </c>
      <c r="D156" s="24" t="s">
        <v>1382</v>
      </c>
      <c r="E156" s="24">
        <v>24.56</v>
      </c>
      <c r="F156" s="24" t="s">
        <v>1383</v>
      </c>
      <c r="G156" s="24">
        <v>117.8</v>
      </c>
      <c r="H156" s="24" t="s">
        <v>1354</v>
      </c>
      <c r="I156" s="24">
        <v>87.38</v>
      </c>
      <c r="J156" s="24" t="s">
        <v>1384</v>
      </c>
    </row>
    <row r="157" spans="1:10" x14ac:dyDescent="0.15">
      <c r="A157" s="28">
        <v>43210.727847222224</v>
      </c>
      <c r="B157" s="24">
        <v>1500</v>
      </c>
      <c r="C157" s="24">
        <v>50.63</v>
      </c>
      <c r="D157" s="24" t="s">
        <v>1382</v>
      </c>
      <c r="E157" s="24">
        <v>23.94</v>
      </c>
      <c r="F157" s="24" t="s">
        <v>1385</v>
      </c>
      <c r="G157" s="24">
        <v>118.5</v>
      </c>
      <c r="H157" s="24" t="s">
        <v>1386</v>
      </c>
      <c r="I157" s="24">
        <v>84.78</v>
      </c>
      <c r="J157" s="24" t="s">
        <v>1387</v>
      </c>
    </row>
    <row r="158" spans="1:10" x14ac:dyDescent="0.15">
      <c r="A158" s="28">
        <v>43210.727881944447</v>
      </c>
      <c r="B158" s="24">
        <v>1500</v>
      </c>
      <c r="C158" s="24">
        <v>47.11</v>
      </c>
      <c r="D158" s="24" t="s">
        <v>1388</v>
      </c>
      <c r="E158" s="24">
        <v>24.59</v>
      </c>
      <c r="F158" s="24" t="s">
        <v>1389</v>
      </c>
      <c r="G158" s="24">
        <v>114.7</v>
      </c>
      <c r="H158" s="24" t="s">
        <v>1390</v>
      </c>
      <c r="I158" s="24">
        <v>85.75</v>
      </c>
      <c r="J158" s="24" t="s">
        <v>1384</v>
      </c>
    </row>
    <row r="159" spans="1:10" x14ac:dyDescent="0.15">
      <c r="A159" s="28">
        <v>43210.727916666663</v>
      </c>
      <c r="B159" s="24">
        <v>1500</v>
      </c>
      <c r="C159" s="24">
        <v>47.49</v>
      </c>
      <c r="D159" s="24" t="s">
        <v>1391</v>
      </c>
      <c r="E159" s="24">
        <v>23.29</v>
      </c>
      <c r="F159" s="24" t="s">
        <v>1392</v>
      </c>
      <c r="G159" s="24">
        <v>117.3</v>
      </c>
      <c r="H159" s="24" t="s">
        <v>1393</v>
      </c>
      <c r="I159" s="24">
        <v>85.29</v>
      </c>
      <c r="J159" s="24" t="s">
        <v>1394</v>
      </c>
    </row>
    <row r="160" spans="1:10" x14ac:dyDescent="0.15">
      <c r="A160" s="28">
        <v>43210.727939814817</v>
      </c>
      <c r="B160" s="24">
        <v>1500</v>
      </c>
      <c r="C160" s="24">
        <v>48.12</v>
      </c>
      <c r="D160" s="24" t="s">
        <v>1395</v>
      </c>
      <c r="E160" s="24">
        <v>24.71</v>
      </c>
      <c r="F160" s="24" t="s">
        <v>1396</v>
      </c>
      <c r="G160" s="24">
        <v>118.8</v>
      </c>
      <c r="H160" s="24" t="s">
        <v>1397</v>
      </c>
      <c r="I160" s="24">
        <v>85.44</v>
      </c>
      <c r="J160" s="24" t="s">
        <v>1398</v>
      </c>
    </row>
    <row r="161" spans="1:10" x14ac:dyDescent="0.15">
      <c r="A161" s="28">
        <v>43210.72797453704</v>
      </c>
      <c r="B161" s="24">
        <v>1500</v>
      </c>
      <c r="C161" s="24">
        <v>47.4</v>
      </c>
      <c r="D161" s="24" t="s">
        <v>1399</v>
      </c>
      <c r="E161" s="24">
        <v>25.19</v>
      </c>
      <c r="F161" s="24" t="s">
        <v>1400</v>
      </c>
      <c r="G161" s="24">
        <v>114.1</v>
      </c>
      <c r="H161" s="24" t="s">
        <v>1401</v>
      </c>
      <c r="I161" s="24">
        <v>87.47</v>
      </c>
      <c r="J161" s="24" t="s">
        <v>1402</v>
      </c>
    </row>
    <row r="162" spans="1:10" x14ac:dyDescent="0.15">
      <c r="A162" s="28">
        <v>43210.728009259263</v>
      </c>
      <c r="B162" s="24">
        <v>1500</v>
      </c>
      <c r="C162" s="24">
        <v>47.11</v>
      </c>
      <c r="D162" s="24" t="s">
        <v>1403</v>
      </c>
      <c r="E162" s="24">
        <v>25.47</v>
      </c>
      <c r="F162" s="24" t="s">
        <v>1404</v>
      </c>
      <c r="G162" s="24">
        <v>114.1</v>
      </c>
      <c r="H162" s="24" t="s">
        <v>1405</v>
      </c>
      <c r="I162" s="24">
        <v>89.38</v>
      </c>
      <c r="J162" s="24" t="s">
        <v>1406</v>
      </c>
    </row>
    <row r="163" spans="1:10" x14ac:dyDescent="0.15">
      <c r="A163" s="28">
        <v>43210.728043981479</v>
      </c>
      <c r="B163" s="24">
        <v>1501</v>
      </c>
      <c r="C163" s="24">
        <v>48.26</v>
      </c>
      <c r="D163" s="24" t="s">
        <v>1407</v>
      </c>
      <c r="E163" s="24">
        <v>23.55</v>
      </c>
      <c r="F163" s="24" t="s">
        <v>1408</v>
      </c>
      <c r="G163" s="24">
        <v>114.9</v>
      </c>
      <c r="H163" s="24" t="s">
        <v>1373</v>
      </c>
      <c r="I163" s="24">
        <v>83.8</v>
      </c>
      <c r="J163" s="24" t="s">
        <v>1409</v>
      </c>
    </row>
    <row r="164" spans="1:10" x14ac:dyDescent="0.15">
      <c r="A164" s="28">
        <v>43210.728067129632</v>
      </c>
      <c r="B164" s="24">
        <v>1501</v>
      </c>
      <c r="C164" s="24">
        <v>46.23</v>
      </c>
      <c r="D164" s="24" t="s">
        <v>1410</v>
      </c>
      <c r="E164" s="24">
        <v>24.46</v>
      </c>
      <c r="F164" s="24" t="s">
        <v>1411</v>
      </c>
      <c r="G164" s="24">
        <v>114.8</v>
      </c>
      <c r="H164" s="24" t="s">
        <v>1405</v>
      </c>
      <c r="I164" s="24">
        <v>91.83</v>
      </c>
      <c r="J164" s="24" t="s">
        <v>1412</v>
      </c>
    </row>
    <row r="165" spans="1:10" x14ac:dyDescent="0.15">
      <c r="A165" s="28">
        <v>43210.728101851855</v>
      </c>
      <c r="B165" s="24">
        <v>1501</v>
      </c>
      <c r="C165" s="24">
        <v>48.52</v>
      </c>
      <c r="D165" s="24" t="s">
        <v>1413</v>
      </c>
      <c r="E165" s="24">
        <v>23.79</v>
      </c>
      <c r="F165" s="24" t="s">
        <v>1414</v>
      </c>
      <c r="G165" s="24">
        <v>120.6</v>
      </c>
      <c r="H165" s="24" t="s">
        <v>1415</v>
      </c>
      <c r="I165" s="24">
        <v>85.94</v>
      </c>
      <c r="J165" s="24" t="s">
        <v>1416</v>
      </c>
    </row>
    <row r="166" spans="1:10" x14ac:dyDescent="0.15">
      <c r="A166" s="28">
        <v>43210.728136574071</v>
      </c>
      <c r="B166" s="24">
        <v>1501</v>
      </c>
      <c r="C166" s="24">
        <v>47.17</v>
      </c>
      <c r="D166" s="24" t="s">
        <v>1417</v>
      </c>
      <c r="E166" s="24">
        <v>24.86</v>
      </c>
      <c r="F166" s="24" t="s">
        <v>1418</v>
      </c>
      <c r="G166" s="24">
        <v>116.7</v>
      </c>
      <c r="H166" s="24" t="s">
        <v>1397</v>
      </c>
      <c r="I166" s="24">
        <v>88.56</v>
      </c>
      <c r="J166" s="24" t="s">
        <v>1419</v>
      </c>
    </row>
    <row r="167" spans="1:10" x14ac:dyDescent="0.15">
      <c r="A167" s="28">
        <v>43210.728159722225</v>
      </c>
      <c r="B167" s="24">
        <v>1501</v>
      </c>
      <c r="C167" s="24">
        <v>48.57</v>
      </c>
      <c r="D167" s="24" t="s">
        <v>1420</v>
      </c>
      <c r="E167" s="24">
        <v>25.03</v>
      </c>
      <c r="F167" s="24" t="s">
        <v>1421</v>
      </c>
      <c r="G167" s="24">
        <v>117.9</v>
      </c>
      <c r="H167" s="24" t="s">
        <v>1350</v>
      </c>
      <c r="I167" s="24">
        <v>88.39</v>
      </c>
      <c r="J167" s="24" t="s">
        <v>1422</v>
      </c>
    </row>
    <row r="168" spans="1:10" x14ac:dyDescent="0.15">
      <c r="A168" s="28">
        <v>43210.728194444448</v>
      </c>
      <c r="B168" s="24">
        <v>1500</v>
      </c>
      <c r="C168" s="24">
        <v>46.9</v>
      </c>
      <c r="D168" s="24" t="s">
        <v>1423</v>
      </c>
      <c r="E168" s="24">
        <v>25.09</v>
      </c>
      <c r="F168" s="24" t="s">
        <v>1424</v>
      </c>
      <c r="G168" s="24">
        <v>116.2</v>
      </c>
      <c r="H168" s="24" t="s">
        <v>1425</v>
      </c>
      <c r="I168" s="24">
        <v>84.77</v>
      </c>
      <c r="J168" s="24" t="s">
        <v>1426</v>
      </c>
    </row>
    <row r="169" spans="1:10" x14ac:dyDescent="0.15">
      <c r="A169" s="28">
        <v>43210.728229166663</v>
      </c>
      <c r="B169" s="24">
        <v>1500</v>
      </c>
      <c r="C169" s="24">
        <v>46.83</v>
      </c>
      <c r="D169" s="24" t="s">
        <v>1391</v>
      </c>
      <c r="E169" s="24">
        <v>24.12</v>
      </c>
      <c r="F169" s="24" t="s">
        <v>1427</v>
      </c>
      <c r="G169" s="24">
        <v>117.3</v>
      </c>
      <c r="H169" s="24" t="s">
        <v>1428</v>
      </c>
      <c r="I169" s="24">
        <v>85.64</v>
      </c>
      <c r="J169" s="24" t="s">
        <v>1429</v>
      </c>
    </row>
    <row r="170" spans="1:10" x14ac:dyDescent="0.15">
      <c r="A170" s="28">
        <v>43210.728252314817</v>
      </c>
      <c r="B170" s="24">
        <v>1501</v>
      </c>
      <c r="C170" s="24">
        <v>49</v>
      </c>
      <c r="D170" s="24" t="s">
        <v>1430</v>
      </c>
      <c r="E170" s="24">
        <v>23.6</v>
      </c>
      <c r="F170" s="24" t="s">
        <v>1431</v>
      </c>
      <c r="G170" s="24">
        <v>120.7</v>
      </c>
      <c r="H170" s="24" t="s">
        <v>1425</v>
      </c>
      <c r="I170" s="24">
        <v>85.01</v>
      </c>
      <c r="J170" s="24" t="s">
        <v>1432</v>
      </c>
    </row>
    <row r="171" spans="1:10" x14ac:dyDescent="0.15">
      <c r="A171" s="28">
        <v>43210.72828703704</v>
      </c>
      <c r="B171" s="24">
        <v>1501</v>
      </c>
      <c r="C171" s="24">
        <v>47.38</v>
      </c>
      <c r="D171" s="24" t="s">
        <v>1433</v>
      </c>
      <c r="E171" s="24">
        <v>23.61</v>
      </c>
      <c r="F171" s="24" t="s">
        <v>1434</v>
      </c>
      <c r="G171" s="24">
        <v>116.6</v>
      </c>
      <c r="H171" s="24" t="s">
        <v>1428</v>
      </c>
      <c r="I171" s="24">
        <v>83.71</v>
      </c>
      <c r="J171" s="24" t="s">
        <v>1435</v>
      </c>
    </row>
    <row r="172" spans="1:10" x14ac:dyDescent="0.15">
      <c r="A172" s="28">
        <v>43210.728321759256</v>
      </c>
      <c r="B172" s="24">
        <v>1501</v>
      </c>
      <c r="C172" s="24">
        <v>50.14</v>
      </c>
      <c r="D172" s="24" t="s">
        <v>1436</v>
      </c>
      <c r="E172" s="24">
        <v>25.2</v>
      </c>
      <c r="F172" s="24" t="s">
        <v>1437</v>
      </c>
      <c r="G172" s="24">
        <v>116.4</v>
      </c>
      <c r="H172" s="24" t="s">
        <v>1438</v>
      </c>
      <c r="I172" s="24">
        <v>86.67</v>
      </c>
      <c r="J172" s="24" t="s">
        <v>1439</v>
      </c>
    </row>
    <row r="173" spans="1:10" x14ac:dyDescent="0.15">
      <c r="A173" s="28">
        <v>43210.728344907409</v>
      </c>
      <c r="B173" s="24">
        <v>1501</v>
      </c>
      <c r="C173" s="24">
        <v>48.17</v>
      </c>
      <c r="D173" s="24" t="s">
        <v>1440</v>
      </c>
      <c r="E173" s="24">
        <v>24.7</v>
      </c>
      <c r="F173" s="24" t="s">
        <v>1441</v>
      </c>
      <c r="G173" s="24">
        <v>115.1</v>
      </c>
      <c r="H173" s="24" t="s">
        <v>1350</v>
      </c>
      <c r="I173" s="24">
        <v>87.58</v>
      </c>
      <c r="J173" s="24" t="s">
        <v>1442</v>
      </c>
    </row>
    <row r="174" spans="1:10" x14ac:dyDescent="0.15">
      <c r="A174" s="28">
        <v>43210.728379629632</v>
      </c>
      <c r="B174" s="24">
        <v>1501</v>
      </c>
      <c r="C174" s="24">
        <v>48.83</v>
      </c>
      <c r="D174" s="24" t="s">
        <v>1443</v>
      </c>
      <c r="E174" s="24">
        <v>23.8</v>
      </c>
      <c r="F174" s="24" t="s">
        <v>1444</v>
      </c>
      <c r="G174" s="24">
        <v>116.5</v>
      </c>
      <c r="H174" s="24" t="s">
        <v>1428</v>
      </c>
      <c r="I174" s="24">
        <v>88.8</v>
      </c>
      <c r="J174" s="24" t="s">
        <v>1445</v>
      </c>
    </row>
    <row r="175" spans="1:10" x14ac:dyDescent="0.15">
      <c r="A175" s="28">
        <v>43210.728414351855</v>
      </c>
      <c r="B175" s="24">
        <v>1501</v>
      </c>
      <c r="C175" s="24">
        <v>46.17</v>
      </c>
      <c r="D175" s="24" t="s">
        <v>1446</v>
      </c>
      <c r="E175" s="24">
        <v>23.25</v>
      </c>
      <c r="F175" s="24" t="s">
        <v>1447</v>
      </c>
      <c r="G175" s="24">
        <v>117.4</v>
      </c>
      <c r="H175" s="24" t="s">
        <v>1350</v>
      </c>
      <c r="I175" s="24">
        <v>84.51</v>
      </c>
      <c r="J175" s="24" t="s">
        <v>1448</v>
      </c>
    </row>
    <row r="176" spans="1:10" x14ac:dyDescent="0.15">
      <c r="A176" s="28">
        <v>43210.728449074071</v>
      </c>
      <c r="B176" s="24">
        <v>1501</v>
      </c>
      <c r="C176" s="24">
        <v>47.28</v>
      </c>
      <c r="D176" s="24" t="s">
        <v>1449</v>
      </c>
      <c r="E176" s="24">
        <v>23.97</v>
      </c>
      <c r="F176" s="24" t="s">
        <v>1450</v>
      </c>
      <c r="G176" s="24">
        <v>120.5</v>
      </c>
      <c r="H176" s="24" t="s">
        <v>1428</v>
      </c>
      <c r="I176" s="24">
        <v>85.68</v>
      </c>
      <c r="J176" s="24" t="s">
        <v>1451</v>
      </c>
    </row>
    <row r="177" spans="1:10" x14ac:dyDescent="0.15">
      <c r="A177" s="28">
        <v>43210.728472222225</v>
      </c>
      <c r="B177" s="24">
        <v>1501</v>
      </c>
      <c r="C177" s="24">
        <v>46.15</v>
      </c>
      <c r="D177" s="24" t="s">
        <v>1452</v>
      </c>
      <c r="E177" s="24">
        <v>23.97</v>
      </c>
      <c r="F177" s="24" t="s">
        <v>1450</v>
      </c>
      <c r="G177" s="24">
        <v>120.5</v>
      </c>
      <c r="H177" s="24" t="s">
        <v>1428</v>
      </c>
      <c r="I177" s="24">
        <v>85.68</v>
      </c>
      <c r="J177" s="24" t="s">
        <v>1451</v>
      </c>
    </row>
    <row r="178" spans="1:10" x14ac:dyDescent="0.15">
      <c r="A178" s="28">
        <v>43210.728483796294</v>
      </c>
      <c r="B178" s="24">
        <v>1501</v>
      </c>
      <c r="C178" s="24">
        <v>46.15</v>
      </c>
      <c r="D178" s="24" t="s">
        <v>1452</v>
      </c>
      <c r="E178" s="24">
        <v>23.05</v>
      </c>
      <c r="F178" s="24" t="s">
        <v>1453</v>
      </c>
      <c r="G178" s="24">
        <v>118</v>
      </c>
      <c r="H178" s="24" t="s">
        <v>1454</v>
      </c>
      <c r="I178" s="24">
        <v>85.11</v>
      </c>
      <c r="J178" s="24" t="s">
        <v>1455</v>
      </c>
    </row>
    <row r="179" spans="1:10" x14ac:dyDescent="0.15">
      <c r="A179" s="28">
        <v>43210.728506944448</v>
      </c>
      <c r="B179" s="24">
        <v>1501</v>
      </c>
      <c r="C179" s="24">
        <v>47.84</v>
      </c>
      <c r="D179" s="24" t="s">
        <v>1456</v>
      </c>
      <c r="E179" s="24">
        <v>24.4</v>
      </c>
      <c r="F179" s="24" t="s">
        <v>1457</v>
      </c>
      <c r="G179" s="24">
        <v>118.1</v>
      </c>
      <c r="H179" s="24" t="s">
        <v>1458</v>
      </c>
      <c r="I179" s="24">
        <v>86.66</v>
      </c>
      <c r="J179" s="24" t="s">
        <v>1459</v>
      </c>
    </row>
    <row r="180" spans="1:10" x14ac:dyDescent="0.15">
      <c r="A180" s="28">
        <v>43210.728541666664</v>
      </c>
      <c r="B180" s="24">
        <v>1501</v>
      </c>
      <c r="C180" s="24">
        <v>48.82</v>
      </c>
      <c r="D180" s="24" t="s">
        <v>1302</v>
      </c>
      <c r="E180" s="24">
        <v>22.71</v>
      </c>
      <c r="F180" s="24" t="s">
        <v>1460</v>
      </c>
      <c r="G180" s="24">
        <v>117.5</v>
      </c>
      <c r="H180" s="24" t="s">
        <v>1461</v>
      </c>
      <c r="I180" s="24">
        <v>84.21</v>
      </c>
      <c r="J180" s="24" t="s">
        <v>1462</v>
      </c>
    </row>
    <row r="181" spans="1:10" x14ac:dyDescent="0.15">
      <c r="A181" s="28">
        <v>43210.728564814817</v>
      </c>
      <c r="B181" s="24">
        <v>1501</v>
      </c>
      <c r="C181" s="24">
        <v>48.14</v>
      </c>
      <c r="D181" s="24" t="s">
        <v>1463</v>
      </c>
      <c r="E181" s="24">
        <v>22.31</v>
      </c>
      <c r="F181" s="24" t="s">
        <v>1464</v>
      </c>
      <c r="G181" s="24">
        <v>117.3</v>
      </c>
      <c r="H181" s="24" t="s">
        <v>1405</v>
      </c>
      <c r="I181" s="24">
        <v>84.96</v>
      </c>
      <c r="J181" s="24" t="s">
        <v>1465</v>
      </c>
    </row>
    <row r="182" spans="1:10" x14ac:dyDescent="0.15">
      <c r="A182" s="28">
        <v>43210.72859953704</v>
      </c>
      <c r="B182" s="24">
        <v>1501</v>
      </c>
      <c r="C182" s="24">
        <v>46.54</v>
      </c>
      <c r="D182" s="24" t="s">
        <v>1466</v>
      </c>
      <c r="E182" s="24">
        <v>25.16</v>
      </c>
      <c r="F182" s="24" t="s">
        <v>1467</v>
      </c>
      <c r="G182" s="24">
        <v>116.8</v>
      </c>
      <c r="H182" s="24" t="s">
        <v>1468</v>
      </c>
      <c r="I182" s="24">
        <v>83.97</v>
      </c>
      <c r="J182" s="24" t="s">
        <v>1469</v>
      </c>
    </row>
    <row r="183" spans="1:10" x14ac:dyDescent="0.15">
      <c r="A183" s="28">
        <v>43210.728634259256</v>
      </c>
      <c r="B183" s="24">
        <v>1501</v>
      </c>
      <c r="C183" s="24">
        <v>48.66</v>
      </c>
      <c r="D183" s="24" t="s">
        <v>1470</v>
      </c>
      <c r="E183" s="24">
        <v>23.19</v>
      </c>
      <c r="F183" s="24" t="s">
        <v>1471</v>
      </c>
      <c r="G183" s="24">
        <v>120.4</v>
      </c>
      <c r="H183" s="24" t="s">
        <v>1468</v>
      </c>
      <c r="I183" s="24">
        <v>84.98</v>
      </c>
      <c r="J183" s="24" t="s">
        <v>1472</v>
      </c>
    </row>
    <row r="184" spans="1:10" x14ac:dyDescent="0.15">
      <c r="A184" s="28">
        <v>43210.72865740741</v>
      </c>
      <c r="B184" s="24">
        <v>1500</v>
      </c>
      <c r="C184" s="24">
        <v>46.75</v>
      </c>
      <c r="D184" s="24" t="s">
        <v>1473</v>
      </c>
      <c r="E184" s="24">
        <v>24.83</v>
      </c>
      <c r="F184" s="24" t="s">
        <v>1474</v>
      </c>
      <c r="G184" s="24">
        <v>119.9</v>
      </c>
      <c r="H184" s="24" t="s">
        <v>1475</v>
      </c>
      <c r="I184" s="24">
        <v>82.92</v>
      </c>
      <c r="J184" s="24" t="s">
        <v>1325</v>
      </c>
    </row>
    <row r="185" spans="1:10" x14ac:dyDescent="0.15">
      <c r="A185" s="28">
        <v>43210.728692129633</v>
      </c>
      <c r="B185" s="24">
        <v>1500</v>
      </c>
      <c r="C185" s="24">
        <v>46.2</v>
      </c>
      <c r="D185" s="24" t="s">
        <v>1476</v>
      </c>
      <c r="E185" s="24">
        <v>24.47</v>
      </c>
      <c r="F185" s="24" t="s">
        <v>1477</v>
      </c>
      <c r="G185" s="24">
        <v>115.1</v>
      </c>
      <c r="H185" s="24" t="s">
        <v>1478</v>
      </c>
      <c r="I185" s="24">
        <v>85.57</v>
      </c>
      <c r="J185" s="24" t="s">
        <v>1479</v>
      </c>
    </row>
    <row r="186" spans="1:10" x14ac:dyDescent="0.15">
      <c r="A186" s="28">
        <v>43210.728726851848</v>
      </c>
      <c r="B186" s="24">
        <v>1501</v>
      </c>
      <c r="C186" s="24">
        <v>48.06</v>
      </c>
      <c r="D186" s="24" t="s">
        <v>1480</v>
      </c>
      <c r="E186" s="24">
        <v>23.31</v>
      </c>
      <c r="F186" s="24" t="s">
        <v>1481</v>
      </c>
      <c r="G186" s="24">
        <v>115.1</v>
      </c>
      <c r="H186" s="24" t="s">
        <v>1482</v>
      </c>
      <c r="I186" s="24">
        <v>83.71</v>
      </c>
      <c r="J186" s="24" t="s">
        <v>1483</v>
      </c>
    </row>
    <row r="187" spans="1:10" x14ac:dyDescent="0.15">
      <c r="A187" s="28">
        <v>43210.728750000002</v>
      </c>
      <c r="B187" s="24">
        <v>1501</v>
      </c>
      <c r="C187" s="24">
        <v>47.68</v>
      </c>
      <c r="D187" s="24" t="s">
        <v>1484</v>
      </c>
      <c r="E187" s="24">
        <v>22.98</v>
      </c>
      <c r="F187" s="24" t="s">
        <v>1485</v>
      </c>
      <c r="G187" s="24">
        <v>118.8</v>
      </c>
      <c r="H187" s="24" t="s">
        <v>1475</v>
      </c>
      <c r="I187" s="24">
        <v>84.82</v>
      </c>
      <c r="J187" s="24" t="s">
        <v>1486</v>
      </c>
    </row>
    <row r="188" spans="1:10" x14ac:dyDescent="0.15">
      <c r="A188" s="28">
        <v>43210.728784722225</v>
      </c>
      <c r="B188" s="24">
        <v>1501</v>
      </c>
      <c r="C188" s="24">
        <v>48.63</v>
      </c>
      <c r="D188" s="24" t="s">
        <v>1487</v>
      </c>
      <c r="E188" s="24">
        <v>24.69</v>
      </c>
      <c r="F188" s="24" t="s">
        <v>1488</v>
      </c>
      <c r="G188" s="24">
        <v>115.8</v>
      </c>
      <c r="H188" s="24" t="s">
        <v>1489</v>
      </c>
      <c r="I188" s="24">
        <v>84.14</v>
      </c>
      <c r="J188" s="24" t="s">
        <v>1490</v>
      </c>
    </row>
    <row r="189" spans="1:10" x14ac:dyDescent="0.15">
      <c r="A189" s="28">
        <v>43210.728819444441</v>
      </c>
      <c r="B189" s="24">
        <v>1501</v>
      </c>
      <c r="C189" s="24">
        <v>47.11</v>
      </c>
      <c r="D189" s="24" t="s">
        <v>1491</v>
      </c>
      <c r="E189" s="24">
        <v>23.63</v>
      </c>
      <c r="F189" s="24" t="s">
        <v>1492</v>
      </c>
      <c r="G189" s="24">
        <v>112.7</v>
      </c>
      <c r="H189" s="24" t="s">
        <v>1493</v>
      </c>
      <c r="I189" s="24">
        <v>86.97</v>
      </c>
      <c r="J189" s="24" t="s">
        <v>1494</v>
      </c>
    </row>
    <row r="190" spans="1:10" x14ac:dyDescent="0.15">
      <c r="A190" s="28">
        <v>43210.728842592594</v>
      </c>
      <c r="B190" s="24">
        <v>1501</v>
      </c>
      <c r="C190" s="24">
        <v>46.56</v>
      </c>
      <c r="D190" s="24" t="s">
        <v>1495</v>
      </c>
      <c r="E190" s="24">
        <v>23.86</v>
      </c>
      <c r="F190" s="24" t="s">
        <v>1496</v>
      </c>
      <c r="G190" s="24">
        <v>114.7</v>
      </c>
      <c r="H190" s="24" t="s">
        <v>1497</v>
      </c>
      <c r="I190" s="24">
        <v>84.68</v>
      </c>
      <c r="J190" s="24" t="s">
        <v>1498</v>
      </c>
    </row>
    <row r="191" spans="1:10" x14ac:dyDescent="0.15">
      <c r="A191" s="28">
        <v>43210.728877314818</v>
      </c>
      <c r="B191" s="24">
        <v>1501</v>
      </c>
      <c r="C191" s="24">
        <v>47.99</v>
      </c>
      <c r="D191" s="24" t="s">
        <v>1499</v>
      </c>
      <c r="E191" s="24">
        <v>23.96</v>
      </c>
      <c r="F191" s="24" t="s">
        <v>1500</v>
      </c>
      <c r="G191" s="24">
        <v>117.8</v>
      </c>
      <c r="H191" s="24" t="s">
        <v>1501</v>
      </c>
      <c r="I191" s="24">
        <v>82.52</v>
      </c>
      <c r="J191" s="24" t="s">
        <v>1502</v>
      </c>
    </row>
    <row r="192" spans="1:10" x14ac:dyDescent="0.15">
      <c r="A192" s="28">
        <v>43210.72892361111</v>
      </c>
      <c r="B192" s="24">
        <v>1500</v>
      </c>
      <c r="C192" s="24">
        <v>48.87</v>
      </c>
      <c r="D192" s="24" t="s">
        <v>1503</v>
      </c>
      <c r="E192" s="24">
        <v>22.52</v>
      </c>
      <c r="F192" s="24" t="s">
        <v>1504</v>
      </c>
      <c r="G192" s="24">
        <v>114.6</v>
      </c>
      <c r="H192" s="24" t="s">
        <v>1454</v>
      </c>
      <c r="I192" s="24">
        <v>87.54</v>
      </c>
      <c r="J192" s="24" t="s">
        <v>1505</v>
      </c>
    </row>
    <row r="193" spans="1:10" x14ac:dyDescent="0.15">
      <c r="A193" s="28">
        <v>43210.728958333333</v>
      </c>
      <c r="B193" s="24">
        <v>1500</v>
      </c>
      <c r="C193" s="24">
        <v>47.42</v>
      </c>
      <c r="D193" s="24" t="s">
        <v>1506</v>
      </c>
      <c r="E193" s="24">
        <v>23.04</v>
      </c>
      <c r="F193" s="24" t="s">
        <v>1507</v>
      </c>
      <c r="G193" s="24">
        <v>115.8</v>
      </c>
      <c r="H193" s="24" t="s">
        <v>1508</v>
      </c>
      <c r="I193" s="24">
        <v>84.44</v>
      </c>
      <c r="J193" s="24" t="s">
        <v>1509</v>
      </c>
    </row>
    <row r="194" spans="1:10" x14ac:dyDescent="0.15">
      <c r="A194" s="28">
        <v>43210.728993055556</v>
      </c>
      <c r="B194" s="24">
        <v>1500</v>
      </c>
      <c r="C194" s="24">
        <v>46.4</v>
      </c>
      <c r="D194" s="24" t="s">
        <v>1510</v>
      </c>
      <c r="E194" s="24">
        <v>23.71</v>
      </c>
      <c r="F194" s="24" t="s">
        <v>1511</v>
      </c>
      <c r="G194" s="24">
        <v>116.8</v>
      </c>
      <c r="H194" s="24" t="s">
        <v>1512</v>
      </c>
      <c r="I194" s="24">
        <v>89.06</v>
      </c>
      <c r="J194" s="24" t="s">
        <v>1513</v>
      </c>
    </row>
    <row r="195" spans="1:10" x14ac:dyDescent="0.15">
      <c r="A195" s="28">
        <v>43210.729027777779</v>
      </c>
      <c r="B195" s="24">
        <v>1500</v>
      </c>
      <c r="C195" s="24">
        <v>48.22</v>
      </c>
      <c r="D195" s="24" t="s">
        <v>1514</v>
      </c>
      <c r="E195" s="24">
        <v>23.17</v>
      </c>
      <c r="F195" s="24" t="s">
        <v>1460</v>
      </c>
      <c r="G195" s="24">
        <v>115.3</v>
      </c>
      <c r="H195" s="24" t="s">
        <v>1475</v>
      </c>
      <c r="I195" s="24">
        <v>82.98</v>
      </c>
      <c r="J195" s="24" t="s">
        <v>1515</v>
      </c>
    </row>
    <row r="196" spans="1:10" x14ac:dyDescent="0.15">
      <c r="A196" s="28">
        <v>43210.729062500002</v>
      </c>
      <c r="B196" s="24">
        <v>1500</v>
      </c>
      <c r="C196" s="24">
        <v>46.75</v>
      </c>
      <c r="D196" s="24" t="s">
        <v>1516</v>
      </c>
      <c r="E196" s="24">
        <v>22.66</v>
      </c>
      <c r="F196" s="24" t="s">
        <v>1517</v>
      </c>
      <c r="G196" s="24">
        <v>116.5</v>
      </c>
      <c r="H196" s="24" t="s">
        <v>1493</v>
      </c>
      <c r="I196" s="24">
        <v>85.34</v>
      </c>
      <c r="J196" s="24" t="s">
        <v>1518</v>
      </c>
    </row>
    <row r="197" spans="1:10" x14ac:dyDescent="0.15">
      <c r="A197" s="28">
        <v>43210.729097222225</v>
      </c>
      <c r="B197" s="24">
        <v>1500</v>
      </c>
      <c r="C197" s="24">
        <v>48.87</v>
      </c>
      <c r="D197" s="24" t="s">
        <v>1519</v>
      </c>
      <c r="E197" s="24">
        <v>23.21</v>
      </c>
      <c r="F197" s="24" t="s">
        <v>1520</v>
      </c>
      <c r="G197" s="24">
        <v>116.9</v>
      </c>
      <c r="H197" s="24" t="s">
        <v>1521</v>
      </c>
      <c r="I197" s="24">
        <v>82.13</v>
      </c>
      <c r="J197" s="24" t="s">
        <v>1522</v>
      </c>
    </row>
    <row r="198" spans="1:10" x14ac:dyDescent="0.15">
      <c r="A198" s="28">
        <v>43210.729131944441</v>
      </c>
      <c r="B198" s="24">
        <v>1500</v>
      </c>
      <c r="C198" s="24">
        <v>47.97</v>
      </c>
      <c r="D198" s="24" t="s">
        <v>1523</v>
      </c>
      <c r="E198" s="24">
        <v>24.44</v>
      </c>
      <c r="F198" s="24" t="s">
        <v>1524</v>
      </c>
      <c r="G198" s="24">
        <v>119.2</v>
      </c>
      <c r="H198" s="24" t="s">
        <v>1525</v>
      </c>
      <c r="I198" s="24">
        <v>78.39</v>
      </c>
      <c r="J198" s="24" t="s">
        <v>1526</v>
      </c>
    </row>
    <row r="199" spans="1:10" x14ac:dyDescent="0.15">
      <c r="A199" s="28">
        <v>43210.729155092595</v>
      </c>
      <c r="B199" s="24">
        <v>1500</v>
      </c>
      <c r="C199" s="24">
        <v>46.4</v>
      </c>
      <c r="D199" s="24" t="s">
        <v>1527</v>
      </c>
      <c r="E199" s="24">
        <v>22.76</v>
      </c>
      <c r="F199" s="24" t="s">
        <v>1528</v>
      </c>
      <c r="G199" s="24">
        <v>114.9</v>
      </c>
      <c r="H199" s="24" t="s">
        <v>1461</v>
      </c>
      <c r="I199" s="24">
        <v>92.43</v>
      </c>
      <c r="J199" s="24" t="s">
        <v>1529</v>
      </c>
    </row>
    <row r="200" spans="1:10" x14ac:dyDescent="0.15">
      <c r="A200" s="28">
        <v>43210.729189814818</v>
      </c>
      <c r="B200" s="24">
        <v>1500</v>
      </c>
      <c r="C200" s="24">
        <v>47.48</v>
      </c>
      <c r="D200" s="24" t="s">
        <v>1530</v>
      </c>
      <c r="E200" s="24">
        <v>23.38</v>
      </c>
      <c r="F200" s="24" t="s">
        <v>1531</v>
      </c>
      <c r="G200" s="24">
        <v>115.6</v>
      </c>
      <c r="H200" s="24" t="s">
        <v>1532</v>
      </c>
      <c r="I200" s="24">
        <v>88.31</v>
      </c>
      <c r="J200" s="24" t="s">
        <v>1533</v>
      </c>
    </row>
    <row r="201" spans="1:10" x14ac:dyDescent="0.15">
      <c r="A201" s="28">
        <v>43210.729224537034</v>
      </c>
      <c r="B201" s="24">
        <v>1500</v>
      </c>
      <c r="C201" s="24">
        <v>47.98</v>
      </c>
      <c r="D201" s="24" t="s">
        <v>1519</v>
      </c>
      <c r="E201" s="24">
        <v>23.56</v>
      </c>
      <c r="F201" s="24" t="s">
        <v>1534</v>
      </c>
      <c r="G201" s="24">
        <v>114</v>
      </c>
      <c r="H201" s="24" t="s">
        <v>1535</v>
      </c>
      <c r="I201" s="24">
        <v>79.91</v>
      </c>
      <c r="J201" s="24" t="s">
        <v>1536</v>
      </c>
    </row>
    <row r="202" spans="1:10" x14ac:dyDescent="0.15">
      <c r="A202" s="28">
        <v>43210.729247685187</v>
      </c>
      <c r="B202" s="24">
        <v>1500</v>
      </c>
      <c r="C202" s="24">
        <v>48.03</v>
      </c>
      <c r="D202" s="24" t="s">
        <v>1537</v>
      </c>
      <c r="E202" s="24">
        <v>22.75</v>
      </c>
      <c r="F202" s="24" t="s">
        <v>1464</v>
      </c>
      <c r="G202" s="24">
        <v>114.9</v>
      </c>
      <c r="H202" s="24" t="s">
        <v>1538</v>
      </c>
      <c r="I202" s="24">
        <v>80.790000000000006</v>
      </c>
      <c r="J202" s="24" t="s">
        <v>1539</v>
      </c>
    </row>
    <row r="203" spans="1:10" x14ac:dyDescent="0.15">
      <c r="A203" s="28">
        <v>43210.72928240741</v>
      </c>
      <c r="B203" s="24">
        <v>1500</v>
      </c>
      <c r="C203" s="24">
        <v>46.37</v>
      </c>
      <c r="D203" s="24" t="s">
        <v>1540</v>
      </c>
      <c r="E203" s="24">
        <v>24.71</v>
      </c>
      <c r="F203" s="24" t="s">
        <v>1541</v>
      </c>
      <c r="G203" s="24">
        <v>117.5</v>
      </c>
      <c r="H203" s="24" t="s">
        <v>1512</v>
      </c>
      <c r="I203" s="24">
        <v>81.489999999999995</v>
      </c>
      <c r="J203" s="24" t="s">
        <v>1542</v>
      </c>
    </row>
    <row r="204" spans="1:10" x14ac:dyDescent="0.15">
      <c r="A204" s="28">
        <v>43210.729317129626</v>
      </c>
      <c r="B204" s="24">
        <v>1500</v>
      </c>
      <c r="C204" s="24">
        <v>47.3</v>
      </c>
      <c r="D204" s="24" t="s">
        <v>1543</v>
      </c>
      <c r="E204" s="24">
        <v>23.66</v>
      </c>
      <c r="F204" s="24" t="s">
        <v>1544</v>
      </c>
      <c r="G204" s="24">
        <v>116.4</v>
      </c>
      <c r="H204" s="24" t="s">
        <v>1512</v>
      </c>
      <c r="I204" s="24">
        <v>81.239999999999995</v>
      </c>
      <c r="J204" s="24" t="s">
        <v>1545</v>
      </c>
    </row>
    <row r="205" spans="1:10" x14ac:dyDescent="0.15">
      <c r="A205" s="28">
        <v>43210.72934027778</v>
      </c>
      <c r="B205" s="24">
        <v>1500</v>
      </c>
      <c r="C205" s="24">
        <v>46.69</v>
      </c>
      <c r="D205" s="24" t="s">
        <v>1546</v>
      </c>
      <c r="E205" s="24">
        <v>23.64</v>
      </c>
      <c r="F205" s="24" t="s">
        <v>1547</v>
      </c>
      <c r="G205" s="24">
        <v>113.6</v>
      </c>
      <c r="H205" s="24" t="s">
        <v>1548</v>
      </c>
      <c r="I205" s="24">
        <v>85.86</v>
      </c>
      <c r="J205" s="24" t="s">
        <v>1549</v>
      </c>
    </row>
    <row r="206" spans="1:10" x14ac:dyDescent="0.15">
      <c r="A206" s="28">
        <v>43210.729375000003</v>
      </c>
      <c r="B206" s="24">
        <v>1500</v>
      </c>
      <c r="C206" s="24">
        <v>48.89</v>
      </c>
      <c r="D206" s="24" t="s">
        <v>1550</v>
      </c>
      <c r="E206" s="24">
        <v>23.17</v>
      </c>
      <c r="F206" s="24" t="s">
        <v>1551</v>
      </c>
      <c r="G206" s="24">
        <v>120</v>
      </c>
      <c r="H206" s="24" t="s">
        <v>1525</v>
      </c>
      <c r="I206" s="24">
        <v>83.65</v>
      </c>
      <c r="J206" s="24" t="s">
        <v>1552</v>
      </c>
    </row>
    <row r="207" spans="1:10" x14ac:dyDescent="0.15">
      <c r="A207" s="28">
        <v>43210.729409722226</v>
      </c>
      <c r="B207" s="24">
        <v>1500</v>
      </c>
      <c r="C207" s="24">
        <v>47.17</v>
      </c>
      <c r="D207" s="24" t="s">
        <v>1553</v>
      </c>
      <c r="E207" s="24">
        <v>23.03</v>
      </c>
      <c r="F207" s="24" t="s">
        <v>1554</v>
      </c>
      <c r="G207" s="24">
        <v>116.8</v>
      </c>
      <c r="H207" s="24" t="s">
        <v>1475</v>
      </c>
      <c r="I207" s="24">
        <v>90.23</v>
      </c>
      <c r="J207" s="24" t="s">
        <v>1555</v>
      </c>
    </row>
    <row r="208" spans="1:10" x14ac:dyDescent="0.15">
      <c r="A208" s="28">
        <v>43210.729444444441</v>
      </c>
      <c r="B208" s="24">
        <v>1500</v>
      </c>
      <c r="C208" s="24">
        <v>48.32</v>
      </c>
      <c r="D208" s="24" t="s">
        <v>1420</v>
      </c>
      <c r="E208" s="24">
        <v>22.22</v>
      </c>
      <c r="F208" s="24" t="s">
        <v>1556</v>
      </c>
      <c r="G208" s="24">
        <v>117.6</v>
      </c>
      <c r="H208" s="24" t="s">
        <v>1557</v>
      </c>
      <c r="I208" s="24">
        <v>84.52</v>
      </c>
      <c r="J208" s="24" t="s">
        <v>1558</v>
      </c>
    </row>
    <row r="209" spans="1:10" x14ac:dyDescent="0.15">
      <c r="A209" s="28">
        <v>43210.729467592595</v>
      </c>
      <c r="B209" s="24">
        <v>1501</v>
      </c>
      <c r="C209" s="24">
        <v>47.07</v>
      </c>
      <c r="D209" s="24" t="s">
        <v>1344</v>
      </c>
      <c r="E209" s="24">
        <v>23.8</v>
      </c>
      <c r="F209" s="24" t="s">
        <v>1559</v>
      </c>
      <c r="G209" s="24">
        <v>115</v>
      </c>
      <c r="H209" s="24" t="s">
        <v>1497</v>
      </c>
      <c r="I209" s="24">
        <v>85.83</v>
      </c>
      <c r="J209" s="24" t="s">
        <v>1560</v>
      </c>
    </row>
    <row r="210" spans="1:10" x14ac:dyDescent="0.15">
      <c r="A210" s="28">
        <v>43210.729502314818</v>
      </c>
      <c r="B210" s="24">
        <v>1501</v>
      </c>
      <c r="C210" s="24">
        <v>48.39</v>
      </c>
      <c r="D210" s="24" t="s">
        <v>1510</v>
      </c>
      <c r="E210" s="24">
        <v>22.23</v>
      </c>
      <c r="F210" s="24" t="s">
        <v>1554</v>
      </c>
      <c r="G210" s="24">
        <v>121</v>
      </c>
      <c r="H210" s="24" t="s">
        <v>1561</v>
      </c>
      <c r="I210" s="24">
        <v>83.56</v>
      </c>
      <c r="J210" s="24" t="s">
        <v>1562</v>
      </c>
    </row>
    <row r="211" spans="1:10" x14ac:dyDescent="0.15">
      <c r="A211" s="28">
        <v>43210.729537037034</v>
      </c>
      <c r="B211" s="24">
        <v>1501</v>
      </c>
      <c r="C211" s="24">
        <v>48.2</v>
      </c>
      <c r="D211" s="24" t="s">
        <v>1563</v>
      </c>
      <c r="E211" s="24">
        <v>21.1</v>
      </c>
      <c r="F211" s="24" t="s">
        <v>1564</v>
      </c>
      <c r="G211" s="24">
        <v>120.4</v>
      </c>
      <c r="H211" s="24" t="s">
        <v>1535</v>
      </c>
      <c r="I211" s="24">
        <v>81.47</v>
      </c>
      <c r="J211" s="24" t="s">
        <v>1565</v>
      </c>
    </row>
    <row r="212" spans="1:10" x14ac:dyDescent="0.15">
      <c r="A212" s="28">
        <v>43210.729560185187</v>
      </c>
      <c r="B212" s="24">
        <v>1500</v>
      </c>
      <c r="C212" s="24">
        <v>49.4</v>
      </c>
      <c r="D212" s="24" t="s">
        <v>1566</v>
      </c>
      <c r="E212" s="24">
        <v>22.75</v>
      </c>
      <c r="F212" s="24" t="s">
        <v>1567</v>
      </c>
      <c r="G212" s="24">
        <v>114.6</v>
      </c>
      <c r="H212" s="24" t="s">
        <v>1508</v>
      </c>
      <c r="I212" s="24">
        <v>83.47</v>
      </c>
      <c r="J212" s="24" t="s">
        <v>1568</v>
      </c>
    </row>
    <row r="213" spans="1:10" x14ac:dyDescent="0.15">
      <c r="A213" s="28">
        <v>43210.729594907411</v>
      </c>
      <c r="B213" s="24">
        <v>1501</v>
      </c>
      <c r="C213" s="24">
        <v>45.61</v>
      </c>
      <c r="D213" s="24" t="s">
        <v>1506</v>
      </c>
      <c r="E213" s="24">
        <v>23.61</v>
      </c>
      <c r="F213" s="24" t="s">
        <v>1569</v>
      </c>
      <c r="G213" s="24">
        <v>116</v>
      </c>
      <c r="H213" s="24" t="s">
        <v>1570</v>
      </c>
      <c r="I213" s="24">
        <v>84.18</v>
      </c>
      <c r="J213" s="24" t="s">
        <v>1571</v>
      </c>
    </row>
    <row r="214" spans="1:10" x14ac:dyDescent="0.15">
      <c r="A214" s="28">
        <v>43210.729629629626</v>
      </c>
      <c r="B214" s="24">
        <v>1501</v>
      </c>
      <c r="C214" s="24">
        <v>47.07</v>
      </c>
      <c r="D214" s="24" t="s">
        <v>1572</v>
      </c>
      <c r="E214" s="24">
        <v>23.03</v>
      </c>
      <c r="F214" s="24" t="s">
        <v>1573</v>
      </c>
      <c r="G214" s="24">
        <v>116</v>
      </c>
      <c r="H214" s="24" t="s">
        <v>1548</v>
      </c>
      <c r="I214" s="24">
        <v>84.26</v>
      </c>
      <c r="J214" s="24" t="s">
        <v>1574</v>
      </c>
    </row>
    <row r="215" spans="1:10" x14ac:dyDescent="0.15">
      <c r="A215" s="28">
        <v>43210.72965277778</v>
      </c>
      <c r="B215" s="24">
        <v>1500</v>
      </c>
      <c r="C215" s="24">
        <v>47.73</v>
      </c>
      <c r="D215" s="24" t="s">
        <v>1575</v>
      </c>
      <c r="E215" s="24">
        <v>23.36</v>
      </c>
      <c r="F215" s="24" t="s">
        <v>1576</v>
      </c>
      <c r="G215" s="24">
        <v>116</v>
      </c>
      <c r="H215" s="24" t="s">
        <v>1535</v>
      </c>
      <c r="I215" s="24">
        <v>85.17</v>
      </c>
      <c r="J215" s="24" t="s">
        <v>1577</v>
      </c>
    </row>
    <row r="216" spans="1:10" x14ac:dyDescent="0.15">
      <c r="A216" s="28">
        <v>43210.729687500003</v>
      </c>
      <c r="B216" s="24">
        <v>1500</v>
      </c>
      <c r="C216" s="24">
        <v>48.25</v>
      </c>
      <c r="D216" s="24" t="s">
        <v>1578</v>
      </c>
      <c r="E216" s="24">
        <v>24.72</v>
      </c>
      <c r="F216" s="24" t="s">
        <v>1541</v>
      </c>
      <c r="G216" s="24">
        <v>114.4</v>
      </c>
      <c r="H216" s="24" t="s">
        <v>1521</v>
      </c>
      <c r="I216" s="24">
        <v>84.01</v>
      </c>
      <c r="J216" s="24" t="s">
        <v>1579</v>
      </c>
    </row>
    <row r="217" spans="1:10" x14ac:dyDescent="0.15">
      <c r="A217" s="28">
        <v>43210.729722222219</v>
      </c>
      <c r="B217" s="24">
        <v>1500</v>
      </c>
      <c r="C217" s="24">
        <v>47.4</v>
      </c>
      <c r="D217" s="24" t="s">
        <v>1580</v>
      </c>
      <c r="E217" s="24">
        <v>22.41</v>
      </c>
      <c r="F217" s="24" t="s">
        <v>1581</v>
      </c>
      <c r="G217" s="24">
        <v>117.5</v>
      </c>
      <c r="H217" s="24" t="s">
        <v>1582</v>
      </c>
      <c r="I217" s="24">
        <v>83.06</v>
      </c>
      <c r="J217" s="24" t="s">
        <v>1583</v>
      </c>
    </row>
    <row r="218" spans="1:10" x14ac:dyDescent="0.15">
      <c r="A218" s="28">
        <v>43210.729745370372</v>
      </c>
      <c r="B218" s="24">
        <v>1500</v>
      </c>
      <c r="C218" s="24">
        <v>46.74</v>
      </c>
      <c r="D218" s="24" t="s">
        <v>1446</v>
      </c>
      <c r="E218" s="24">
        <v>23.55</v>
      </c>
      <c r="F218" s="24" t="s">
        <v>1460</v>
      </c>
      <c r="G218" s="24">
        <v>112.1</v>
      </c>
      <c r="H218" s="24" t="s">
        <v>1584</v>
      </c>
      <c r="I218" s="24">
        <v>83.27</v>
      </c>
      <c r="J218" s="24" t="s">
        <v>1585</v>
      </c>
    </row>
    <row r="219" spans="1:10" x14ac:dyDescent="0.15">
      <c r="A219" s="28">
        <v>43210.729780092595</v>
      </c>
      <c r="B219" s="24">
        <v>1500</v>
      </c>
      <c r="C219" s="24">
        <v>48.35</v>
      </c>
      <c r="D219" s="24" t="s">
        <v>1586</v>
      </c>
      <c r="E219" s="24">
        <v>23.07</v>
      </c>
      <c r="F219" s="24" t="s">
        <v>1587</v>
      </c>
      <c r="G219" s="24">
        <v>114.6</v>
      </c>
      <c r="H219" s="24" t="s">
        <v>1588</v>
      </c>
      <c r="I219" s="24">
        <v>81.739999999999995</v>
      </c>
      <c r="J219" s="24" t="s">
        <v>1589</v>
      </c>
    </row>
    <row r="220" spans="1:10" x14ac:dyDescent="0.15">
      <c r="A220" s="28">
        <v>43210.729814814818</v>
      </c>
      <c r="B220" s="24">
        <v>1500</v>
      </c>
      <c r="C220" s="24">
        <v>50.03</v>
      </c>
      <c r="D220" s="24" t="s">
        <v>1590</v>
      </c>
      <c r="E220" s="24">
        <v>22.3</v>
      </c>
      <c r="F220" s="24" t="s">
        <v>1591</v>
      </c>
      <c r="G220" s="24">
        <v>116</v>
      </c>
      <c r="H220" s="24" t="s">
        <v>1557</v>
      </c>
      <c r="I220" s="24">
        <v>81.99</v>
      </c>
      <c r="J220" s="24" t="s">
        <v>1592</v>
      </c>
    </row>
    <row r="221" spans="1:10" x14ac:dyDescent="0.15">
      <c r="A221" s="28">
        <v>43210.729849537034</v>
      </c>
      <c r="B221" s="24">
        <v>1500</v>
      </c>
      <c r="C221" s="24">
        <v>47.4</v>
      </c>
      <c r="D221" s="24" t="s">
        <v>1510</v>
      </c>
      <c r="E221" s="24">
        <v>22.47</v>
      </c>
      <c r="F221" s="24" t="s">
        <v>1593</v>
      </c>
      <c r="G221" s="24">
        <v>117.8</v>
      </c>
      <c r="H221" s="24" t="s">
        <v>1594</v>
      </c>
      <c r="I221" s="24">
        <v>80.23</v>
      </c>
      <c r="J221" s="24" t="s">
        <v>1595</v>
      </c>
    </row>
    <row r="222" spans="1:10" x14ac:dyDescent="0.15">
      <c r="A222" s="28">
        <v>43210.729872685188</v>
      </c>
      <c r="B222" s="24">
        <v>1500</v>
      </c>
      <c r="C222" s="24">
        <v>48.02</v>
      </c>
      <c r="D222" s="24" t="s">
        <v>1596</v>
      </c>
      <c r="E222" s="24">
        <v>22.38</v>
      </c>
      <c r="F222" s="24" t="s">
        <v>1597</v>
      </c>
      <c r="G222" s="24">
        <v>116.1</v>
      </c>
      <c r="H222" s="24" t="s">
        <v>1598</v>
      </c>
      <c r="I222" s="24">
        <v>82.8</v>
      </c>
      <c r="J222" s="24" t="s">
        <v>1599</v>
      </c>
    </row>
    <row r="223" spans="1:10" x14ac:dyDescent="0.15">
      <c r="A223" s="28">
        <v>43210.729907407411</v>
      </c>
      <c r="B223" s="24">
        <v>1499</v>
      </c>
      <c r="C223" s="24">
        <v>45.98</v>
      </c>
      <c r="D223" s="24" t="s">
        <v>1600</v>
      </c>
      <c r="E223" s="24">
        <v>23.03</v>
      </c>
      <c r="F223" s="24" t="s">
        <v>1601</v>
      </c>
      <c r="G223" s="24">
        <v>117.3</v>
      </c>
      <c r="H223" s="24" t="s">
        <v>1557</v>
      </c>
      <c r="I223" s="24">
        <v>89.91</v>
      </c>
      <c r="J223" s="24" t="s">
        <v>1602</v>
      </c>
    </row>
    <row r="224" spans="1:10" x14ac:dyDescent="0.15">
      <c r="A224" s="28">
        <v>43210.729942129627</v>
      </c>
      <c r="B224" s="24">
        <v>1499</v>
      </c>
      <c r="C224" s="24">
        <v>46.64</v>
      </c>
      <c r="D224" s="24" t="s">
        <v>1603</v>
      </c>
      <c r="E224" s="24">
        <v>22.9</v>
      </c>
      <c r="F224" s="24" t="s">
        <v>1604</v>
      </c>
      <c r="G224" s="24">
        <v>120.2</v>
      </c>
      <c r="H224" s="24" t="s">
        <v>1605</v>
      </c>
      <c r="I224" s="24">
        <v>89.85</v>
      </c>
      <c r="J224" s="24" t="s">
        <v>1606</v>
      </c>
    </row>
    <row r="225" spans="1:10" x14ac:dyDescent="0.15">
      <c r="A225" s="28">
        <v>43210.72996527778</v>
      </c>
      <c r="B225" s="24">
        <v>1499</v>
      </c>
      <c r="C225" s="24">
        <v>46.44</v>
      </c>
      <c r="D225" s="24" t="s">
        <v>1607</v>
      </c>
      <c r="E225" s="24">
        <v>22.68</v>
      </c>
      <c r="F225" s="24" t="s">
        <v>1608</v>
      </c>
      <c r="G225" s="24">
        <v>118.8</v>
      </c>
      <c r="H225" s="24" t="s">
        <v>1609</v>
      </c>
      <c r="I225" s="24">
        <v>86.59</v>
      </c>
      <c r="J225" s="24" t="s">
        <v>1610</v>
      </c>
    </row>
    <row r="226" spans="1:10" x14ac:dyDescent="0.15">
      <c r="A226" s="28">
        <v>43210.73</v>
      </c>
      <c r="B226" s="24">
        <v>1499</v>
      </c>
      <c r="C226" s="24">
        <v>48.59</v>
      </c>
      <c r="D226" s="24" t="s">
        <v>1395</v>
      </c>
      <c r="E226" s="24">
        <v>23.32</v>
      </c>
      <c r="F226" s="24" t="s">
        <v>1611</v>
      </c>
      <c r="G226" s="24">
        <v>116.9</v>
      </c>
      <c r="H226" s="24" t="s">
        <v>1609</v>
      </c>
      <c r="I226" s="24">
        <v>79.11</v>
      </c>
      <c r="J226" s="24" t="s">
        <v>1612</v>
      </c>
    </row>
    <row r="227" spans="1:10" x14ac:dyDescent="0.15">
      <c r="A227" s="28">
        <v>43210.730034722219</v>
      </c>
      <c r="B227" s="24">
        <v>1499</v>
      </c>
      <c r="C227" s="24">
        <v>48.34</v>
      </c>
      <c r="D227" s="24" t="s">
        <v>1613</v>
      </c>
      <c r="E227" s="24">
        <v>22.4</v>
      </c>
      <c r="F227" s="24" t="s">
        <v>1614</v>
      </c>
      <c r="G227" s="24">
        <v>116.9</v>
      </c>
      <c r="H227" s="24" t="s">
        <v>1615</v>
      </c>
      <c r="I227" s="24">
        <v>83.41</v>
      </c>
      <c r="J227" s="24" t="s">
        <v>1616</v>
      </c>
    </row>
    <row r="228" spans="1:10" x14ac:dyDescent="0.15">
      <c r="A228" s="28">
        <v>43210.730057870373</v>
      </c>
      <c r="B228" s="24">
        <v>1499</v>
      </c>
      <c r="C228" s="24">
        <v>47.09</v>
      </c>
      <c r="D228" s="24" t="s">
        <v>1175</v>
      </c>
      <c r="E228" s="24">
        <v>22.59</v>
      </c>
      <c r="F228" s="24" t="s">
        <v>1617</v>
      </c>
      <c r="G228" s="24">
        <v>114.5</v>
      </c>
      <c r="H228" s="24" t="s">
        <v>1618</v>
      </c>
      <c r="I228" s="24">
        <v>82</v>
      </c>
      <c r="J228" s="24" t="s">
        <v>1619</v>
      </c>
    </row>
    <row r="229" spans="1:10" x14ac:dyDescent="0.15">
      <c r="A229" s="28">
        <v>43210.730092592596</v>
      </c>
      <c r="B229" s="24">
        <v>1499</v>
      </c>
      <c r="C229" s="24">
        <v>46.58</v>
      </c>
      <c r="D229" s="24" t="s">
        <v>1620</v>
      </c>
      <c r="E229" s="24">
        <v>23.12</v>
      </c>
      <c r="F229" s="24" t="s">
        <v>1621</v>
      </c>
      <c r="G229" s="24">
        <v>119.2</v>
      </c>
      <c r="H229" s="24" t="s">
        <v>1622</v>
      </c>
      <c r="I229" s="24">
        <v>79.92</v>
      </c>
      <c r="J229" s="24" t="s">
        <v>1623</v>
      </c>
    </row>
    <row r="230" spans="1:10" x14ac:dyDescent="0.15">
      <c r="A230" s="28">
        <v>43210.730127314811</v>
      </c>
      <c r="B230" s="24">
        <v>1499</v>
      </c>
      <c r="C230" s="24">
        <v>48.77</v>
      </c>
      <c r="D230" s="24" t="s">
        <v>1624</v>
      </c>
      <c r="E230" s="24">
        <v>23.25</v>
      </c>
      <c r="F230" s="24" t="s">
        <v>1625</v>
      </c>
      <c r="G230" s="24">
        <v>116.2</v>
      </c>
      <c r="H230" s="24" t="s">
        <v>1626</v>
      </c>
      <c r="I230" s="24">
        <v>83.53</v>
      </c>
      <c r="J230" s="24" t="s">
        <v>1627</v>
      </c>
    </row>
    <row r="231" spans="1:10" x14ac:dyDescent="0.15">
      <c r="A231" s="28">
        <v>43210.730150462965</v>
      </c>
      <c r="B231" s="24">
        <v>1499</v>
      </c>
      <c r="C231" s="24">
        <v>47.65</v>
      </c>
      <c r="D231" s="24" t="s">
        <v>1628</v>
      </c>
      <c r="E231" s="24">
        <v>21.56</v>
      </c>
      <c r="F231" s="24" t="s">
        <v>1629</v>
      </c>
      <c r="G231" s="24">
        <v>120</v>
      </c>
      <c r="H231" s="24" t="s">
        <v>1588</v>
      </c>
      <c r="I231" s="24">
        <v>81.97</v>
      </c>
      <c r="J231" s="24" t="s">
        <v>1630</v>
      </c>
    </row>
    <row r="232" spans="1:10" x14ac:dyDescent="0.15">
      <c r="A232" s="28">
        <v>43210.730185185188</v>
      </c>
      <c r="B232" s="24">
        <v>1499</v>
      </c>
      <c r="C232" s="24">
        <v>46.61</v>
      </c>
      <c r="D232" s="24" t="s">
        <v>1631</v>
      </c>
      <c r="E232" s="24">
        <v>23.77</v>
      </c>
      <c r="F232" s="24" t="s">
        <v>1587</v>
      </c>
      <c r="G232" s="24">
        <v>118.8</v>
      </c>
      <c r="H232" s="24" t="s">
        <v>1584</v>
      </c>
      <c r="I232" s="24">
        <v>85.79</v>
      </c>
      <c r="J232" s="24" t="s">
        <v>1632</v>
      </c>
    </row>
    <row r="233" spans="1:10" x14ac:dyDescent="0.15">
      <c r="A233" s="28">
        <v>43210.730219907404</v>
      </c>
      <c r="B233" s="24">
        <v>1499</v>
      </c>
      <c r="C233" s="24">
        <v>46.32</v>
      </c>
      <c r="D233" s="24" t="s">
        <v>1543</v>
      </c>
      <c r="E233" s="24">
        <v>22.94</v>
      </c>
      <c r="F233" s="24" t="s">
        <v>1633</v>
      </c>
      <c r="G233" s="24">
        <v>114.4</v>
      </c>
      <c r="H233" s="24" t="s">
        <v>1634</v>
      </c>
      <c r="I233" s="24">
        <v>84.65</v>
      </c>
      <c r="J233" s="24" t="s">
        <v>1635</v>
      </c>
    </row>
    <row r="234" spans="1:10" x14ac:dyDescent="0.15">
      <c r="A234" s="28">
        <v>43210.730243055557</v>
      </c>
      <c r="B234" s="24">
        <v>1499</v>
      </c>
      <c r="C234" s="24">
        <v>46.18</v>
      </c>
      <c r="D234" s="24" t="s">
        <v>1636</v>
      </c>
      <c r="E234" s="24">
        <v>23.06</v>
      </c>
      <c r="F234" s="24" t="s">
        <v>1637</v>
      </c>
      <c r="G234" s="24">
        <v>112.7</v>
      </c>
      <c r="H234" s="24" t="s">
        <v>1588</v>
      </c>
      <c r="I234" s="24">
        <v>83.45</v>
      </c>
      <c r="J234" s="24" t="s">
        <v>1638</v>
      </c>
    </row>
    <row r="235" spans="1:10" x14ac:dyDescent="0.15">
      <c r="A235" s="28">
        <v>43210.731030092589</v>
      </c>
      <c r="B235" s="24">
        <v>1499</v>
      </c>
      <c r="C235" s="24">
        <v>48.42</v>
      </c>
      <c r="D235" s="24" t="s">
        <v>1639</v>
      </c>
      <c r="E235" s="24">
        <v>23.24</v>
      </c>
      <c r="F235" s="24" t="s">
        <v>1640</v>
      </c>
      <c r="G235" s="24">
        <v>120</v>
      </c>
      <c r="H235" s="24" t="s">
        <v>1641</v>
      </c>
      <c r="I235" s="24">
        <v>81.900000000000006</v>
      </c>
      <c r="J235" s="24" t="s">
        <v>1642</v>
      </c>
    </row>
    <row r="236" spans="1:10" x14ac:dyDescent="0.15">
      <c r="A236" s="28">
        <v>43210.731053240743</v>
      </c>
      <c r="B236" s="24">
        <v>1499</v>
      </c>
      <c r="C236" s="24">
        <v>47.6</v>
      </c>
      <c r="D236" s="24" t="s">
        <v>1643</v>
      </c>
      <c r="E236" s="24">
        <v>22.79</v>
      </c>
      <c r="F236" s="24" t="s">
        <v>1644</v>
      </c>
      <c r="G236" s="24">
        <v>117</v>
      </c>
      <c r="H236" s="24" t="s">
        <v>1645</v>
      </c>
      <c r="I236" s="24">
        <v>83.46</v>
      </c>
      <c r="J236" s="24" t="s">
        <v>1646</v>
      </c>
    </row>
    <row r="237" spans="1:10" x14ac:dyDescent="0.15">
      <c r="A237" s="28">
        <v>43210.731087962966</v>
      </c>
      <c r="B237" s="24">
        <v>1499</v>
      </c>
      <c r="C237" s="24">
        <v>48.26</v>
      </c>
      <c r="D237" s="24" t="s">
        <v>1647</v>
      </c>
      <c r="E237" s="24">
        <v>22.59</v>
      </c>
      <c r="F237" s="24" t="s">
        <v>1648</v>
      </c>
      <c r="G237" s="24">
        <v>116.3</v>
      </c>
      <c r="H237" s="24" t="s">
        <v>1588</v>
      </c>
      <c r="I237" s="24">
        <v>84.73</v>
      </c>
      <c r="J237" s="24" t="s">
        <v>1649</v>
      </c>
    </row>
    <row r="238" spans="1:10" x14ac:dyDescent="0.15">
      <c r="A238" s="28">
        <v>43210.731122685182</v>
      </c>
      <c r="B238" s="24">
        <v>1500</v>
      </c>
      <c r="C238" s="24">
        <v>47.62</v>
      </c>
      <c r="D238" s="24" t="s">
        <v>1650</v>
      </c>
      <c r="E238" s="24">
        <v>23</v>
      </c>
      <c r="F238" s="24" t="s">
        <v>1640</v>
      </c>
      <c r="G238" s="24">
        <v>114.4</v>
      </c>
      <c r="H238" s="24" t="s">
        <v>1588</v>
      </c>
      <c r="I238" s="24">
        <v>86.46</v>
      </c>
      <c r="J238" s="24" t="s">
        <v>1651</v>
      </c>
    </row>
    <row r="239" spans="1:10" x14ac:dyDescent="0.15">
      <c r="A239" s="28">
        <v>43210.731145833335</v>
      </c>
      <c r="B239" s="24">
        <v>1500</v>
      </c>
      <c r="C239" s="24">
        <v>47.51</v>
      </c>
      <c r="D239" s="24" t="s">
        <v>1652</v>
      </c>
      <c r="E239" s="24">
        <v>23.83</v>
      </c>
      <c r="F239" s="24" t="s">
        <v>1653</v>
      </c>
      <c r="G239" s="24">
        <v>113.8</v>
      </c>
      <c r="H239" s="24" t="s">
        <v>1654</v>
      </c>
      <c r="I239" s="24">
        <v>85.19</v>
      </c>
      <c r="J239" s="24" t="s">
        <v>1655</v>
      </c>
    </row>
    <row r="240" spans="1:10" x14ac:dyDescent="0.15">
      <c r="A240" s="28">
        <v>43210.731180555558</v>
      </c>
      <c r="B240" s="24">
        <v>1500</v>
      </c>
      <c r="C240" s="24">
        <v>46.35</v>
      </c>
      <c r="D240" s="24" t="s">
        <v>1656</v>
      </c>
      <c r="E240" s="24">
        <v>24.53</v>
      </c>
      <c r="F240" s="24" t="s">
        <v>1657</v>
      </c>
      <c r="G240" s="24">
        <v>115.4</v>
      </c>
      <c r="H240" s="24" t="s">
        <v>1645</v>
      </c>
      <c r="I240" s="24">
        <v>81.66</v>
      </c>
      <c r="J240" s="24" t="s">
        <v>1658</v>
      </c>
    </row>
    <row r="241" spans="1:10" x14ac:dyDescent="0.15">
      <c r="A241" s="28">
        <v>43210.731215277781</v>
      </c>
      <c r="B241" s="24">
        <v>1500</v>
      </c>
      <c r="C241" s="24">
        <v>47.04</v>
      </c>
      <c r="D241" s="24" t="s">
        <v>1659</v>
      </c>
      <c r="E241" s="24">
        <v>23.59</v>
      </c>
      <c r="F241" s="24" t="s">
        <v>1660</v>
      </c>
      <c r="G241" s="24">
        <v>117.4</v>
      </c>
      <c r="H241" s="24" t="s">
        <v>1661</v>
      </c>
      <c r="I241" s="24">
        <v>83.62</v>
      </c>
      <c r="J241" s="24" t="s">
        <v>1662</v>
      </c>
    </row>
    <row r="242" spans="1:10" x14ac:dyDescent="0.15">
      <c r="A242" s="28">
        <v>43210.731249999997</v>
      </c>
      <c r="B242" s="24">
        <v>1500</v>
      </c>
      <c r="C242" s="24">
        <v>46.42</v>
      </c>
      <c r="D242" s="24" t="s">
        <v>1187</v>
      </c>
      <c r="E242" s="24">
        <v>22.39</v>
      </c>
      <c r="F242" s="24" t="s">
        <v>1581</v>
      </c>
      <c r="G242" s="24">
        <v>117.9</v>
      </c>
      <c r="H242" s="24" t="s">
        <v>1654</v>
      </c>
      <c r="I242" s="24">
        <v>83.26</v>
      </c>
      <c r="J242" s="24" t="s">
        <v>1663</v>
      </c>
    </row>
    <row r="243" spans="1:10" x14ac:dyDescent="0.15">
      <c r="A243" s="28">
        <v>43210.731273148151</v>
      </c>
      <c r="B243" s="24">
        <v>1500</v>
      </c>
      <c r="C243" s="24">
        <v>47.04</v>
      </c>
      <c r="D243" s="24" t="s">
        <v>1382</v>
      </c>
      <c r="E243" s="24">
        <v>23.38</v>
      </c>
      <c r="F243" s="24" t="s">
        <v>1664</v>
      </c>
      <c r="G243" s="24">
        <v>117.4</v>
      </c>
      <c r="H243" s="24" t="s">
        <v>1557</v>
      </c>
      <c r="I243" s="24">
        <v>83.85</v>
      </c>
      <c r="J243" s="24" t="s">
        <v>1665</v>
      </c>
    </row>
    <row r="244" spans="1:10" x14ac:dyDescent="0.15">
      <c r="A244" s="28">
        <v>43210.731307870374</v>
      </c>
      <c r="B244" s="24">
        <v>1500</v>
      </c>
      <c r="C244" s="24">
        <v>46.39</v>
      </c>
      <c r="D244" s="24" t="s">
        <v>1666</v>
      </c>
      <c r="E244" s="24">
        <v>23.7</v>
      </c>
      <c r="F244" s="24" t="s">
        <v>1667</v>
      </c>
      <c r="G244" s="24">
        <v>115.2</v>
      </c>
      <c r="H244" s="24" t="s">
        <v>1535</v>
      </c>
      <c r="I244" s="24">
        <v>84.39</v>
      </c>
      <c r="J244" s="24" t="s">
        <v>1668</v>
      </c>
    </row>
    <row r="245" spans="1:10" x14ac:dyDescent="0.15">
      <c r="A245" s="28">
        <v>43210.731342592589</v>
      </c>
      <c r="B245" s="24">
        <v>1500</v>
      </c>
      <c r="C245" s="24">
        <v>48.75</v>
      </c>
      <c r="D245" s="24" t="s">
        <v>1669</v>
      </c>
      <c r="E245" s="24">
        <v>23.82</v>
      </c>
      <c r="F245" s="24" t="s">
        <v>1670</v>
      </c>
      <c r="G245" s="24">
        <v>114.7</v>
      </c>
      <c r="H245" s="24" t="s">
        <v>1671</v>
      </c>
      <c r="I245" s="24">
        <v>84.17</v>
      </c>
      <c r="J245" s="24" t="s">
        <v>1672</v>
      </c>
    </row>
    <row r="246" spans="1:10" x14ac:dyDescent="0.15">
      <c r="A246" s="28">
        <v>43210.731365740743</v>
      </c>
      <c r="B246" s="24">
        <v>1500</v>
      </c>
      <c r="C246" s="24">
        <v>45.86</v>
      </c>
      <c r="D246" s="24" t="s">
        <v>1673</v>
      </c>
      <c r="E246" s="24">
        <v>24.35</v>
      </c>
      <c r="F246" s="24" t="s">
        <v>1674</v>
      </c>
      <c r="G246" s="24">
        <v>114</v>
      </c>
      <c r="H246" s="24" t="s">
        <v>1605</v>
      </c>
      <c r="I246" s="24">
        <v>82.95</v>
      </c>
      <c r="J246" s="24" t="s">
        <v>1675</v>
      </c>
    </row>
    <row r="247" spans="1:10" x14ac:dyDescent="0.15">
      <c r="A247" s="28">
        <v>43210.731400462966</v>
      </c>
      <c r="B247" s="24">
        <v>1500</v>
      </c>
      <c r="C247" s="24">
        <v>47.37</v>
      </c>
      <c r="D247" s="24" t="s">
        <v>1676</v>
      </c>
      <c r="E247" s="24">
        <v>23.68</v>
      </c>
      <c r="F247" s="24" t="s">
        <v>1677</v>
      </c>
      <c r="G247" s="24">
        <v>112.4</v>
      </c>
      <c r="H247" s="24" t="s">
        <v>1678</v>
      </c>
      <c r="I247" s="24">
        <v>79.239999999999995</v>
      </c>
      <c r="J247" s="24" t="s">
        <v>1679</v>
      </c>
    </row>
    <row r="248" spans="1:10" x14ac:dyDescent="0.15">
      <c r="A248" s="28">
        <v>43210.731435185182</v>
      </c>
      <c r="B248" s="24">
        <v>1500</v>
      </c>
      <c r="C248" s="24">
        <v>47.06</v>
      </c>
      <c r="D248" s="24" t="s">
        <v>1680</v>
      </c>
      <c r="E248" s="24">
        <v>23.59</v>
      </c>
      <c r="F248" s="24" t="s">
        <v>1681</v>
      </c>
      <c r="G248" s="24">
        <v>120.4</v>
      </c>
      <c r="H248" s="24" t="s">
        <v>1641</v>
      </c>
      <c r="I248" s="24">
        <v>85.34</v>
      </c>
      <c r="J248" s="24" t="s">
        <v>1682</v>
      </c>
    </row>
    <row r="249" spans="1:10" x14ac:dyDescent="0.15">
      <c r="A249" s="28">
        <v>43210.731458333335</v>
      </c>
      <c r="B249" s="24">
        <v>1500</v>
      </c>
      <c r="C249" s="24">
        <v>46.82</v>
      </c>
      <c r="D249" s="24" t="s">
        <v>1495</v>
      </c>
      <c r="E249" s="24">
        <v>23</v>
      </c>
      <c r="F249" s="24" t="s">
        <v>1504</v>
      </c>
      <c r="G249" s="24">
        <v>115.2</v>
      </c>
      <c r="H249" s="24" t="s">
        <v>1683</v>
      </c>
      <c r="I249" s="24">
        <v>83.94</v>
      </c>
      <c r="J249" s="24" t="s">
        <v>1684</v>
      </c>
    </row>
    <row r="250" spans="1:10" x14ac:dyDescent="0.15">
      <c r="A250" s="28">
        <v>43210.731493055559</v>
      </c>
      <c r="B250" s="24">
        <v>1500</v>
      </c>
      <c r="C250" s="24">
        <v>47.93</v>
      </c>
      <c r="D250" s="24" t="s">
        <v>1643</v>
      </c>
      <c r="E250" s="24">
        <v>25.42</v>
      </c>
      <c r="F250" s="24" t="s">
        <v>1685</v>
      </c>
      <c r="G250" s="24">
        <v>113.5</v>
      </c>
      <c r="H250" s="24" t="s">
        <v>1584</v>
      </c>
      <c r="I250" s="24">
        <v>81.540000000000006</v>
      </c>
      <c r="J250" s="24" t="s">
        <v>1686</v>
      </c>
    </row>
    <row r="251" spans="1:10" x14ac:dyDescent="0.15">
      <c r="A251" s="28">
        <v>43210.731527777774</v>
      </c>
      <c r="B251" s="24">
        <v>1500</v>
      </c>
      <c r="C251" s="24">
        <v>47.81</v>
      </c>
      <c r="D251" s="24" t="s">
        <v>1687</v>
      </c>
      <c r="E251" s="24">
        <v>22.87</v>
      </c>
      <c r="F251" s="24" t="s">
        <v>1688</v>
      </c>
      <c r="G251" s="24">
        <v>117.5</v>
      </c>
      <c r="H251" s="24" t="s">
        <v>1689</v>
      </c>
      <c r="I251" s="24">
        <v>81.45</v>
      </c>
      <c r="J251" s="24" t="s">
        <v>1690</v>
      </c>
    </row>
    <row r="252" spans="1:10" x14ac:dyDescent="0.15">
      <c r="A252" s="28">
        <v>43210.731550925928</v>
      </c>
      <c r="B252" s="24">
        <v>1500</v>
      </c>
      <c r="C252" s="24">
        <v>47.28</v>
      </c>
      <c r="D252" s="24" t="s">
        <v>1691</v>
      </c>
      <c r="E252" s="24">
        <v>23.37</v>
      </c>
      <c r="F252" s="24" t="s">
        <v>1692</v>
      </c>
      <c r="G252" s="24">
        <v>112.6</v>
      </c>
      <c r="H252" s="24" t="s">
        <v>1693</v>
      </c>
      <c r="I252" s="24">
        <v>85.9</v>
      </c>
      <c r="J252" s="24" t="s">
        <v>1694</v>
      </c>
    </row>
    <row r="253" spans="1:10" x14ac:dyDescent="0.15">
      <c r="A253" s="28">
        <v>43210.731585648151</v>
      </c>
      <c r="B253" s="24">
        <v>1499</v>
      </c>
      <c r="C253" s="24">
        <v>48.01</v>
      </c>
      <c r="D253" s="24" t="s">
        <v>1695</v>
      </c>
      <c r="E253" s="24">
        <v>22.78</v>
      </c>
      <c r="F253" s="24" t="s">
        <v>1696</v>
      </c>
      <c r="G253" s="24">
        <v>119.4</v>
      </c>
      <c r="H253" s="24" t="s">
        <v>1626</v>
      </c>
      <c r="I253" s="24">
        <v>83.56</v>
      </c>
      <c r="J253" s="24" t="s">
        <v>1697</v>
      </c>
    </row>
    <row r="254" spans="1:10" x14ac:dyDescent="0.15">
      <c r="A254" s="28">
        <v>43210.731620370374</v>
      </c>
      <c r="B254" s="24">
        <v>1499</v>
      </c>
      <c r="C254" s="24">
        <v>48.05</v>
      </c>
      <c r="D254" s="24" t="s">
        <v>1698</v>
      </c>
      <c r="E254" s="24">
        <v>23.92</v>
      </c>
      <c r="F254" s="24" t="s">
        <v>1389</v>
      </c>
      <c r="G254" s="24">
        <v>115.9</v>
      </c>
      <c r="H254" s="24" t="s">
        <v>1699</v>
      </c>
      <c r="I254" s="24">
        <v>81.790000000000006</v>
      </c>
      <c r="J254" s="24" t="s">
        <v>1700</v>
      </c>
    </row>
    <row r="255" spans="1:10" x14ac:dyDescent="0.15">
      <c r="A255" s="28">
        <v>43210.73165509259</v>
      </c>
      <c r="B255" s="24">
        <v>1499</v>
      </c>
      <c r="C255" s="24">
        <v>46.53</v>
      </c>
      <c r="D255" s="24" t="s">
        <v>1701</v>
      </c>
      <c r="E255" s="24">
        <v>23.88</v>
      </c>
      <c r="F255" s="24" t="s">
        <v>1702</v>
      </c>
      <c r="G255" s="24">
        <v>113.4</v>
      </c>
      <c r="H255" s="24" t="s">
        <v>1703</v>
      </c>
      <c r="I255" s="24">
        <v>81.680000000000007</v>
      </c>
      <c r="J255" s="24" t="s">
        <v>1704</v>
      </c>
    </row>
    <row r="256" spans="1:10" x14ac:dyDescent="0.15">
      <c r="A256" s="28">
        <v>43210.731678240743</v>
      </c>
      <c r="B256" s="24">
        <v>1499</v>
      </c>
      <c r="C256" s="24">
        <v>46.13</v>
      </c>
      <c r="D256" s="24" t="s">
        <v>1705</v>
      </c>
      <c r="E256" s="24">
        <v>23.7</v>
      </c>
      <c r="F256" s="24" t="s">
        <v>1688</v>
      </c>
      <c r="G256" s="24">
        <v>114.5</v>
      </c>
      <c r="H256" s="24" t="s">
        <v>1618</v>
      </c>
      <c r="I256" s="24">
        <v>81.92</v>
      </c>
      <c r="J256" s="24" t="s">
        <v>1706</v>
      </c>
    </row>
    <row r="257" spans="1:10" x14ac:dyDescent="0.15">
      <c r="A257" s="28">
        <v>43210.731712962966</v>
      </c>
      <c r="B257" s="24">
        <v>1499</v>
      </c>
      <c r="C257" s="24">
        <v>47.94</v>
      </c>
      <c r="D257" s="24" t="s">
        <v>1652</v>
      </c>
      <c r="E257" s="24">
        <v>23.56</v>
      </c>
      <c r="F257" s="24" t="s">
        <v>1707</v>
      </c>
      <c r="G257" s="24">
        <v>112.9</v>
      </c>
      <c r="H257" s="24" t="s">
        <v>1645</v>
      </c>
      <c r="I257" s="24">
        <v>85.61</v>
      </c>
      <c r="J257" s="24" t="s">
        <v>1708</v>
      </c>
    </row>
    <row r="258" spans="1:10" x14ac:dyDescent="0.15">
      <c r="A258" s="28">
        <v>43210.731747685182</v>
      </c>
      <c r="B258" s="24">
        <v>1499</v>
      </c>
      <c r="C258" s="24">
        <v>46.89</v>
      </c>
      <c r="D258" s="24" t="s">
        <v>1226</v>
      </c>
      <c r="E258" s="24">
        <v>25.86</v>
      </c>
      <c r="F258" s="24" t="s">
        <v>1709</v>
      </c>
      <c r="G258" s="24">
        <v>118.2</v>
      </c>
      <c r="H258" s="24" t="s">
        <v>1641</v>
      </c>
      <c r="I258" s="24">
        <v>81.99</v>
      </c>
      <c r="J258" s="24" t="s">
        <v>1710</v>
      </c>
    </row>
    <row r="259" spans="1:10" x14ac:dyDescent="0.15">
      <c r="A259" s="28">
        <v>43210.731770833336</v>
      </c>
      <c r="B259" s="24">
        <v>1499</v>
      </c>
      <c r="C259" s="24">
        <v>48.47</v>
      </c>
      <c r="D259" s="24" t="s">
        <v>1711</v>
      </c>
      <c r="E259" s="24">
        <v>23.48</v>
      </c>
      <c r="F259" s="24" t="s">
        <v>1712</v>
      </c>
      <c r="G259" s="24">
        <v>116.7</v>
      </c>
      <c r="H259" s="24" t="s">
        <v>1605</v>
      </c>
      <c r="I259" s="24">
        <v>82.03</v>
      </c>
      <c r="J259" s="24" t="s">
        <v>1713</v>
      </c>
    </row>
    <row r="260" spans="1:10" x14ac:dyDescent="0.15">
      <c r="A260" s="28">
        <v>43210.731805555559</v>
      </c>
      <c r="B260" s="24">
        <v>1499</v>
      </c>
      <c r="C260" s="24">
        <v>46.92</v>
      </c>
      <c r="D260" s="24" t="s">
        <v>1714</v>
      </c>
      <c r="E260" s="24">
        <v>23.86</v>
      </c>
      <c r="F260" s="24" t="s">
        <v>1551</v>
      </c>
      <c r="G260" s="24">
        <v>118.7</v>
      </c>
      <c r="H260" s="24" t="s">
        <v>1588</v>
      </c>
      <c r="I260" s="24">
        <v>85.75</v>
      </c>
      <c r="J260" s="24" t="s">
        <v>1715</v>
      </c>
    </row>
    <row r="261" spans="1:10" x14ac:dyDescent="0.15">
      <c r="A261" s="28">
        <v>43210.731840277775</v>
      </c>
      <c r="B261" s="24">
        <v>1499</v>
      </c>
      <c r="C261" s="24">
        <v>47.95</v>
      </c>
      <c r="D261" s="24" t="s">
        <v>1716</v>
      </c>
      <c r="E261" s="24">
        <v>23.53</v>
      </c>
      <c r="F261" s="24" t="s">
        <v>1496</v>
      </c>
      <c r="G261" s="24">
        <v>117.5</v>
      </c>
      <c r="H261" s="24" t="s">
        <v>1588</v>
      </c>
      <c r="I261" s="24">
        <v>84.47</v>
      </c>
      <c r="J261" s="24" t="s">
        <v>1717</v>
      </c>
    </row>
    <row r="262" spans="1:10" x14ac:dyDescent="0.15">
      <c r="A262" s="28">
        <v>43210.731863425928</v>
      </c>
      <c r="B262" s="24">
        <v>1499</v>
      </c>
      <c r="C262" s="24">
        <v>46.49</v>
      </c>
      <c r="D262" s="24" t="s">
        <v>1152</v>
      </c>
      <c r="E262" s="24">
        <v>22.27</v>
      </c>
      <c r="F262" s="24" t="s">
        <v>1718</v>
      </c>
      <c r="G262" s="24">
        <v>115.7</v>
      </c>
      <c r="H262" s="24" t="s">
        <v>1719</v>
      </c>
      <c r="I262" s="24">
        <v>82.85</v>
      </c>
      <c r="J262" s="24" t="s">
        <v>1720</v>
      </c>
    </row>
    <row r="263" spans="1:10" x14ac:dyDescent="0.15">
      <c r="A263" s="28">
        <v>43210.731898148151</v>
      </c>
      <c r="B263" s="24">
        <v>1499</v>
      </c>
      <c r="C263" s="24">
        <v>45.29</v>
      </c>
      <c r="D263" s="24" t="s">
        <v>1695</v>
      </c>
      <c r="E263" s="24">
        <v>22.87</v>
      </c>
      <c r="F263" s="24" t="s">
        <v>1721</v>
      </c>
      <c r="G263" s="24">
        <v>115.2</v>
      </c>
      <c r="H263" s="24" t="s">
        <v>1645</v>
      </c>
      <c r="I263" s="24">
        <v>85.19</v>
      </c>
      <c r="J263" s="24" t="s">
        <v>1722</v>
      </c>
    </row>
    <row r="264" spans="1:10" x14ac:dyDescent="0.15">
      <c r="A264" s="28">
        <v>43210.731932870367</v>
      </c>
      <c r="B264" s="24">
        <v>1499</v>
      </c>
      <c r="C264" s="24">
        <v>48.69</v>
      </c>
      <c r="D264" s="24" t="s">
        <v>1723</v>
      </c>
      <c r="E264" s="24">
        <v>22.92</v>
      </c>
      <c r="F264" s="24" t="s">
        <v>1724</v>
      </c>
      <c r="G264" s="24">
        <v>120.6</v>
      </c>
      <c r="H264" s="24" t="s">
        <v>1626</v>
      </c>
      <c r="I264" s="24">
        <v>80.58</v>
      </c>
      <c r="J264" s="24" t="s">
        <v>1725</v>
      </c>
    </row>
    <row r="265" spans="1:10" x14ac:dyDescent="0.15">
      <c r="A265" s="28">
        <v>43210.731956018521</v>
      </c>
      <c r="B265" s="24">
        <v>1499</v>
      </c>
      <c r="C265" s="24">
        <v>45.99</v>
      </c>
      <c r="D265" s="24" t="s">
        <v>1726</v>
      </c>
      <c r="E265" s="24">
        <v>22.74</v>
      </c>
      <c r="F265" s="24" t="s">
        <v>1727</v>
      </c>
      <c r="G265" s="24">
        <v>115</v>
      </c>
      <c r="H265" s="24" t="s">
        <v>1728</v>
      </c>
      <c r="I265" s="24">
        <v>85.08</v>
      </c>
      <c r="J265" s="24" t="s">
        <v>1729</v>
      </c>
    </row>
    <row r="266" spans="1:10" x14ac:dyDescent="0.15">
      <c r="A266" s="28">
        <v>43210.731990740744</v>
      </c>
      <c r="B266" s="24">
        <v>1499</v>
      </c>
      <c r="C266" s="24">
        <v>45.63</v>
      </c>
      <c r="D266" s="24" t="s">
        <v>1730</v>
      </c>
      <c r="E266" s="24">
        <v>23.37</v>
      </c>
      <c r="F266" s="24" t="s">
        <v>1727</v>
      </c>
      <c r="G266" s="24">
        <v>115.9</v>
      </c>
      <c r="H266" s="24" t="s">
        <v>1588</v>
      </c>
      <c r="I266" s="24">
        <v>84.86</v>
      </c>
      <c r="J266" s="24" t="s">
        <v>1731</v>
      </c>
    </row>
    <row r="267" spans="1:10" x14ac:dyDescent="0.15">
      <c r="A267" s="28">
        <v>43210.732025462959</v>
      </c>
      <c r="B267" s="24">
        <v>1499</v>
      </c>
      <c r="C267" s="24">
        <v>47.13</v>
      </c>
      <c r="D267" s="24" t="s">
        <v>1732</v>
      </c>
      <c r="E267" s="24">
        <v>22.35</v>
      </c>
      <c r="F267" s="24" t="s">
        <v>1660</v>
      </c>
      <c r="G267" s="24">
        <v>119.8</v>
      </c>
      <c r="H267" s="24" t="s">
        <v>1733</v>
      </c>
      <c r="I267" s="24">
        <v>80.959999999999994</v>
      </c>
      <c r="J267" s="24" t="s">
        <v>1734</v>
      </c>
    </row>
    <row r="268" spans="1:10" x14ac:dyDescent="0.15">
      <c r="A268" s="28">
        <v>43210.732048611113</v>
      </c>
      <c r="B268" s="24">
        <v>1499</v>
      </c>
      <c r="C268" s="24">
        <v>46.72</v>
      </c>
      <c r="D268" s="24" t="s">
        <v>1735</v>
      </c>
      <c r="E268" s="24">
        <v>23.14</v>
      </c>
      <c r="F268" s="24" t="s">
        <v>1667</v>
      </c>
      <c r="G268" s="24">
        <v>115.7</v>
      </c>
      <c r="H268" s="24" t="s">
        <v>1588</v>
      </c>
      <c r="I268" s="24">
        <v>83.73</v>
      </c>
      <c r="J268" s="24" t="s">
        <v>1736</v>
      </c>
    </row>
    <row r="269" spans="1:10" x14ac:dyDescent="0.15">
      <c r="A269" s="28">
        <v>43210.732083333336</v>
      </c>
      <c r="B269" s="24">
        <v>1499</v>
      </c>
      <c r="C269" s="24">
        <v>47.24</v>
      </c>
      <c r="D269" s="24" t="s">
        <v>1199</v>
      </c>
      <c r="E269" s="24">
        <v>24.57</v>
      </c>
      <c r="F269" s="24" t="s">
        <v>1737</v>
      </c>
      <c r="G269" s="24">
        <v>119.9</v>
      </c>
      <c r="H269" s="24" t="s">
        <v>1728</v>
      </c>
      <c r="I269" s="24">
        <v>81.069999999999993</v>
      </c>
      <c r="J269" s="24" t="s">
        <v>1738</v>
      </c>
    </row>
    <row r="270" spans="1:10" x14ac:dyDescent="0.15">
      <c r="A270" s="28">
        <v>43210.732118055559</v>
      </c>
      <c r="B270" s="24">
        <v>1499</v>
      </c>
      <c r="C270" s="24">
        <v>47.63</v>
      </c>
      <c r="D270" s="24" t="s">
        <v>1739</v>
      </c>
      <c r="E270" s="24">
        <v>22.64</v>
      </c>
      <c r="F270" s="24" t="s">
        <v>1496</v>
      </c>
      <c r="G270" s="24">
        <v>112.8</v>
      </c>
      <c r="H270" s="24" t="s">
        <v>1689</v>
      </c>
      <c r="I270" s="24">
        <v>81.02</v>
      </c>
      <c r="J270" s="24" t="s">
        <v>1740</v>
      </c>
    </row>
    <row r="271" spans="1:10" x14ac:dyDescent="0.15">
      <c r="A271" s="28">
        <v>43210.732152777775</v>
      </c>
      <c r="B271" s="24">
        <v>1499</v>
      </c>
      <c r="C271" s="24">
        <v>46.79</v>
      </c>
      <c r="D271" s="24" t="s">
        <v>1741</v>
      </c>
      <c r="E271" s="24">
        <v>22.96</v>
      </c>
      <c r="F271" s="24" t="s">
        <v>1742</v>
      </c>
      <c r="G271" s="24">
        <v>111.8</v>
      </c>
      <c r="H271" s="24" t="s">
        <v>1743</v>
      </c>
      <c r="I271" s="24">
        <v>87.03</v>
      </c>
      <c r="J271" s="24" t="s">
        <v>1744</v>
      </c>
    </row>
    <row r="272" spans="1:10" x14ac:dyDescent="0.15">
      <c r="A272" s="28">
        <v>43210.732175925928</v>
      </c>
      <c r="B272" s="24">
        <v>1499</v>
      </c>
      <c r="C272" s="24">
        <v>46.31</v>
      </c>
      <c r="D272" s="24" t="s">
        <v>1745</v>
      </c>
      <c r="E272" s="24">
        <v>23.73</v>
      </c>
      <c r="F272" s="24" t="s">
        <v>1746</v>
      </c>
      <c r="G272" s="24">
        <v>112.8</v>
      </c>
      <c r="H272" s="24" t="s">
        <v>1733</v>
      </c>
      <c r="I272" s="24">
        <v>85.42</v>
      </c>
      <c r="J272" s="24" t="s">
        <v>1747</v>
      </c>
    </row>
    <row r="273" spans="1:10" x14ac:dyDescent="0.15">
      <c r="A273" s="28">
        <v>43210.732210648152</v>
      </c>
      <c r="B273" s="24">
        <v>1499</v>
      </c>
      <c r="C273" s="24">
        <v>45.06</v>
      </c>
      <c r="D273" s="24" t="s">
        <v>1748</v>
      </c>
      <c r="E273" s="24">
        <v>24.49</v>
      </c>
      <c r="F273" s="24" t="s">
        <v>1749</v>
      </c>
      <c r="G273" s="24">
        <v>112.2</v>
      </c>
      <c r="H273" s="24" t="s">
        <v>1750</v>
      </c>
      <c r="I273" s="24">
        <v>89.74</v>
      </c>
      <c r="J273" s="24" t="s">
        <v>1751</v>
      </c>
    </row>
    <row r="274" spans="1:10" x14ac:dyDescent="0.15">
      <c r="A274" s="28">
        <v>43210.732245370367</v>
      </c>
      <c r="B274" s="24">
        <v>1498</v>
      </c>
      <c r="C274" s="24">
        <v>45.63</v>
      </c>
      <c r="D274" s="24" t="s">
        <v>1752</v>
      </c>
      <c r="E274" s="24">
        <v>23.01</v>
      </c>
      <c r="F274" s="24" t="s">
        <v>1753</v>
      </c>
      <c r="G274" s="24">
        <v>118.9</v>
      </c>
      <c r="H274" s="24" t="s">
        <v>1754</v>
      </c>
      <c r="I274" s="24">
        <v>85.9</v>
      </c>
      <c r="J274" s="24" t="s">
        <v>1755</v>
      </c>
    </row>
    <row r="275" spans="1:10" x14ac:dyDescent="0.15">
      <c r="A275" s="28">
        <v>43210.732268518521</v>
      </c>
      <c r="B275" s="24">
        <v>1498</v>
      </c>
      <c r="C275" s="24">
        <v>46.25</v>
      </c>
      <c r="D275" s="24" t="s">
        <v>1756</v>
      </c>
      <c r="E275" s="24">
        <v>22.24</v>
      </c>
      <c r="F275" s="24" t="s">
        <v>1757</v>
      </c>
      <c r="G275" s="24">
        <v>115.2</v>
      </c>
      <c r="H275" s="24" t="s">
        <v>1758</v>
      </c>
      <c r="I275" s="24">
        <v>83.54</v>
      </c>
      <c r="J275" s="24" t="s">
        <v>1759</v>
      </c>
    </row>
    <row r="276" spans="1:10" x14ac:dyDescent="0.15">
      <c r="A276" s="28">
        <v>43210.732303240744</v>
      </c>
      <c r="B276" s="24">
        <v>1499</v>
      </c>
      <c r="C276" s="24">
        <v>46.11</v>
      </c>
      <c r="D276" s="24" t="s">
        <v>1179</v>
      </c>
      <c r="E276" s="24">
        <v>22.78</v>
      </c>
      <c r="F276" s="24" t="s">
        <v>1760</v>
      </c>
      <c r="G276" s="24">
        <v>116.3</v>
      </c>
      <c r="H276" s="24" t="s">
        <v>1689</v>
      </c>
      <c r="I276" s="24">
        <v>83.18</v>
      </c>
      <c r="J276" s="24" t="s">
        <v>1761</v>
      </c>
    </row>
    <row r="277" spans="1:10" x14ac:dyDescent="0.15">
      <c r="A277" s="28">
        <v>43210.73233796296</v>
      </c>
      <c r="B277" s="24">
        <v>1499</v>
      </c>
      <c r="C277" s="24">
        <v>47.79</v>
      </c>
      <c r="D277" s="24" t="s">
        <v>1639</v>
      </c>
      <c r="E277" s="24">
        <v>23.6</v>
      </c>
      <c r="F277" s="24" t="s">
        <v>1762</v>
      </c>
      <c r="G277" s="24">
        <v>117.5</v>
      </c>
      <c r="H277" s="24" t="s">
        <v>1754</v>
      </c>
      <c r="I277" s="24">
        <v>82.03</v>
      </c>
      <c r="J277" s="24" t="s">
        <v>1763</v>
      </c>
    </row>
    <row r="278" spans="1:10" x14ac:dyDescent="0.15">
      <c r="A278" s="28">
        <v>43210.732361111113</v>
      </c>
      <c r="B278" s="24">
        <v>1498</v>
      </c>
      <c r="C278" s="24">
        <v>45.25</v>
      </c>
      <c r="D278" s="24" t="s">
        <v>1403</v>
      </c>
      <c r="E278" s="24">
        <v>23.76</v>
      </c>
      <c r="F278" s="24" t="s">
        <v>1764</v>
      </c>
      <c r="G278" s="24">
        <v>114.2</v>
      </c>
      <c r="H278" s="24" t="s">
        <v>1728</v>
      </c>
      <c r="I278" s="24">
        <v>80.900000000000006</v>
      </c>
      <c r="J278" s="24" t="s">
        <v>1649</v>
      </c>
    </row>
    <row r="279" spans="1:10" x14ac:dyDescent="0.15">
      <c r="A279" s="28">
        <v>43210.732395833336</v>
      </c>
      <c r="B279" s="24">
        <v>1499</v>
      </c>
      <c r="C279" s="24">
        <v>45.38</v>
      </c>
      <c r="D279" s="24" t="s">
        <v>1765</v>
      </c>
      <c r="E279" s="24">
        <v>23.7</v>
      </c>
      <c r="F279" s="24" t="s">
        <v>1766</v>
      </c>
      <c r="G279" s="24">
        <v>115.2</v>
      </c>
      <c r="H279" s="24" t="s">
        <v>1733</v>
      </c>
      <c r="I279" s="24">
        <v>86.65</v>
      </c>
      <c r="J279" s="24" t="s">
        <v>1767</v>
      </c>
    </row>
    <row r="280" spans="1:10" x14ac:dyDescent="0.15">
      <c r="A280" s="28">
        <v>43210.732430555552</v>
      </c>
      <c r="B280" s="24">
        <v>1499</v>
      </c>
      <c r="C280" s="24">
        <v>46.92</v>
      </c>
      <c r="D280" s="24" t="s">
        <v>1756</v>
      </c>
      <c r="E280" s="24">
        <v>23.43</v>
      </c>
      <c r="F280" s="24" t="s">
        <v>1768</v>
      </c>
      <c r="G280" s="24">
        <v>113.3</v>
      </c>
      <c r="H280" s="24" t="s">
        <v>1733</v>
      </c>
      <c r="I280" s="24">
        <v>82.24</v>
      </c>
      <c r="J280" s="24" t="s">
        <v>1769</v>
      </c>
    </row>
    <row r="281" spans="1:10" x14ac:dyDescent="0.15">
      <c r="A281" s="28">
        <v>43210.732453703706</v>
      </c>
      <c r="B281" s="24">
        <v>1499</v>
      </c>
      <c r="C281" s="24">
        <v>45.89</v>
      </c>
      <c r="D281" s="24" t="s">
        <v>1770</v>
      </c>
      <c r="E281" s="24">
        <v>22.78</v>
      </c>
      <c r="F281" s="24" t="s">
        <v>1757</v>
      </c>
      <c r="G281" s="24">
        <v>114.3</v>
      </c>
      <c r="H281" s="24" t="s">
        <v>1626</v>
      </c>
      <c r="I281" s="24">
        <v>79.48</v>
      </c>
      <c r="J281" s="24" t="s">
        <v>1771</v>
      </c>
    </row>
    <row r="282" spans="1:10" x14ac:dyDescent="0.15">
      <c r="A282" s="28">
        <v>43210.732488425929</v>
      </c>
      <c r="B282" s="24">
        <v>1499</v>
      </c>
      <c r="C282" s="24">
        <v>45.34</v>
      </c>
      <c r="D282" s="24" t="s">
        <v>1772</v>
      </c>
      <c r="E282" s="24">
        <v>23.32</v>
      </c>
      <c r="F282" s="24" t="s">
        <v>1773</v>
      </c>
      <c r="G282" s="24">
        <v>113.8</v>
      </c>
      <c r="H282" s="24" t="s">
        <v>1699</v>
      </c>
      <c r="I282" s="24">
        <v>83.56</v>
      </c>
      <c r="J282" s="24" t="s">
        <v>1774</v>
      </c>
    </row>
    <row r="283" spans="1:10" x14ac:dyDescent="0.15">
      <c r="A283" s="28">
        <v>43210.732523148145</v>
      </c>
      <c r="B283" s="24">
        <v>1499</v>
      </c>
      <c r="C283" s="24">
        <v>46.64</v>
      </c>
      <c r="D283" s="24" t="s">
        <v>1775</v>
      </c>
      <c r="E283" s="24">
        <v>22.49</v>
      </c>
      <c r="F283" s="24" t="s">
        <v>1776</v>
      </c>
      <c r="G283" s="24">
        <v>115.3</v>
      </c>
      <c r="H283" s="24" t="s">
        <v>1777</v>
      </c>
      <c r="I283" s="24">
        <v>82.27</v>
      </c>
      <c r="J283" s="24" t="s">
        <v>1778</v>
      </c>
    </row>
    <row r="284" spans="1:10" x14ac:dyDescent="0.15">
      <c r="A284" s="28">
        <v>43210.732546296298</v>
      </c>
      <c r="B284" s="24">
        <v>1499</v>
      </c>
      <c r="C284" s="24">
        <v>45.67</v>
      </c>
      <c r="D284" s="24" t="s">
        <v>1779</v>
      </c>
      <c r="E284" s="24">
        <v>23.24</v>
      </c>
      <c r="F284" s="24" t="s">
        <v>1780</v>
      </c>
      <c r="G284" s="24">
        <v>113</v>
      </c>
      <c r="H284" s="24" t="s">
        <v>1750</v>
      </c>
      <c r="I284" s="24">
        <v>92.07</v>
      </c>
      <c r="J284" s="24" t="s">
        <v>1781</v>
      </c>
    </row>
    <row r="285" spans="1:10" x14ac:dyDescent="0.15">
      <c r="A285" s="28">
        <v>43210.732581018521</v>
      </c>
      <c r="B285" s="24">
        <v>1499</v>
      </c>
      <c r="C285" s="24">
        <v>47.16</v>
      </c>
      <c r="D285" s="24" t="s">
        <v>1782</v>
      </c>
      <c r="E285" s="24">
        <v>22.65</v>
      </c>
      <c r="F285" s="24" t="s">
        <v>1783</v>
      </c>
      <c r="G285" s="24">
        <v>120</v>
      </c>
      <c r="H285" s="24" t="s">
        <v>1634</v>
      </c>
      <c r="I285" s="24">
        <v>86.11</v>
      </c>
      <c r="J285" s="24" t="s">
        <v>1784</v>
      </c>
    </row>
    <row r="286" spans="1:10" x14ac:dyDescent="0.15">
      <c r="A286" s="28">
        <v>43210.732615740744</v>
      </c>
      <c r="B286" s="24">
        <v>1499</v>
      </c>
      <c r="C286" s="24">
        <v>46.58</v>
      </c>
      <c r="D286" s="24" t="s">
        <v>1785</v>
      </c>
      <c r="E286" s="24">
        <v>22.99</v>
      </c>
      <c r="F286" s="24" t="s">
        <v>1786</v>
      </c>
      <c r="G286" s="24">
        <v>118.9</v>
      </c>
      <c r="H286" s="24" t="s">
        <v>1645</v>
      </c>
      <c r="I286" s="24">
        <v>81.44</v>
      </c>
      <c r="J286" s="24" t="s">
        <v>1787</v>
      </c>
    </row>
    <row r="287" spans="1:10" x14ac:dyDescent="0.15">
      <c r="A287" s="28">
        <v>43210.73265046296</v>
      </c>
      <c r="B287" s="24">
        <v>1499</v>
      </c>
      <c r="C287" s="24">
        <v>46.94</v>
      </c>
      <c r="D287" s="24" t="s">
        <v>1607</v>
      </c>
      <c r="E287" s="24">
        <v>24.2</v>
      </c>
      <c r="F287" s="24" t="s">
        <v>1788</v>
      </c>
      <c r="G287" s="24">
        <v>114.7</v>
      </c>
      <c r="H287" s="24" t="s">
        <v>1789</v>
      </c>
      <c r="I287" s="24">
        <v>82.77</v>
      </c>
      <c r="J287" s="24" t="s">
        <v>1790</v>
      </c>
    </row>
    <row r="288" spans="1:10" x14ac:dyDescent="0.15">
      <c r="A288" s="28">
        <v>43210.732673611114</v>
      </c>
      <c r="B288" s="24">
        <v>1499</v>
      </c>
      <c r="C288" s="24">
        <v>46.58</v>
      </c>
      <c r="D288" s="24" t="s">
        <v>1772</v>
      </c>
      <c r="E288" s="24">
        <v>24.03</v>
      </c>
      <c r="F288" s="24" t="s">
        <v>1791</v>
      </c>
      <c r="G288" s="24">
        <v>112.9</v>
      </c>
      <c r="H288" s="24" t="s">
        <v>1792</v>
      </c>
      <c r="I288" s="24">
        <v>89.23</v>
      </c>
      <c r="J288" s="24" t="s">
        <v>1793</v>
      </c>
    </row>
    <row r="289" spans="1:10" x14ac:dyDescent="0.15">
      <c r="A289" s="28">
        <v>43210.732708333337</v>
      </c>
      <c r="B289" s="24">
        <v>1499</v>
      </c>
      <c r="C289" s="24">
        <v>47.34</v>
      </c>
      <c r="D289" s="24" t="s">
        <v>1735</v>
      </c>
      <c r="E289" s="24">
        <v>22.84</v>
      </c>
      <c r="F289" s="24" t="s">
        <v>1702</v>
      </c>
      <c r="G289" s="24">
        <v>117.1</v>
      </c>
      <c r="H289" s="24" t="s">
        <v>1693</v>
      </c>
      <c r="I289" s="24">
        <v>86.33</v>
      </c>
      <c r="J289" s="24" t="s">
        <v>1794</v>
      </c>
    </row>
    <row r="290" spans="1:10" x14ac:dyDescent="0.15">
      <c r="A290" s="28">
        <v>43210.732743055552</v>
      </c>
      <c r="B290" s="24">
        <v>1499</v>
      </c>
      <c r="C290" s="24">
        <v>45.52</v>
      </c>
      <c r="D290" s="24" t="s">
        <v>1795</v>
      </c>
      <c r="E290" s="24">
        <v>21.82</v>
      </c>
      <c r="F290" s="24" t="s">
        <v>1796</v>
      </c>
      <c r="G290" s="24">
        <v>113.9</v>
      </c>
      <c r="H290" s="24" t="s">
        <v>1797</v>
      </c>
      <c r="I290" s="24">
        <v>84.3</v>
      </c>
      <c r="J290" s="24" t="s">
        <v>1798</v>
      </c>
    </row>
    <row r="291" spans="1:10" x14ac:dyDescent="0.15">
      <c r="A291" s="28">
        <v>43210.732766203706</v>
      </c>
      <c r="B291" s="24">
        <v>1499</v>
      </c>
      <c r="C291" s="24">
        <v>45.87</v>
      </c>
      <c r="D291" s="24" t="s">
        <v>1199</v>
      </c>
      <c r="E291" s="24">
        <v>24.65</v>
      </c>
      <c r="F291" s="24" t="s">
        <v>1799</v>
      </c>
      <c r="G291" s="24">
        <v>114.9</v>
      </c>
      <c r="H291" s="24" t="s">
        <v>1588</v>
      </c>
      <c r="I291" s="24">
        <v>82.86</v>
      </c>
      <c r="J291" s="24" t="s">
        <v>1800</v>
      </c>
    </row>
    <row r="292" spans="1:10" x14ac:dyDescent="0.15">
      <c r="A292" s="28">
        <v>43210.732800925929</v>
      </c>
      <c r="B292" s="24">
        <v>1499</v>
      </c>
      <c r="C292" s="24">
        <v>46.35</v>
      </c>
      <c r="D292" s="24" t="s">
        <v>1801</v>
      </c>
      <c r="E292" s="24">
        <v>24.72</v>
      </c>
      <c r="F292" s="24" t="s">
        <v>1802</v>
      </c>
      <c r="G292" s="24">
        <v>118.1</v>
      </c>
      <c r="H292" s="24" t="s">
        <v>1758</v>
      </c>
      <c r="I292" s="24">
        <v>87.83</v>
      </c>
      <c r="J292" s="24" t="s">
        <v>1803</v>
      </c>
    </row>
    <row r="293" spans="1:10" x14ac:dyDescent="0.15">
      <c r="A293" s="28">
        <v>43210.732835648145</v>
      </c>
      <c r="B293" s="24">
        <v>1499</v>
      </c>
      <c r="C293" s="24">
        <v>47.77</v>
      </c>
      <c r="D293" s="24" t="s">
        <v>1745</v>
      </c>
      <c r="E293" s="24">
        <v>22.42</v>
      </c>
      <c r="F293" s="24" t="s">
        <v>1524</v>
      </c>
      <c r="G293" s="24">
        <v>116.1</v>
      </c>
      <c r="H293" s="24" t="s">
        <v>1693</v>
      </c>
      <c r="I293" s="24">
        <v>84.8</v>
      </c>
      <c r="J293" s="24" t="s">
        <v>1804</v>
      </c>
    </row>
    <row r="294" spans="1:10" x14ac:dyDescent="0.15">
      <c r="A294" s="28">
        <v>43210.732858796298</v>
      </c>
      <c r="B294" s="24">
        <v>1499</v>
      </c>
      <c r="C294" s="24">
        <v>47.66</v>
      </c>
      <c r="D294" s="24" t="s">
        <v>1805</v>
      </c>
      <c r="E294" s="24">
        <v>23.05</v>
      </c>
      <c r="F294" s="24" t="s">
        <v>1806</v>
      </c>
      <c r="G294" s="24">
        <v>115.6</v>
      </c>
      <c r="H294" s="24" t="s">
        <v>1807</v>
      </c>
      <c r="I294" s="24">
        <v>82.65</v>
      </c>
      <c r="J294" s="24" t="s">
        <v>1808</v>
      </c>
    </row>
    <row r="295" spans="1:10" x14ac:dyDescent="0.15">
      <c r="A295" s="28">
        <v>43210.732893518521</v>
      </c>
      <c r="B295" s="24">
        <v>1499</v>
      </c>
      <c r="C295" s="24">
        <v>46.52</v>
      </c>
      <c r="D295" s="24" t="s">
        <v>1673</v>
      </c>
      <c r="E295" s="24">
        <v>23.2</v>
      </c>
      <c r="F295" s="24" t="s">
        <v>1809</v>
      </c>
      <c r="G295" s="24">
        <v>113.4</v>
      </c>
      <c r="H295" s="24" t="s">
        <v>1689</v>
      </c>
      <c r="I295" s="24">
        <v>83.71</v>
      </c>
      <c r="J295" s="24" t="s">
        <v>1810</v>
      </c>
    </row>
    <row r="296" spans="1:10" x14ac:dyDescent="0.15">
      <c r="A296" s="28">
        <v>43210.732928240737</v>
      </c>
      <c r="B296" s="24">
        <v>1499</v>
      </c>
      <c r="C296" s="24">
        <v>47.58</v>
      </c>
      <c r="D296" s="24" t="s">
        <v>1811</v>
      </c>
      <c r="E296" s="24">
        <v>23.31</v>
      </c>
      <c r="F296" s="24" t="s">
        <v>1481</v>
      </c>
      <c r="G296" s="24">
        <v>114.2</v>
      </c>
      <c r="H296" s="24" t="s">
        <v>1728</v>
      </c>
      <c r="I296" s="24">
        <v>84.73</v>
      </c>
      <c r="J296" s="24" t="s">
        <v>1812</v>
      </c>
    </row>
    <row r="297" spans="1:10" x14ac:dyDescent="0.15">
      <c r="A297" s="28">
        <v>43210.732951388891</v>
      </c>
      <c r="B297" s="24">
        <v>1499</v>
      </c>
      <c r="C297" s="24">
        <v>46.35</v>
      </c>
      <c r="D297" s="24" t="s">
        <v>1813</v>
      </c>
      <c r="E297" s="24">
        <v>22.74</v>
      </c>
      <c r="F297" s="24" t="s">
        <v>1814</v>
      </c>
      <c r="G297" s="24">
        <v>116</v>
      </c>
      <c r="H297" s="24" t="s">
        <v>1750</v>
      </c>
      <c r="I297" s="24">
        <v>81.900000000000006</v>
      </c>
      <c r="J297" s="24" t="s">
        <v>1815</v>
      </c>
    </row>
    <row r="298" spans="1:10" x14ac:dyDescent="0.15">
      <c r="A298" s="28">
        <v>43210.732986111114</v>
      </c>
      <c r="B298" s="24">
        <v>1499</v>
      </c>
      <c r="C298" s="24">
        <v>46.08</v>
      </c>
      <c r="D298" s="24" t="s">
        <v>1816</v>
      </c>
      <c r="E298" s="24">
        <v>23.09</v>
      </c>
      <c r="F298" s="24" t="s">
        <v>1507</v>
      </c>
      <c r="G298" s="24">
        <v>115.7</v>
      </c>
      <c r="H298" s="24" t="s">
        <v>1750</v>
      </c>
      <c r="I298" s="24">
        <v>85.98</v>
      </c>
      <c r="J298" s="24" t="s">
        <v>1817</v>
      </c>
    </row>
    <row r="299" spans="1:10" x14ac:dyDescent="0.15">
      <c r="A299" s="28">
        <v>43210.733020833337</v>
      </c>
      <c r="B299" s="24">
        <v>1499</v>
      </c>
      <c r="C299" s="24">
        <v>45.99</v>
      </c>
      <c r="D299" s="24" t="s">
        <v>1818</v>
      </c>
      <c r="E299" s="24">
        <v>24.14</v>
      </c>
      <c r="F299" s="24" t="s">
        <v>1819</v>
      </c>
      <c r="G299" s="24">
        <v>112.9</v>
      </c>
      <c r="H299" s="24" t="s">
        <v>1693</v>
      </c>
      <c r="I299" s="24">
        <v>83.37</v>
      </c>
      <c r="J299" s="24" t="s">
        <v>1820</v>
      </c>
    </row>
    <row r="300" spans="1:10" x14ac:dyDescent="0.15">
      <c r="A300" s="28">
        <v>43210.733055555553</v>
      </c>
      <c r="B300" s="24">
        <v>1499</v>
      </c>
      <c r="C300" s="24">
        <v>46.03</v>
      </c>
      <c r="D300" s="24" t="s">
        <v>1821</v>
      </c>
      <c r="E300" s="24">
        <v>22.87</v>
      </c>
      <c r="F300" s="24" t="s">
        <v>1822</v>
      </c>
      <c r="G300" s="24">
        <v>117.4</v>
      </c>
      <c r="H300" s="24" t="s">
        <v>1609</v>
      </c>
      <c r="I300" s="24">
        <v>89.48</v>
      </c>
      <c r="J300" s="24" t="s">
        <v>1823</v>
      </c>
    </row>
    <row r="301" spans="1:10" x14ac:dyDescent="0.15">
      <c r="A301" s="28">
        <v>43210.733078703706</v>
      </c>
      <c r="B301" s="24">
        <v>1499</v>
      </c>
      <c r="C301" s="24">
        <v>45.68</v>
      </c>
      <c r="D301" s="24" t="s">
        <v>1824</v>
      </c>
      <c r="E301" s="24">
        <v>23.61</v>
      </c>
      <c r="F301" s="24" t="s">
        <v>1447</v>
      </c>
      <c r="G301" s="24">
        <v>112.3</v>
      </c>
      <c r="H301" s="24" t="s">
        <v>1750</v>
      </c>
      <c r="I301" s="24">
        <v>83.19</v>
      </c>
      <c r="J301" s="24" t="s">
        <v>1825</v>
      </c>
    </row>
    <row r="302" spans="1:10" x14ac:dyDescent="0.15">
      <c r="A302" s="28">
        <v>43210.733113425929</v>
      </c>
      <c r="B302" s="24">
        <v>1499</v>
      </c>
      <c r="C302" s="24">
        <v>45.58</v>
      </c>
      <c r="D302" s="24" t="s">
        <v>1826</v>
      </c>
      <c r="E302" s="24">
        <v>23.37</v>
      </c>
      <c r="F302" s="24" t="s">
        <v>1827</v>
      </c>
      <c r="G302" s="24">
        <v>119.2</v>
      </c>
      <c r="H302" s="24" t="s">
        <v>1758</v>
      </c>
      <c r="I302" s="24">
        <v>73.42</v>
      </c>
      <c r="J302" s="24" t="s">
        <v>1828</v>
      </c>
    </row>
    <row r="303" spans="1:10" x14ac:dyDescent="0.15">
      <c r="A303" s="28">
        <v>43210.733148148145</v>
      </c>
      <c r="B303" s="24">
        <v>1499</v>
      </c>
      <c r="C303" s="24">
        <v>45.82</v>
      </c>
      <c r="D303" s="24" t="s">
        <v>1288</v>
      </c>
      <c r="E303" s="24">
        <v>22.54</v>
      </c>
      <c r="F303" s="24" t="s">
        <v>1504</v>
      </c>
      <c r="G303" s="24">
        <v>111.6</v>
      </c>
      <c r="H303" s="24" t="s">
        <v>1641</v>
      </c>
      <c r="I303" s="24">
        <v>79.14</v>
      </c>
      <c r="J303" s="24" t="s">
        <v>1829</v>
      </c>
    </row>
    <row r="304" spans="1:10" x14ac:dyDescent="0.15">
      <c r="A304" s="28">
        <v>43210.733171296299</v>
      </c>
      <c r="B304" s="24">
        <v>1499</v>
      </c>
      <c r="C304" s="24">
        <v>45.95</v>
      </c>
      <c r="D304" s="24" t="s">
        <v>1830</v>
      </c>
      <c r="E304" s="24">
        <v>23.16</v>
      </c>
      <c r="F304" s="24" t="s">
        <v>1831</v>
      </c>
      <c r="G304" s="24">
        <v>117.4</v>
      </c>
      <c r="H304" s="24" t="s">
        <v>1626</v>
      </c>
      <c r="I304" s="24">
        <v>85.51</v>
      </c>
      <c r="J304" s="24" t="s">
        <v>1832</v>
      </c>
    </row>
    <row r="305" spans="1:10" x14ac:dyDescent="0.15">
      <c r="A305" s="28">
        <v>43210.733206018522</v>
      </c>
      <c r="B305" s="24">
        <v>1500</v>
      </c>
      <c r="C305" s="24">
        <v>47.27</v>
      </c>
      <c r="D305" s="24" t="s">
        <v>1833</v>
      </c>
      <c r="E305" s="24">
        <v>24.81</v>
      </c>
      <c r="F305" s="24" t="s">
        <v>1688</v>
      </c>
      <c r="G305" s="24">
        <v>114.6</v>
      </c>
      <c r="H305" s="24" t="s">
        <v>1641</v>
      </c>
      <c r="I305" s="24">
        <v>88.11</v>
      </c>
      <c r="J305" s="24" t="s">
        <v>1834</v>
      </c>
    </row>
    <row r="306" spans="1:10" x14ac:dyDescent="0.15">
      <c r="A306" s="28">
        <v>43210.733240740738</v>
      </c>
      <c r="B306" s="24">
        <v>1499</v>
      </c>
      <c r="C306" s="24">
        <v>47.44</v>
      </c>
      <c r="D306" s="24" t="s">
        <v>1835</v>
      </c>
      <c r="E306" s="24">
        <v>25.03</v>
      </c>
      <c r="F306" s="24" t="s">
        <v>1709</v>
      </c>
      <c r="G306" s="24">
        <v>118.4</v>
      </c>
      <c r="H306" s="24" t="s">
        <v>1641</v>
      </c>
      <c r="I306" s="24">
        <v>88.94</v>
      </c>
      <c r="J306" s="24" t="s">
        <v>1836</v>
      </c>
    </row>
    <row r="307" spans="1:10" x14ac:dyDescent="0.15">
      <c r="A307" s="28">
        <v>43210.733263888891</v>
      </c>
      <c r="B307" s="24">
        <v>1500</v>
      </c>
      <c r="C307" s="24">
        <v>45.68</v>
      </c>
      <c r="D307" s="24" t="s">
        <v>1805</v>
      </c>
      <c r="E307" s="24">
        <v>23.21</v>
      </c>
      <c r="F307" s="24" t="s">
        <v>1411</v>
      </c>
      <c r="G307" s="24">
        <v>115.9</v>
      </c>
      <c r="H307" s="24" t="s">
        <v>1689</v>
      </c>
      <c r="I307" s="24">
        <v>83.63</v>
      </c>
      <c r="J307" s="24" t="s">
        <v>1837</v>
      </c>
    </row>
    <row r="308" spans="1:10" x14ac:dyDescent="0.15">
      <c r="A308" s="28">
        <v>43210.733298611114</v>
      </c>
      <c r="B308" s="24">
        <v>1499</v>
      </c>
      <c r="C308" s="24">
        <v>47.12</v>
      </c>
      <c r="D308" s="24" t="s">
        <v>1723</v>
      </c>
      <c r="E308" s="24">
        <v>23.96</v>
      </c>
      <c r="F308" s="24" t="s">
        <v>1838</v>
      </c>
      <c r="G308" s="24">
        <v>116.5</v>
      </c>
      <c r="H308" s="24" t="s">
        <v>1641</v>
      </c>
      <c r="I308" s="24">
        <v>79.599999999999994</v>
      </c>
      <c r="J308" s="24" t="s">
        <v>1839</v>
      </c>
    </row>
    <row r="309" spans="1:10" x14ac:dyDescent="0.15">
      <c r="A309" s="28">
        <v>43210.73333333333</v>
      </c>
      <c r="B309" s="24">
        <v>1499</v>
      </c>
      <c r="C309" s="24">
        <v>47.4</v>
      </c>
      <c r="D309" s="24" t="s">
        <v>1840</v>
      </c>
      <c r="E309" s="24">
        <v>23.49</v>
      </c>
      <c r="F309" s="24" t="s">
        <v>1841</v>
      </c>
      <c r="G309" s="24">
        <v>117</v>
      </c>
      <c r="H309" s="24" t="s">
        <v>1728</v>
      </c>
      <c r="I309" s="24">
        <v>83.68</v>
      </c>
      <c r="J309" s="24" t="s">
        <v>1842</v>
      </c>
    </row>
    <row r="310" spans="1:10" x14ac:dyDescent="0.15">
      <c r="A310" s="28">
        <v>43210.733356481483</v>
      </c>
      <c r="B310" s="24">
        <v>1499</v>
      </c>
      <c r="C310" s="24">
        <v>47.8</v>
      </c>
      <c r="D310" s="24" t="s">
        <v>1843</v>
      </c>
      <c r="E310" s="24">
        <v>23.52</v>
      </c>
      <c r="F310" s="24" t="s">
        <v>1819</v>
      </c>
      <c r="G310" s="24">
        <v>117.3</v>
      </c>
      <c r="H310" s="24" t="s">
        <v>1626</v>
      </c>
      <c r="I310" s="24">
        <v>86.01</v>
      </c>
      <c r="J310" s="24" t="s">
        <v>1844</v>
      </c>
    </row>
    <row r="311" spans="1:10" x14ac:dyDescent="0.15">
      <c r="A311" s="28">
        <v>43210.733391203707</v>
      </c>
      <c r="B311" s="24">
        <v>1499</v>
      </c>
      <c r="C311" s="24">
        <v>46.99</v>
      </c>
      <c r="D311" s="24" t="s">
        <v>1748</v>
      </c>
      <c r="E311" s="24">
        <v>23.08</v>
      </c>
      <c r="F311" s="24" t="s">
        <v>1845</v>
      </c>
      <c r="G311" s="24">
        <v>116.5</v>
      </c>
      <c r="H311" s="24" t="s">
        <v>1689</v>
      </c>
      <c r="I311" s="24">
        <v>86.94</v>
      </c>
      <c r="J311" s="24" t="s">
        <v>1846</v>
      </c>
    </row>
    <row r="312" spans="1:10" x14ac:dyDescent="0.15">
      <c r="A312" s="28">
        <v>43210.733425925922</v>
      </c>
      <c r="B312" s="24">
        <v>1499</v>
      </c>
      <c r="C312" s="24">
        <v>45.48</v>
      </c>
      <c r="D312" s="24" t="s">
        <v>1779</v>
      </c>
      <c r="E312" s="24">
        <v>23.17</v>
      </c>
      <c r="F312" s="24" t="s">
        <v>1847</v>
      </c>
      <c r="G312" s="24">
        <v>114.2</v>
      </c>
      <c r="H312" s="24" t="s">
        <v>1689</v>
      </c>
      <c r="I312" s="24">
        <v>83.64</v>
      </c>
      <c r="J312" s="24" t="s">
        <v>1848</v>
      </c>
    </row>
    <row r="313" spans="1:10" x14ac:dyDescent="0.15">
      <c r="A313" s="28">
        <v>43210.733449074076</v>
      </c>
      <c r="B313" s="24">
        <v>1499</v>
      </c>
      <c r="C313" s="24">
        <v>46.13</v>
      </c>
      <c r="D313" s="24" t="s">
        <v>1849</v>
      </c>
      <c r="E313" s="24">
        <v>23.03</v>
      </c>
      <c r="F313" s="24" t="s">
        <v>1457</v>
      </c>
      <c r="G313" s="24">
        <v>116.6</v>
      </c>
      <c r="H313" s="24" t="s">
        <v>1693</v>
      </c>
      <c r="I313" s="24">
        <v>83.17</v>
      </c>
      <c r="J313" s="24" t="s">
        <v>1850</v>
      </c>
    </row>
    <row r="314" spans="1:10" x14ac:dyDescent="0.15">
      <c r="A314" s="28">
        <v>43210.733483796299</v>
      </c>
      <c r="B314" s="24">
        <v>1499</v>
      </c>
      <c r="C314" s="24">
        <v>45.7</v>
      </c>
      <c r="D314" s="24" t="s">
        <v>1851</v>
      </c>
      <c r="E314" s="24">
        <v>22.67</v>
      </c>
      <c r="F314" s="24" t="s">
        <v>1852</v>
      </c>
      <c r="G314" s="24">
        <v>117</v>
      </c>
      <c r="H314" s="24" t="s">
        <v>1582</v>
      </c>
      <c r="I314" s="24">
        <v>83.27</v>
      </c>
      <c r="J314" s="24" t="s">
        <v>1853</v>
      </c>
    </row>
    <row r="315" spans="1:10" x14ac:dyDescent="0.15">
      <c r="A315" s="28">
        <v>43210.733518518522</v>
      </c>
      <c r="B315" s="24">
        <v>1499</v>
      </c>
      <c r="C315" s="24">
        <v>46.93</v>
      </c>
      <c r="D315" s="24" t="s">
        <v>1854</v>
      </c>
      <c r="E315" s="24">
        <v>22.72</v>
      </c>
      <c r="F315" s="24" t="s">
        <v>1855</v>
      </c>
      <c r="G315" s="24">
        <v>120.6</v>
      </c>
      <c r="H315" s="24" t="s">
        <v>1733</v>
      </c>
      <c r="I315" s="24">
        <v>82.64</v>
      </c>
      <c r="J315" s="24" t="s">
        <v>1856</v>
      </c>
    </row>
    <row r="316" spans="1:10" x14ac:dyDescent="0.15">
      <c r="A316" s="28">
        <v>43210.733553240738</v>
      </c>
      <c r="B316" s="24">
        <v>1499</v>
      </c>
      <c r="C316" s="24">
        <v>47.05</v>
      </c>
      <c r="D316" s="24" t="s">
        <v>1857</v>
      </c>
      <c r="E316" s="24">
        <v>23.31</v>
      </c>
      <c r="F316" s="24" t="s">
        <v>1858</v>
      </c>
      <c r="G316" s="24">
        <v>117.4</v>
      </c>
      <c r="H316" s="24" t="s">
        <v>1615</v>
      </c>
      <c r="I316" s="24">
        <v>84.51</v>
      </c>
      <c r="J316" s="24" t="s">
        <v>1859</v>
      </c>
    </row>
    <row r="317" spans="1:10" x14ac:dyDescent="0.15">
      <c r="A317" s="28">
        <v>43210.733576388891</v>
      </c>
      <c r="B317" s="24">
        <v>1499</v>
      </c>
      <c r="C317" s="24">
        <v>46.14</v>
      </c>
      <c r="D317" s="24" t="s">
        <v>1860</v>
      </c>
      <c r="E317" s="24">
        <v>22.4</v>
      </c>
      <c r="F317" s="24" t="s">
        <v>1861</v>
      </c>
      <c r="G317" s="24">
        <v>118.2</v>
      </c>
      <c r="H317" s="24" t="s">
        <v>1645</v>
      </c>
      <c r="I317" s="24">
        <v>84.65</v>
      </c>
      <c r="J317" s="24" t="s">
        <v>1862</v>
      </c>
    </row>
    <row r="318" spans="1:10" x14ac:dyDescent="0.15">
      <c r="A318" s="28">
        <v>43210.733611111114</v>
      </c>
      <c r="B318" s="24">
        <v>1499</v>
      </c>
      <c r="C318" s="24">
        <v>47.9</v>
      </c>
      <c r="D318" s="24" t="s">
        <v>1785</v>
      </c>
      <c r="E318" s="24">
        <v>23.4</v>
      </c>
      <c r="F318" s="24" t="s">
        <v>1863</v>
      </c>
      <c r="G318" s="24">
        <v>113.1</v>
      </c>
      <c r="H318" s="24" t="s">
        <v>1728</v>
      </c>
      <c r="I318" s="24">
        <v>83.6</v>
      </c>
      <c r="J318" s="24" t="s">
        <v>1864</v>
      </c>
    </row>
    <row r="319" spans="1:10" x14ac:dyDescent="0.15">
      <c r="A319" s="28">
        <v>43210.73364583333</v>
      </c>
      <c r="B319" s="24">
        <v>1499</v>
      </c>
      <c r="C319" s="24">
        <v>46.21</v>
      </c>
      <c r="D319" s="24" t="s">
        <v>1865</v>
      </c>
      <c r="E319" s="24">
        <v>22.87</v>
      </c>
      <c r="F319" s="24" t="s">
        <v>1866</v>
      </c>
      <c r="G319" s="24">
        <v>118.4</v>
      </c>
      <c r="H319" s="24" t="s">
        <v>1626</v>
      </c>
      <c r="I319" s="24">
        <v>81.709999999999994</v>
      </c>
      <c r="J319" s="24" t="s">
        <v>1867</v>
      </c>
    </row>
    <row r="320" spans="1:10" x14ac:dyDescent="0.15">
      <c r="A320" s="28">
        <v>43210.733668981484</v>
      </c>
      <c r="B320" s="24">
        <v>1499</v>
      </c>
      <c r="C320" s="24">
        <v>48.21</v>
      </c>
      <c r="D320" s="24" t="s">
        <v>1868</v>
      </c>
      <c r="E320" s="24">
        <v>23.71</v>
      </c>
      <c r="F320" s="24" t="s">
        <v>1796</v>
      </c>
      <c r="G320" s="24">
        <v>113.1</v>
      </c>
      <c r="H320" s="24" t="s">
        <v>1728</v>
      </c>
      <c r="I320" s="24">
        <v>85.43</v>
      </c>
      <c r="J320" s="24" t="s">
        <v>1869</v>
      </c>
    </row>
    <row r="321" spans="1:10" x14ac:dyDescent="0.15">
      <c r="A321" s="28">
        <v>43210.733703703707</v>
      </c>
      <c r="B321" s="24">
        <v>1500</v>
      </c>
      <c r="C321" s="24">
        <v>45.79</v>
      </c>
      <c r="D321" s="24" t="s">
        <v>1870</v>
      </c>
      <c r="E321" s="24">
        <v>24.11</v>
      </c>
      <c r="F321" s="24" t="s">
        <v>1871</v>
      </c>
      <c r="G321" s="24">
        <v>114.4</v>
      </c>
      <c r="H321" s="24" t="s">
        <v>1605</v>
      </c>
      <c r="I321" s="24">
        <v>76.87</v>
      </c>
      <c r="J321" s="24" t="s">
        <v>1872</v>
      </c>
    </row>
    <row r="322" spans="1:10" x14ac:dyDescent="0.15">
      <c r="A322" s="28">
        <v>43210.733738425923</v>
      </c>
      <c r="B322" s="24">
        <v>1500</v>
      </c>
      <c r="C322" s="24">
        <v>48.11</v>
      </c>
      <c r="D322" s="24" t="s">
        <v>1873</v>
      </c>
      <c r="E322" s="24">
        <v>24.53</v>
      </c>
      <c r="F322" s="24" t="s">
        <v>1874</v>
      </c>
      <c r="G322" s="24">
        <v>119.5</v>
      </c>
      <c r="H322" s="24" t="s">
        <v>1582</v>
      </c>
      <c r="I322" s="24">
        <v>83.92</v>
      </c>
      <c r="J322" s="24" t="s">
        <v>1875</v>
      </c>
    </row>
    <row r="323" spans="1:10" x14ac:dyDescent="0.15">
      <c r="A323" s="28">
        <v>43210.733761574076</v>
      </c>
      <c r="B323" s="24">
        <v>1500</v>
      </c>
      <c r="C323" s="24">
        <v>47.32</v>
      </c>
      <c r="D323" s="24" t="s">
        <v>1711</v>
      </c>
      <c r="E323" s="24">
        <v>24.53</v>
      </c>
      <c r="F323" s="24" t="s">
        <v>1874</v>
      </c>
      <c r="G323" s="24">
        <v>119.5</v>
      </c>
      <c r="H323" s="24" t="s">
        <v>1582</v>
      </c>
      <c r="I323" s="24">
        <v>83.92</v>
      </c>
      <c r="J323" s="24" t="s">
        <v>1875</v>
      </c>
    </row>
    <row r="324" spans="1:10" x14ac:dyDescent="0.15">
      <c r="A324" s="28">
        <v>43210.733773148146</v>
      </c>
      <c r="B324" s="24">
        <v>1500</v>
      </c>
      <c r="C324" s="24">
        <v>47.32</v>
      </c>
      <c r="D324" s="24" t="s">
        <v>1711</v>
      </c>
      <c r="E324" s="24">
        <v>23.5</v>
      </c>
      <c r="F324" s="24" t="s">
        <v>1688</v>
      </c>
      <c r="G324" s="24">
        <v>113.2</v>
      </c>
      <c r="H324" s="24" t="s">
        <v>1557</v>
      </c>
      <c r="I324" s="24">
        <v>90.19</v>
      </c>
      <c r="J324" s="24" t="s">
        <v>1876</v>
      </c>
    </row>
    <row r="325" spans="1:10" x14ac:dyDescent="0.15">
      <c r="A325" s="28">
        <v>43210.733796296299</v>
      </c>
      <c r="B325" s="24">
        <v>1500</v>
      </c>
      <c r="C325" s="24">
        <v>47.37</v>
      </c>
      <c r="D325" s="24" t="s">
        <v>1643</v>
      </c>
      <c r="E325" s="24">
        <v>24.29</v>
      </c>
      <c r="F325" s="24" t="s">
        <v>1877</v>
      </c>
      <c r="G325" s="24">
        <v>113.2</v>
      </c>
      <c r="H325" s="24" t="s">
        <v>1588</v>
      </c>
      <c r="I325" s="24">
        <v>88.84</v>
      </c>
      <c r="J325" s="24" t="s">
        <v>1878</v>
      </c>
    </row>
    <row r="326" spans="1:10" x14ac:dyDescent="0.15">
      <c r="A326" s="28">
        <v>43210.733831018515</v>
      </c>
      <c r="B326" s="24">
        <v>1500</v>
      </c>
      <c r="C326" s="24">
        <v>47.55</v>
      </c>
      <c r="D326" s="24" t="s">
        <v>1879</v>
      </c>
      <c r="E326" s="24">
        <v>23.03</v>
      </c>
      <c r="F326" s="24" t="s">
        <v>1880</v>
      </c>
      <c r="G326" s="24">
        <v>119.5</v>
      </c>
      <c r="H326" s="24" t="s">
        <v>1693</v>
      </c>
      <c r="I326" s="24">
        <v>82.24</v>
      </c>
      <c r="J326" s="24" t="s">
        <v>1881</v>
      </c>
    </row>
    <row r="327" spans="1:10" x14ac:dyDescent="0.15">
      <c r="A327" s="28">
        <v>43210.733854166669</v>
      </c>
      <c r="B327" s="24">
        <v>1500</v>
      </c>
      <c r="C327" s="24">
        <v>46.2</v>
      </c>
      <c r="D327" s="24" t="s">
        <v>1882</v>
      </c>
      <c r="E327" s="24">
        <v>24.57</v>
      </c>
      <c r="F327" s="24" t="s">
        <v>1883</v>
      </c>
      <c r="G327" s="24">
        <v>114</v>
      </c>
      <c r="H327" s="24" t="s">
        <v>1693</v>
      </c>
      <c r="I327" s="24">
        <v>79.34</v>
      </c>
      <c r="J327" s="24" t="s">
        <v>1884</v>
      </c>
    </row>
    <row r="328" spans="1:10" x14ac:dyDescent="0.15">
      <c r="A328" s="28">
        <v>43210.733888888892</v>
      </c>
      <c r="B328" s="24">
        <v>1500</v>
      </c>
      <c r="C328" s="24">
        <v>47.43</v>
      </c>
      <c r="D328" s="24" t="s">
        <v>1885</v>
      </c>
      <c r="E328" s="24">
        <v>24.51</v>
      </c>
      <c r="F328" s="24" t="s">
        <v>1886</v>
      </c>
      <c r="G328" s="24">
        <v>114.6</v>
      </c>
      <c r="H328" s="24" t="s">
        <v>1887</v>
      </c>
      <c r="I328" s="24">
        <v>91.4</v>
      </c>
      <c r="J328" s="24" t="s">
        <v>1888</v>
      </c>
    </row>
    <row r="329" spans="1:10" x14ac:dyDescent="0.15">
      <c r="A329" s="28">
        <v>43210.733923611115</v>
      </c>
      <c r="B329" s="24">
        <v>1500</v>
      </c>
      <c r="C329" s="24">
        <v>46.26</v>
      </c>
      <c r="D329" s="24" t="s">
        <v>1889</v>
      </c>
      <c r="E329" s="24">
        <v>24.67</v>
      </c>
      <c r="F329" s="24" t="s">
        <v>1890</v>
      </c>
      <c r="G329" s="24">
        <v>116.7</v>
      </c>
      <c r="H329" s="24" t="s">
        <v>1891</v>
      </c>
      <c r="I329" s="24">
        <v>79.510000000000005</v>
      </c>
      <c r="J329" s="24" t="s">
        <v>1892</v>
      </c>
    </row>
    <row r="330" spans="1:10" x14ac:dyDescent="0.15">
      <c r="A330" s="28">
        <v>43210.733958333331</v>
      </c>
      <c r="B330" s="24">
        <v>1500</v>
      </c>
      <c r="C330" s="24">
        <v>48.34</v>
      </c>
      <c r="D330" s="24" t="s">
        <v>1893</v>
      </c>
      <c r="E330" s="24">
        <v>24.7</v>
      </c>
      <c r="F330" s="24" t="s">
        <v>1894</v>
      </c>
      <c r="G330" s="24">
        <v>116.6</v>
      </c>
      <c r="H330" s="24" t="s">
        <v>1895</v>
      </c>
      <c r="I330" s="24">
        <v>82.54</v>
      </c>
      <c r="J330" s="24" t="s">
        <v>1896</v>
      </c>
    </row>
    <row r="331" spans="1:10" x14ac:dyDescent="0.15">
      <c r="A331" s="28">
        <v>43210.733981481484</v>
      </c>
      <c r="B331" s="24">
        <v>1501</v>
      </c>
      <c r="C331" s="24">
        <v>46.59</v>
      </c>
      <c r="D331" s="24" t="s">
        <v>1897</v>
      </c>
      <c r="E331" s="24">
        <v>24.46</v>
      </c>
      <c r="F331" s="24" t="s">
        <v>1898</v>
      </c>
      <c r="G331" s="24">
        <v>116.4</v>
      </c>
      <c r="H331" s="24" t="s">
        <v>1605</v>
      </c>
      <c r="I331" s="24">
        <v>84.25</v>
      </c>
      <c r="J331" s="24" t="s">
        <v>1899</v>
      </c>
    </row>
    <row r="332" spans="1:10" x14ac:dyDescent="0.15">
      <c r="A332" s="28">
        <v>43210.734016203707</v>
      </c>
      <c r="B332" s="24">
        <v>1500</v>
      </c>
      <c r="C332" s="24">
        <v>47.75</v>
      </c>
      <c r="D332" s="24" t="s">
        <v>1900</v>
      </c>
      <c r="E332" s="24">
        <v>25.72</v>
      </c>
      <c r="F332" s="24" t="s">
        <v>1901</v>
      </c>
      <c r="G332" s="24">
        <v>114.8</v>
      </c>
      <c r="H332" s="24" t="s">
        <v>1902</v>
      </c>
      <c r="I332" s="24">
        <v>82.7</v>
      </c>
      <c r="J332" s="24" t="s">
        <v>1903</v>
      </c>
    </row>
    <row r="333" spans="1:10" x14ac:dyDescent="0.15">
      <c r="A333" s="28">
        <v>43210.734050925923</v>
      </c>
      <c r="B333" s="24">
        <v>1501</v>
      </c>
      <c r="C333" s="24">
        <v>46.44</v>
      </c>
      <c r="D333" s="24" t="s">
        <v>1652</v>
      </c>
      <c r="E333" s="24">
        <v>23.28</v>
      </c>
      <c r="F333" s="24" t="s">
        <v>1904</v>
      </c>
      <c r="G333" s="24">
        <v>116.6</v>
      </c>
      <c r="H333" s="24" t="s">
        <v>1645</v>
      </c>
      <c r="I333" s="24">
        <v>83.03</v>
      </c>
      <c r="J333" s="24" t="s">
        <v>1905</v>
      </c>
    </row>
    <row r="334" spans="1:10" x14ac:dyDescent="0.15">
      <c r="A334" s="28">
        <v>43210.734074074076</v>
      </c>
      <c r="B334" s="24">
        <v>1500</v>
      </c>
      <c r="C334" s="24">
        <v>46.7</v>
      </c>
      <c r="D334" s="24" t="s">
        <v>1906</v>
      </c>
      <c r="E334" s="24">
        <v>23.69</v>
      </c>
      <c r="F334" s="24" t="s">
        <v>1907</v>
      </c>
      <c r="G334" s="24">
        <v>114.9</v>
      </c>
      <c r="H334" s="24" t="s">
        <v>1661</v>
      </c>
      <c r="I334" s="24">
        <v>83.28</v>
      </c>
      <c r="J334" s="24" t="s">
        <v>1908</v>
      </c>
    </row>
    <row r="335" spans="1:10" x14ac:dyDescent="0.15">
      <c r="A335" s="28">
        <v>43210.7341087963</v>
      </c>
      <c r="B335" s="24">
        <v>1500</v>
      </c>
      <c r="C335" s="24">
        <v>48.99</v>
      </c>
      <c r="D335" s="24" t="s">
        <v>1423</v>
      </c>
      <c r="E335" s="24">
        <v>24.37</v>
      </c>
      <c r="F335" s="24" t="s">
        <v>1827</v>
      </c>
      <c r="G335" s="24">
        <v>120</v>
      </c>
      <c r="H335" s="24" t="s">
        <v>1557</v>
      </c>
      <c r="I335" s="24">
        <v>80.010000000000005</v>
      </c>
      <c r="J335" s="24" t="s">
        <v>1909</v>
      </c>
    </row>
    <row r="336" spans="1:10" x14ac:dyDescent="0.15">
      <c r="A336" s="28">
        <v>43210.734143518515</v>
      </c>
      <c r="B336" s="24">
        <v>1500</v>
      </c>
      <c r="C336" s="24">
        <v>46.11</v>
      </c>
      <c r="D336" s="24" t="s">
        <v>1910</v>
      </c>
      <c r="E336" s="24">
        <v>23.69</v>
      </c>
      <c r="F336" s="24" t="s">
        <v>1421</v>
      </c>
      <c r="G336" s="24">
        <v>112.7</v>
      </c>
      <c r="H336" s="24" t="s">
        <v>1626</v>
      </c>
      <c r="I336" s="24">
        <v>84.93</v>
      </c>
      <c r="J336" s="24" t="s">
        <v>1911</v>
      </c>
    </row>
    <row r="337" spans="1:10" x14ac:dyDescent="0.15">
      <c r="A337" s="28">
        <v>43210.734166666669</v>
      </c>
      <c r="B337" s="24">
        <v>1500</v>
      </c>
      <c r="C337" s="24">
        <v>49.22</v>
      </c>
      <c r="D337" s="24" t="s">
        <v>1912</v>
      </c>
      <c r="E337" s="24">
        <v>23.79</v>
      </c>
      <c r="F337" s="24" t="s">
        <v>1504</v>
      </c>
      <c r="G337" s="24">
        <v>116.5</v>
      </c>
      <c r="H337" s="24" t="s">
        <v>1895</v>
      </c>
      <c r="I337" s="24">
        <v>81.56</v>
      </c>
      <c r="J337" s="24" t="s">
        <v>1913</v>
      </c>
    </row>
    <row r="338" spans="1:10" x14ac:dyDescent="0.15">
      <c r="A338" s="28">
        <v>43210.734201388892</v>
      </c>
      <c r="B338" s="24">
        <v>1500</v>
      </c>
      <c r="C338" s="24">
        <v>48.2</v>
      </c>
      <c r="D338" s="24" t="s">
        <v>1914</v>
      </c>
      <c r="E338" s="24">
        <v>24.86</v>
      </c>
      <c r="F338" s="24" t="s">
        <v>1915</v>
      </c>
      <c r="G338" s="24">
        <v>115.4</v>
      </c>
      <c r="H338" s="24" t="s">
        <v>1557</v>
      </c>
      <c r="I338" s="24">
        <v>89.94</v>
      </c>
      <c r="J338" s="24" t="s">
        <v>1916</v>
      </c>
    </row>
    <row r="339" spans="1:10" x14ac:dyDescent="0.15">
      <c r="A339" s="28">
        <v>43210.734236111108</v>
      </c>
      <c r="B339" s="24">
        <v>1500</v>
      </c>
      <c r="C339" s="24">
        <v>47.45</v>
      </c>
      <c r="D339" s="24" t="s">
        <v>1917</v>
      </c>
      <c r="E339" s="24">
        <v>25.21</v>
      </c>
      <c r="F339" s="24" t="s">
        <v>1411</v>
      </c>
      <c r="G339" s="24">
        <v>116.8</v>
      </c>
      <c r="H339" s="24" t="s">
        <v>1584</v>
      </c>
      <c r="I339" s="24">
        <v>85.07</v>
      </c>
      <c r="J339" s="24" t="s">
        <v>1918</v>
      </c>
    </row>
    <row r="340" spans="1:10" x14ac:dyDescent="0.15">
      <c r="A340" s="28">
        <v>43210.734259259261</v>
      </c>
      <c r="B340" s="24">
        <v>1501</v>
      </c>
      <c r="C340" s="24">
        <v>47.8</v>
      </c>
      <c r="D340" s="24" t="s">
        <v>1919</v>
      </c>
      <c r="E340" s="24">
        <v>24.36</v>
      </c>
      <c r="F340" s="24" t="s">
        <v>1920</v>
      </c>
      <c r="G340" s="24">
        <v>120.7</v>
      </c>
      <c r="H340" s="24" t="s">
        <v>1645</v>
      </c>
      <c r="I340" s="24">
        <v>82.64</v>
      </c>
      <c r="J340" s="24" t="s">
        <v>1921</v>
      </c>
    </row>
    <row r="341" spans="1:10" x14ac:dyDescent="0.15">
      <c r="A341" s="28">
        <v>43210.734293981484</v>
      </c>
      <c r="B341" s="24">
        <v>1501</v>
      </c>
      <c r="C341" s="24">
        <v>48.41</v>
      </c>
      <c r="D341" s="24" t="s">
        <v>1922</v>
      </c>
      <c r="E341" s="24">
        <v>23.72</v>
      </c>
      <c r="F341" s="24" t="s">
        <v>1923</v>
      </c>
      <c r="G341" s="24">
        <v>118.7</v>
      </c>
      <c r="H341" s="24" t="s">
        <v>1924</v>
      </c>
      <c r="I341" s="24">
        <v>85.02</v>
      </c>
      <c r="J341" s="24" t="s">
        <v>1925</v>
      </c>
    </row>
    <row r="342" spans="1:10" x14ac:dyDescent="0.15">
      <c r="A342" s="28">
        <v>43210.7343287037</v>
      </c>
      <c r="B342" s="24">
        <v>1501</v>
      </c>
      <c r="C342" s="24">
        <v>49.45</v>
      </c>
      <c r="D342" s="24" t="s">
        <v>1723</v>
      </c>
      <c r="E342" s="24">
        <v>24.44</v>
      </c>
      <c r="F342" s="24" t="s">
        <v>1303</v>
      </c>
      <c r="G342" s="24">
        <v>120.5</v>
      </c>
      <c r="H342" s="24" t="s">
        <v>1605</v>
      </c>
      <c r="I342" s="24">
        <v>82.53</v>
      </c>
      <c r="J342" s="24" t="s">
        <v>1926</v>
      </c>
    </row>
    <row r="343" spans="1:10" x14ac:dyDescent="0.15">
      <c r="A343" s="28">
        <v>43210.734351851854</v>
      </c>
      <c r="B343" s="24">
        <v>1501</v>
      </c>
      <c r="C343" s="24">
        <v>47.17</v>
      </c>
      <c r="D343" s="24" t="s">
        <v>1927</v>
      </c>
      <c r="E343" s="24">
        <v>24.17</v>
      </c>
      <c r="F343" s="24" t="s">
        <v>1928</v>
      </c>
      <c r="G343" s="24">
        <v>120.7</v>
      </c>
      <c r="H343" s="24" t="s">
        <v>1699</v>
      </c>
      <c r="I343" s="24">
        <v>80.97</v>
      </c>
      <c r="J343" s="24" t="s">
        <v>1929</v>
      </c>
    </row>
    <row r="344" spans="1:10" x14ac:dyDescent="0.15">
      <c r="A344" s="28">
        <v>43210.734386574077</v>
      </c>
      <c r="B344" s="24">
        <v>1501</v>
      </c>
      <c r="C344" s="24">
        <v>46.64</v>
      </c>
      <c r="D344" s="24" t="s">
        <v>1930</v>
      </c>
      <c r="E344" s="24">
        <v>23.79</v>
      </c>
      <c r="F344" s="24" t="s">
        <v>1931</v>
      </c>
      <c r="G344" s="24">
        <v>114.9</v>
      </c>
      <c r="H344" s="24" t="s">
        <v>1683</v>
      </c>
      <c r="I344" s="24">
        <v>83.8</v>
      </c>
      <c r="J344" s="24" t="s">
        <v>1932</v>
      </c>
    </row>
    <row r="345" spans="1:10" x14ac:dyDescent="0.15">
      <c r="A345" s="28">
        <v>43210.7344212963</v>
      </c>
      <c r="B345" s="24">
        <v>1501</v>
      </c>
      <c r="C345" s="24">
        <v>47.75</v>
      </c>
      <c r="D345" s="24" t="s">
        <v>1840</v>
      </c>
      <c r="E345" s="24">
        <v>23.83</v>
      </c>
      <c r="F345" s="24" t="s">
        <v>1933</v>
      </c>
      <c r="G345" s="24">
        <v>117.8</v>
      </c>
      <c r="H345" s="24" t="s">
        <v>1683</v>
      </c>
      <c r="I345" s="24">
        <v>80.39</v>
      </c>
      <c r="J345" s="24" t="s">
        <v>1934</v>
      </c>
    </row>
    <row r="346" spans="1:10" x14ac:dyDescent="0.15">
      <c r="A346" s="28">
        <v>43210.734456018516</v>
      </c>
      <c r="B346" s="24">
        <v>1486</v>
      </c>
      <c r="C346" s="24">
        <v>47.26</v>
      </c>
      <c r="D346" s="24" t="s">
        <v>1935</v>
      </c>
      <c r="E346" s="24">
        <v>22.43</v>
      </c>
      <c r="F346" s="24" t="s">
        <v>1936</v>
      </c>
      <c r="G346" s="24">
        <v>113.6</v>
      </c>
      <c r="H346" s="24" t="s">
        <v>1937</v>
      </c>
      <c r="I346" s="24">
        <v>78.31</v>
      </c>
      <c r="J346" s="24" t="s">
        <v>1938</v>
      </c>
    </row>
    <row r="347" spans="1:10" x14ac:dyDescent="0.15">
      <c r="A347" s="28">
        <v>43210.734467592592</v>
      </c>
      <c r="B347" s="24">
        <v>1470</v>
      </c>
      <c r="C347" s="24">
        <v>44.91</v>
      </c>
      <c r="D347" s="24" t="s">
        <v>1939</v>
      </c>
      <c r="E347" s="24">
        <v>20.63</v>
      </c>
      <c r="F347" s="24" t="s">
        <v>1940</v>
      </c>
      <c r="G347" s="24">
        <v>107.8</v>
      </c>
      <c r="H347" s="24" t="s">
        <v>1941</v>
      </c>
      <c r="I347" s="24">
        <v>79.37</v>
      </c>
      <c r="J347" s="24" t="s">
        <v>1942</v>
      </c>
    </row>
    <row r="348" spans="1:10" x14ac:dyDescent="0.15">
      <c r="A348" s="28">
        <v>43210.734479166669</v>
      </c>
      <c r="B348" s="24">
        <v>1455</v>
      </c>
      <c r="C348" s="24">
        <v>41.57</v>
      </c>
      <c r="D348" s="24" t="s">
        <v>1943</v>
      </c>
      <c r="E348" s="24">
        <v>19.87</v>
      </c>
      <c r="F348" s="24" t="s">
        <v>1944</v>
      </c>
      <c r="G348" s="24">
        <v>98.36</v>
      </c>
      <c r="H348" s="24" t="s">
        <v>1945</v>
      </c>
      <c r="I348" s="24">
        <v>77.08</v>
      </c>
      <c r="J348" s="24" t="s">
        <v>1946</v>
      </c>
    </row>
    <row r="349" spans="1:10" x14ac:dyDescent="0.15">
      <c r="A349" s="28">
        <v>43210.734490740739</v>
      </c>
      <c r="B349" s="24">
        <v>1440</v>
      </c>
      <c r="C349" s="24">
        <v>40.270000000000003</v>
      </c>
      <c r="D349" s="24" t="s">
        <v>1947</v>
      </c>
      <c r="E349" s="24">
        <v>18.36</v>
      </c>
      <c r="F349" s="24" t="s">
        <v>1948</v>
      </c>
      <c r="G349" s="24">
        <v>95.71</v>
      </c>
      <c r="H349" s="24" t="s">
        <v>1949</v>
      </c>
      <c r="I349" s="24">
        <v>73.069999999999993</v>
      </c>
      <c r="J349" s="24" t="s">
        <v>1950</v>
      </c>
    </row>
    <row r="350" spans="1:10" x14ac:dyDescent="0.15">
      <c r="A350" s="28">
        <v>43210.734502314815</v>
      </c>
      <c r="B350" s="24">
        <v>1425</v>
      </c>
      <c r="C350" s="24">
        <v>36.229999999999997</v>
      </c>
      <c r="D350" s="24" t="s">
        <v>1951</v>
      </c>
      <c r="E350" s="24">
        <v>16.86</v>
      </c>
      <c r="F350" s="24" t="s">
        <v>1952</v>
      </c>
      <c r="G350" s="24">
        <v>87.43</v>
      </c>
      <c r="H350" s="24" t="s">
        <v>1953</v>
      </c>
      <c r="I350" s="24">
        <v>71.41</v>
      </c>
      <c r="J350" s="24" t="s">
        <v>1954</v>
      </c>
    </row>
    <row r="351" spans="1:10" x14ac:dyDescent="0.15">
      <c r="A351" s="28">
        <v>43210.734513888892</v>
      </c>
      <c r="B351" s="24">
        <v>1411</v>
      </c>
      <c r="C351" s="24">
        <v>32.75</v>
      </c>
      <c r="D351" s="24" t="s">
        <v>1955</v>
      </c>
      <c r="E351" s="24">
        <v>15.38</v>
      </c>
      <c r="F351" s="24" t="s">
        <v>1956</v>
      </c>
      <c r="G351" s="24">
        <v>80.11</v>
      </c>
      <c r="H351" s="24" t="s">
        <v>1957</v>
      </c>
      <c r="I351" s="24">
        <v>80.45</v>
      </c>
      <c r="J351" s="24" t="s">
        <v>1958</v>
      </c>
    </row>
    <row r="352" spans="1:10" x14ac:dyDescent="0.15">
      <c r="A352" s="28">
        <v>43210.734525462962</v>
      </c>
      <c r="B352" s="24">
        <v>1397</v>
      </c>
      <c r="C352" s="24">
        <v>28.56</v>
      </c>
      <c r="D352" s="24" t="s">
        <v>1959</v>
      </c>
      <c r="E352" s="24">
        <v>11.38</v>
      </c>
      <c r="F352" s="24" t="s">
        <v>1960</v>
      </c>
      <c r="G352" s="24">
        <v>74.34</v>
      </c>
      <c r="H352" s="24" t="s">
        <v>1961</v>
      </c>
      <c r="I352" s="24">
        <v>66.040000000000006</v>
      </c>
      <c r="J352" s="24" t="s">
        <v>1962</v>
      </c>
    </row>
    <row r="353" spans="1:10" x14ac:dyDescent="0.15">
      <c r="A353" s="28">
        <v>43210.734537037039</v>
      </c>
      <c r="B353" s="24">
        <v>1384</v>
      </c>
      <c r="C353" s="24">
        <v>26.69</v>
      </c>
      <c r="D353" s="24" t="s">
        <v>1963</v>
      </c>
      <c r="E353" s="24">
        <v>9.92</v>
      </c>
      <c r="F353" s="24" t="s">
        <v>1964</v>
      </c>
      <c r="G353" s="24">
        <v>67.260000000000005</v>
      </c>
      <c r="H353" s="24" t="s">
        <v>1965</v>
      </c>
      <c r="I353" s="24">
        <v>69.28</v>
      </c>
      <c r="J353" s="24" t="s">
        <v>1966</v>
      </c>
    </row>
    <row r="354" spans="1:10" x14ac:dyDescent="0.15">
      <c r="A354" s="28">
        <v>43210.734548611108</v>
      </c>
      <c r="B354" s="24">
        <v>1370</v>
      </c>
      <c r="C354" s="24">
        <v>29.8</v>
      </c>
      <c r="D354" s="24" t="s">
        <v>1967</v>
      </c>
      <c r="E354" s="24">
        <v>10.54</v>
      </c>
      <c r="F354" s="24" t="s">
        <v>1968</v>
      </c>
      <c r="G354" s="24">
        <v>61.93</v>
      </c>
      <c r="H354" s="24" t="s">
        <v>1969</v>
      </c>
      <c r="I354" s="24">
        <v>72.98</v>
      </c>
      <c r="J354" s="24" t="s">
        <v>1970</v>
      </c>
    </row>
    <row r="355" spans="1:10" x14ac:dyDescent="0.15">
      <c r="A355" s="28">
        <v>43210.734560185185</v>
      </c>
      <c r="B355" s="24">
        <v>1358</v>
      </c>
      <c r="C355" s="24">
        <v>45.95</v>
      </c>
      <c r="D355" s="24" t="s">
        <v>1971</v>
      </c>
      <c r="E355" s="24">
        <v>14.32</v>
      </c>
      <c r="F355" s="24" t="s">
        <v>1972</v>
      </c>
      <c r="G355" s="24">
        <v>75.81</v>
      </c>
      <c r="H355" s="24" t="s">
        <v>1973</v>
      </c>
      <c r="I355" s="24">
        <v>60.28</v>
      </c>
      <c r="J355" s="24" t="s">
        <v>1974</v>
      </c>
    </row>
    <row r="356" spans="1:10" x14ac:dyDescent="0.15">
      <c r="A356" s="28">
        <v>43210.734571759262</v>
      </c>
      <c r="B356" s="24">
        <v>1345</v>
      </c>
      <c r="C356" s="24">
        <v>47.92</v>
      </c>
      <c r="D356" s="24" t="s">
        <v>1975</v>
      </c>
      <c r="E356" s="24">
        <v>13.31</v>
      </c>
      <c r="F356" s="24" t="s">
        <v>1976</v>
      </c>
      <c r="G356" s="24">
        <v>82.1</v>
      </c>
      <c r="H356" s="24" t="s">
        <v>1977</v>
      </c>
      <c r="I356" s="24">
        <v>53.49</v>
      </c>
      <c r="J356" s="24" t="s">
        <v>1978</v>
      </c>
    </row>
    <row r="357" spans="1:10" x14ac:dyDescent="0.15">
      <c r="A357" s="28">
        <v>43210.734583333331</v>
      </c>
      <c r="B357" s="24">
        <v>1332</v>
      </c>
      <c r="C357" s="24">
        <v>43.82</v>
      </c>
      <c r="D357" s="24" t="s">
        <v>1979</v>
      </c>
      <c r="E357" s="24">
        <v>11.49</v>
      </c>
      <c r="F357" s="24" t="s">
        <v>1980</v>
      </c>
      <c r="G357" s="24">
        <v>75.8</v>
      </c>
      <c r="H357" s="24" t="s">
        <v>1981</v>
      </c>
      <c r="I357" s="24">
        <v>55.82</v>
      </c>
      <c r="J357" s="24" t="s">
        <v>1982</v>
      </c>
    </row>
    <row r="358" spans="1:10" x14ac:dyDescent="0.15">
      <c r="A358" s="28">
        <v>43210.734594907408</v>
      </c>
      <c r="B358" s="24">
        <v>1320</v>
      </c>
      <c r="C358" s="24">
        <v>41.55</v>
      </c>
      <c r="D358" s="24" t="s">
        <v>1983</v>
      </c>
      <c r="E358" s="24">
        <v>10.31</v>
      </c>
      <c r="F358" s="24" t="s">
        <v>1984</v>
      </c>
      <c r="G358" s="24">
        <v>74.41</v>
      </c>
      <c r="H358" s="24" t="s">
        <v>1985</v>
      </c>
      <c r="I358" s="24">
        <v>68.38</v>
      </c>
      <c r="J358" s="24" t="s">
        <v>1986</v>
      </c>
    </row>
    <row r="359" spans="1:10" x14ac:dyDescent="0.15">
      <c r="A359" s="28">
        <v>43210.734606481485</v>
      </c>
      <c r="B359" s="24">
        <v>1308</v>
      </c>
      <c r="C359" s="24">
        <v>43.89</v>
      </c>
      <c r="D359" s="24" t="s">
        <v>1987</v>
      </c>
      <c r="E359" s="24">
        <v>9.89</v>
      </c>
      <c r="F359" s="24" t="s">
        <v>1988</v>
      </c>
      <c r="G359" s="24">
        <v>73.5</v>
      </c>
      <c r="H359" s="24" t="s">
        <v>1989</v>
      </c>
      <c r="I359" s="24">
        <v>53.27</v>
      </c>
      <c r="J359" s="24" t="s">
        <v>1990</v>
      </c>
    </row>
    <row r="360" spans="1:10" x14ac:dyDescent="0.15">
      <c r="A360" s="28">
        <v>43210.734618055554</v>
      </c>
      <c r="B360" s="24">
        <v>1296</v>
      </c>
      <c r="C360" s="24">
        <v>42.37</v>
      </c>
      <c r="D360" s="24" t="s">
        <v>1991</v>
      </c>
      <c r="E360" s="24">
        <v>9.5399999999999991</v>
      </c>
      <c r="F360" s="24" t="s">
        <v>1992</v>
      </c>
      <c r="G360" s="24">
        <v>71.34</v>
      </c>
      <c r="H360" s="24" t="s">
        <v>1993</v>
      </c>
      <c r="I360" s="24">
        <v>49.55</v>
      </c>
      <c r="J360" s="24" t="s">
        <v>1994</v>
      </c>
    </row>
    <row r="361" spans="1:10" x14ac:dyDescent="0.15">
      <c r="A361" s="28">
        <v>43210.734629629631</v>
      </c>
      <c r="B361" s="24">
        <v>1284</v>
      </c>
      <c r="C361" s="24">
        <v>42.66</v>
      </c>
      <c r="D361" s="24" t="s">
        <v>1995</v>
      </c>
      <c r="E361" s="24">
        <v>10.130000000000001</v>
      </c>
      <c r="F361" s="24" t="s">
        <v>1996</v>
      </c>
      <c r="G361" s="24">
        <v>70.510000000000005</v>
      </c>
      <c r="H361" s="24" t="s">
        <v>1997</v>
      </c>
      <c r="I361" s="24">
        <v>49.7</v>
      </c>
      <c r="J361" s="24" t="s">
        <v>1998</v>
      </c>
    </row>
    <row r="362" spans="1:10" x14ac:dyDescent="0.15">
      <c r="A362" s="28">
        <v>43210.7346412037</v>
      </c>
      <c r="B362" s="24">
        <v>1273</v>
      </c>
      <c r="C362" s="24">
        <v>42.57</v>
      </c>
      <c r="D362" s="24" t="s">
        <v>1999</v>
      </c>
      <c r="E362" s="24">
        <v>9.99</v>
      </c>
      <c r="F362" s="24" t="s">
        <v>2000</v>
      </c>
      <c r="G362" s="24">
        <v>70.25</v>
      </c>
      <c r="H362" s="24" t="s">
        <v>2001</v>
      </c>
      <c r="I362" s="24">
        <v>85.22</v>
      </c>
      <c r="J362" s="24" t="s">
        <v>2002</v>
      </c>
    </row>
    <row r="363" spans="1:10" x14ac:dyDescent="0.15">
      <c r="A363" s="28">
        <v>43210.734652777777</v>
      </c>
      <c r="B363" s="24">
        <v>1251</v>
      </c>
      <c r="C363" s="24">
        <v>42.95</v>
      </c>
      <c r="D363" s="24" t="s">
        <v>2003</v>
      </c>
      <c r="E363" s="24">
        <v>8.69</v>
      </c>
      <c r="F363" s="24" t="s">
        <v>2004</v>
      </c>
      <c r="G363" s="24">
        <v>63.97</v>
      </c>
      <c r="H363" s="24" t="s">
        <v>2005</v>
      </c>
      <c r="I363" s="24">
        <v>57</v>
      </c>
      <c r="J363" s="24" t="s">
        <v>2006</v>
      </c>
    </row>
    <row r="364" spans="1:10" x14ac:dyDescent="0.15">
      <c r="A364" s="28">
        <v>43210.734664351854</v>
      </c>
      <c r="B364" s="24">
        <v>1240</v>
      </c>
      <c r="C364" s="24">
        <v>44.98</v>
      </c>
      <c r="D364" s="24" t="s">
        <v>2007</v>
      </c>
      <c r="E364" s="24">
        <v>8.19</v>
      </c>
      <c r="F364" s="24" t="s">
        <v>2008</v>
      </c>
      <c r="G364" s="24">
        <v>63.46</v>
      </c>
      <c r="H364" s="24" t="s">
        <v>2009</v>
      </c>
      <c r="I364" s="24">
        <v>44.1</v>
      </c>
      <c r="J364" s="24" t="s">
        <v>2010</v>
      </c>
    </row>
    <row r="365" spans="1:10" x14ac:dyDescent="0.15">
      <c r="A365" s="28">
        <v>43210.734675925924</v>
      </c>
      <c r="B365" s="24">
        <v>1229</v>
      </c>
      <c r="C365" s="24">
        <v>44.36</v>
      </c>
      <c r="D365" s="24" t="s">
        <v>2011</v>
      </c>
      <c r="E365" s="24">
        <v>7.4</v>
      </c>
      <c r="F365" s="24" t="s">
        <v>2012</v>
      </c>
      <c r="G365" s="24">
        <v>60.87</v>
      </c>
      <c r="H365" s="24" t="s">
        <v>2013</v>
      </c>
      <c r="I365" s="24">
        <v>46.78</v>
      </c>
      <c r="J365" s="24" t="s">
        <v>2014</v>
      </c>
    </row>
    <row r="366" spans="1:10" x14ac:dyDescent="0.15">
      <c r="A366" s="28">
        <v>43210.7346875</v>
      </c>
      <c r="B366" s="24">
        <v>1219</v>
      </c>
      <c r="C366" s="24">
        <v>43.82</v>
      </c>
      <c r="D366" s="24" t="s">
        <v>2015</v>
      </c>
      <c r="E366" s="24">
        <v>6.95</v>
      </c>
      <c r="F366" s="24" t="s">
        <v>2016</v>
      </c>
      <c r="G366" s="24">
        <v>57.51</v>
      </c>
      <c r="H366" s="24" t="s">
        <v>2017</v>
      </c>
      <c r="I366" s="24">
        <v>42.92</v>
      </c>
      <c r="J366" s="24" t="s">
        <v>2018</v>
      </c>
    </row>
    <row r="367" spans="1:10" x14ac:dyDescent="0.15">
      <c r="A367" s="28">
        <v>43210.734699074077</v>
      </c>
      <c r="B367" s="24">
        <v>1208</v>
      </c>
      <c r="C367" s="24">
        <v>43.41</v>
      </c>
      <c r="D367" s="24" t="s">
        <v>2019</v>
      </c>
      <c r="E367" s="24">
        <v>7.02</v>
      </c>
      <c r="F367" s="24" t="s">
        <v>2020</v>
      </c>
      <c r="G367" s="24">
        <v>54.97</v>
      </c>
      <c r="H367" s="24" t="s">
        <v>2021</v>
      </c>
      <c r="I367" s="24">
        <v>61.21</v>
      </c>
      <c r="J367" s="24" t="s">
        <v>2022</v>
      </c>
    </row>
    <row r="368" spans="1:10" x14ac:dyDescent="0.15">
      <c r="A368" s="28">
        <v>43210.734710648147</v>
      </c>
      <c r="B368" s="24">
        <v>1198</v>
      </c>
      <c r="C368" s="24">
        <v>43.5</v>
      </c>
      <c r="D368" s="24" t="s">
        <v>2023</v>
      </c>
      <c r="E368" s="24">
        <v>7.18</v>
      </c>
      <c r="F368" s="24" t="s">
        <v>2024</v>
      </c>
      <c r="G368" s="24">
        <v>55.11</v>
      </c>
      <c r="H368" s="24" t="s">
        <v>2025</v>
      </c>
      <c r="I368" s="24">
        <v>55.04</v>
      </c>
      <c r="J368" s="24" t="s">
        <v>2026</v>
      </c>
    </row>
    <row r="369" spans="1:10" x14ac:dyDescent="0.15">
      <c r="A369" s="28">
        <v>43210.734722222223</v>
      </c>
      <c r="B369" s="24">
        <v>1187</v>
      </c>
      <c r="C369" s="24">
        <v>43.3</v>
      </c>
      <c r="D369" s="24" t="s">
        <v>2027</v>
      </c>
      <c r="E369" s="24">
        <v>7.11</v>
      </c>
      <c r="F369" s="24" t="s">
        <v>2028</v>
      </c>
      <c r="G369" s="24">
        <v>53.09</v>
      </c>
      <c r="H369" s="24" t="s">
        <v>2029</v>
      </c>
      <c r="I369" s="24">
        <v>61.63</v>
      </c>
      <c r="J369" s="24" t="s">
        <v>2030</v>
      </c>
    </row>
    <row r="370" spans="1:10" x14ac:dyDescent="0.15">
      <c r="A370" s="28">
        <v>43210.734733796293</v>
      </c>
      <c r="B370" s="24">
        <v>1177</v>
      </c>
      <c r="C370" s="24">
        <v>43.1</v>
      </c>
      <c r="D370" s="24" t="s">
        <v>2031</v>
      </c>
      <c r="E370" s="24">
        <v>6.98</v>
      </c>
      <c r="F370" s="24" t="s">
        <v>2032</v>
      </c>
      <c r="G370" s="24">
        <v>52.55</v>
      </c>
      <c r="H370" s="24" t="s">
        <v>2033</v>
      </c>
      <c r="I370" s="24">
        <v>76.31</v>
      </c>
      <c r="J370" s="24" t="s">
        <v>2034</v>
      </c>
    </row>
    <row r="371" spans="1:10" x14ac:dyDescent="0.15">
      <c r="A371" s="28">
        <v>43210.734768518516</v>
      </c>
      <c r="B371" s="24">
        <v>1150</v>
      </c>
      <c r="C371" s="24">
        <v>43.21</v>
      </c>
      <c r="D371" s="24" t="s">
        <v>2035</v>
      </c>
      <c r="E371" s="24">
        <v>16.41</v>
      </c>
      <c r="F371" s="24" t="s">
        <v>2036</v>
      </c>
      <c r="G371" s="24">
        <v>52.75</v>
      </c>
      <c r="H371" s="24" t="s">
        <v>2037</v>
      </c>
      <c r="I371" s="24">
        <v>61.05</v>
      </c>
      <c r="J371" s="24" t="s">
        <v>2038</v>
      </c>
    </row>
    <row r="372" spans="1:10" x14ac:dyDescent="0.15">
      <c r="A372" s="28">
        <v>43210.734791666669</v>
      </c>
      <c r="B372" s="24">
        <v>1138</v>
      </c>
      <c r="C372" s="24">
        <v>40.07</v>
      </c>
      <c r="D372" s="24" t="s">
        <v>2039</v>
      </c>
      <c r="E372" s="24">
        <v>8.83</v>
      </c>
      <c r="F372" s="24" t="s">
        <v>2040</v>
      </c>
      <c r="G372" s="24">
        <v>49.58</v>
      </c>
      <c r="H372" s="24" t="s">
        <v>2041</v>
      </c>
      <c r="I372" s="24">
        <v>62.98</v>
      </c>
      <c r="J372" s="24" t="s">
        <v>2042</v>
      </c>
    </row>
    <row r="373" spans="1:10" x14ac:dyDescent="0.15">
      <c r="A373" s="28">
        <v>43210.734803240739</v>
      </c>
      <c r="B373" s="24">
        <v>1126</v>
      </c>
      <c r="C373" s="24">
        <v>39.869999999999997</v>
      </c>
      <c r="D373" s="24" t="s">
        <v>2043</v>
      </c>
      <c r="E373" s="24">
        <v>6.95</v>
      </c>
      <c r="F373" s="24" t="s">
        <v>2044</v>
      </c>
      <c r="G373" s="24">
        <v>44.99</v>
      </c>
      <c r="H373" s="24" t="s">
        <v>2045</v>
      </c>
      <c r="I373" s="24">
        <v>60.97</v>
      </c>
      <c r="J373" s="24" t="s">
        <v>2046</v>
      </c>
    </row>
    <row r="374" spans="1:10" x14ac:dyDescent="0.15">
      <c r="A374" s="28">
        <v>43210.734814814816</v>
      </c>
      <c r="B374" s="24">
        <v>1114</v>
      </c>
      <c r="C374" s="24">
        <v>38.119999999999997</v>
      </c>
      <c r="D374" s="24" t="s">
        <v>2047</v>
      </c>
      <c r="E374" s="24">
        <v>6.96</v>
      </c>
      <c r="F374" s="24" t="s">
        <v>2048</v>
      </c>
      <c r="G374" s="24">
        <v>42.24</v>
      </c>
      <c r="H374" s="24" t="s">
        <v>2049</v>
      </c>
      <c r="I374" s="24">
        <v>48.66</v>
      </c>
      <c r="J374" s="24" t="s">
        <v>2050</v>
      </c>
    </row>
    <row r="375" spans="1:10" x14ac:dyDescent="0.15">
      <c r="A375" s="28">
        <v>43210.734826388885</v>
      </c>
      <c r="B375" s="24">
        <v>1102</v>
      </c>
      <c r="C375" s="24">
        <v>38.979999999999997</v>
      </c>
      <c r="D375" s="24" t="s">
        <v>2051</v>
      </c>
      <c r="E375" s="24">
        <v>6.06</v>
      </c>
      <c r="F375" s="24" t="s">
        <v>2052</v>
      </c>
      <c r="G375" s="24">
        <v>41.75</v>
      </c>
      <c r="H375" s="24" t="s">
        <v>2053</v>
      </c>
      <c r="I375" s="24">
        <v>67.11</v>
      </c>
      <c r="J375" s="24" t="s">
        <v>2054</v>
      </c>
    </row>
    <row r="376" spans="1:10" x14ac:dyDescent="0.15">
      <c r="A376" s="28">
        <v>43210.734849537039</v>
      </c>
      <c r="B376" s="24">
        <v>1091</v>
      </c>
      <c r="C376" s="24">
        <v>37.729999999999997</v>
      </c>
      <c r="D376" s="24" t="s">
        <v>2055</v>
      </c>
      <c r="E376" s="24">
        <v>6.91</v>
      </c>
      <c r="F376" s="24" t="s">
        <v>2056</v>
      </c>
      <c r="G376" s="24">
        <v>39.96</v>
      </c>
      <c r="H376" s="24" t="s">
        <v>2057</v>
      </c>
      <c r="I376" s="24">
        <v>76.849999999999994</v>
      </c>
      <c r="J376" s="24" t="s">
        <v>2058</v>
      </c>
    </row>
    <row r="377" spans="1:10" x14ac:dyDescent="0.15">
      <c r="A377" s="28">
        <v>43210.734861111108</v>
      </c>
      <c r="B377" s="24">
        <v>1080</v>
      </c>
      <c r="C377" s="24">
        <v>37.81</v>
      </c>
      <c r="D377" s="24" t="s">
        <v>2059</v>
      </c>
      <c r="E377" s="24">
        <v>7.15</v>
      </c>
      <c r="F377" s="24" t="s">
        <v>2060</v>
      </c>
      <c r="G377" s="24">
        <v>37.96</v>
      </c>
      <c r="H377" s="24" t="s">
        <v>2061</v>
      </c>
      <c r="I377" s="24">
        <v>75.069999999999993</v>
      </c>
      <c r="J377" s="24" t="s">
        <v>2062</v>
      </c>
    </row>
    <row r="378" spans="1:10" x14ac:dyDescent="0.15">
      <c r="A378" s="28">
        <v>43210.734872685185</v>
      </c>
      <c r="B378" s="24">
        <v>1069</v>
      </c>
      <c r="C378" s="24">
        <v>37.58</v>
      </c>
      <c r="D378" s="24" t="s">
        <v>2063</v>
      </c>
      <c r="E378" s="24">
        <v>7.72</v>
      </c>
      <c r="F378" s="24" t="s">
        <v>2064</v>
      </c>
      <c r="G378" s="24">
        <v>36.75</v>
      </c>
      <c r="H378" s="24" t="s">
        <v>2065</v>
      </c>
      <c r="I378" s="24">
        <v>74.7</v>
      </c>
      <c r="J378" s="24" t="s">
        <v>2066</v>
      </c>
    </row>
    <row r="379" spans="1:10" x14ac:dyDescent="0.15">
      <c r="A379" s="28">
        <v>43210.734895833331</v>
      </c>
      <c r="B379" s="24">
        <v>1058</v>
      </c>
      <c r="C379" s="24">
        <v>37.299999999999997</v>
      </c>
      <c r="D379" s="24" t="s">
        <v>2067</v>
      </c>
      <c r="E379" s="24">
        <v>8.2899999999999991</v>
      </c>
      <c r="F379" s="24" t="s">
        <v>2068</v>
      </c>
      <c r="G379" s="24">
        <v>36.020000000000003</v>
      </c>
      <c r="H379" s="24" t="s">
        <v>2069</v>
      </c>
      <c r="I379" s="24">
        <v>66.72</v>
      </c>
      <c r="J379" s="24" t="s">
        <v>2070</v>
      </c>
    </row>
    <row r="380" spans="1:10" x14ac:dyDescent="0.15">
      <c r="A380" s="28">
        <v>43210.734907407408</v>
      </c>
      <c r="B380" s="24">
        <v>1047</v>
      </c>
      <c r="C380" s="24">
        <v>36.14</v>
      </c>
      <c r="D380" s="24" t="s">
        <v>2071</v>
      </c>
      <c r="E380" s="24">
        <v>9.31</v>
      </c>
      <c r="F380" s="24" t="s">
        <v>2072</v>
      </c>
      <c r="G380" s="24">
        <v>33.880000000000003</v>
      </c>
      <c r="H380" s="24" t="s">
        <v>2073</v>
      </c>
      <c r="I380" s="24">
        <v>82.5</v>
      </c>
      <c r="J380" s="24" t="s">
        <v>2074</v>
      </c>
    </row>
    <row r="381" spans="1:10" x14ac:dyDescent="0.15">
      <c r="A381" s="28">
        <v>43210.734918981485</v>
      </c>
      <c r="B381" s="24">
        <v>1037</v>
      </c>
      <c r="C381" s="24">
        <v>36.26</v>
      </c>
      <c r="D381" s="24" t="s">
        <v>2075</v>
      </c>
      <c r="E381" s="24">
        <v>10.02</v>
      </c>
      <c r="F381" s="24" t="s">
        <v>2076</v>
      </c>
      <c r="G381" s="24">
        <v>33.01</v>
      </c>
      <c r="H381" s="24" t="s">
        <v>2077</v>
      </c>
      <c r="I381" s="24">
        <v>81.11</v>
      </c>
      <c r="J381" s="24" t="s">
        <v>2078</v>
      </c>
    </row>
    <row r="382" spans="1:10" x14ac:dyDescent="0.15">
      <c r="A382" s="28">
        <v>43210.734930555554</v>
      </c>
      <c r="B382" s="24">
        <v>1027</v>
      </c>
      <c r="C382" s="24">
        <v>35.590000000000003</v>
      </c>
      <c r="D382" s="24" t="s">
        <v>2079</v>
      </c>
      <c r="E382" s="24">
        <v>10.47</v>
      </c>
      <c r="F382" s="24" t="s">
        <v>2080</v>
      </c>
      <c r="G382" s="24">
        <v>31.31</v>
      </c>
      <c r="H382" s="24" t="s">
        <v>2081</v>
      </c>
      <c r="I382" s="24">
        <v>81.39</v>
      </c>
      <c r="J382" s="24" t="s">
        <v>2082</v>
      </c>
    </row>
    <row r="383" spans="1:10" x14ac:dyDescent="0.15">
      <c r="A383" s="28">
        <v>43210.734965277778</v>
      </c>
      <c r="B383" s="24">
        <v>1007</v>
      </c>
      <c r="C383" s="24">
        <v>35</v>
      </c>
      <c r="D383" s="24" t="s">
        <v>2083</v>
      </c>
      <c r="E383" s="24">
        <v>11.43</v>
      </c>
      <c r="F383" s="24" t="s">
        <v>2084</v>
      </c>
      <c r="G383" s="24">
        <v>28.17</v>
      </c>
      <c r="H383" s="24" t="s">
        <v>2085</v>
      </c>
      <c r="I383" s="24">
        <v>73.34</v>
      </c>
      <c r="J383" s="24" t="s">
        <v>2086</v>
      </c>
    </row>
    <row r="384" spans="1:10" x14ac:dyDescent="0.15">
      <c r="A384" s="28">
        <v>43210.734988425924</v>
      </c>
      <c r="B384" s="24">
        <v>988</v>
      </c>
      <c r="C384" s="24">
        <v>37.200000000000003</v>
      </c>
      <c r="D384" s="24" t="s">
        <v>2087</v>
      </c>
      <c r="E384" s="24">
        <v>13.55</v>
      </c>
      <c r="F384" s="24" t="s">
        <v>2088</v>
      </c>
      <c r="G384" s="24">
        <v>25.73</v>
      </c>
      <c r="H384" s="24" t="s">
        <v>2089</v>
      </c>
      <c r="I384" s="24">
        <v>68.03</v>
      </c>
      <c r="J384" s="24" t="s">
        <v>2090</v>
      </c>
    </row>
    <row r="385" spans="1:10" x14ac:dyDescent="0.15">
      <c r="A385" s="28">
        <v>43210.735011574077</v>
      </c>
      <c r="B385" s="24">
        <v>979</v>
      </c>
      <c r="C385" s="24">
        <v>37.130000000000003</v>
      </c>
      <c r="D385" s="24" t="s">
        <v>2091</v>
      </c>
      <c r="E385" s="24">
        <v>15.28</v>
      </c>
      <c r="F385" s="24" t="s">
        <v>2092</v>
      </c>
      <c r="G385" s="24">
        <v>24.12</v>
      </c>
      <c r="H385" s="24" t="s">
        <v>2093</v>
      </c>
      <c r="I385" s="24">
        <v>52.62</v>
      </c>
      <c r="J385" s="24" t="s">
        <v>2094</v>
      </c>
    </row>
    <row r="386" spans="1:10" x14ac:dyDescent="0.15">
      <c r="A386" s="28">
        <v>43210.735034722224</v>
      </c>
      <c r="B386" s="24">
        <v>960.9</v>
      </c>
      <c r="C386" s="24">
        <v>39.65</v>
      </c>
      <c r="D386" s="24" t="s">
        <v>2095</v>
      </c>
      <c r="E386" s="24">
        <v>20.239999999999998</v>
      </c>
      <c r="F386" s="24" t="s">
        <v>2096</v>
      </c>
      <c r="G386" s="24">
        <v>21.42</v>
      </c>
      <c r="H386" s="24" t="s">
        <v>2097</v>
      </c>
      <c r="I386" s="24">
        <v>63.76</v>
      </c>
      <c r="J386" s="24" t="s">
        <v>2098</v>
      </c>
    </row>
    <row r="387" spans="1:10" x14ac:dyDescent="0.15">
      <c r="A387" s="28">
        <v>43210.735069444447</v>
      </c>
      <c r="B387" s="24">
        <v>943.5</v>
      </c>
      <c r="C387" s="24">
        <v>39.200000000000003</v>
      </c>
      <c r="D387" s="24" t="s">
        <v>2099</v>
      </c>
      <c r="E387" s="24">
        <v>25.15</v>
      </c>
      <c r="F387" s="24" t="s">
        <v>2100</v>
      </c>
      <c r="G387" s="24">
        <v>18.79</v>
      </c>
      <c r="H387" s="24" t="s">
        <v>2101</v>
      </c>
      <c r="I387" s="24">
        <v>76.12</v>
      </c>
      <c r="J387" s="24" t="s">
        <v>2102</v>
      </c>
    </row>
    <row r="388" spans="1:10" x14ac:dyDescent="0.15">
      <c r="A388" s="28">
        <v>43210.73510416667</v>
      </c>
      <c r="B388" s="24">
        <v>921.7</v>
      </c>
      <c r="C388" s="24">
        <v>35.770000000000003</v>
      </c>
      <c r="D388" s="24" t="s">
        <v>2103</v>
      </c>
      <c r="E388" s="24">
        <v>33.42</v>
      </c>
      <c r="F388" s="24" t="s">
        <v>2104</v>
      </c>
      <c r="G388" s="24">
        <v>36</v>
      </c>
      <c r="H388" s="24" t="s">
        <v>2105</v>
      </c>
      <c r="I388" s="24">
        <v>48.39</v>
      </c>
      <c r="J388" s="24" t="s">
        <v>2106</v>
      </c>
    </row>
    <row r="389" spans="1:10" x14ac:dyDescent="0.15">
      <c r="A389" s="28">
        <v>43210.735138888886</v>
      </c>
      <c r="B389" s="24">
        <v>902.9</v>
      </c>
      <c r="C389" s="24">
        <v>16.8</v>
      </c>
      <c r="D389" s="24" t="s">
        <v>2107</v>
      </c>
      <c r="E389" s="24">
        <v>9.48</v>
      </c>
      <c r="F389" s="24" t="s">
        <v>2108</v>
      </c>
      <c r="G389" s="24">
        <v>30.6</v>
      </c>
      <c r="H389" s="24" t="s">
        <v>2109</v>
      </c>
      <c r="I389" s="24">
        <v>26.61</v>
      </c>
      <c r="J389" s="24" t="s">
        <v>2110</v>
      </c>
    </row>
    <row r="390" spans="1:10" x14ac:dyDescent="0.15">
      <c r="A390" s="28">
        <v>43210.735162037039</v>
      </c>
      <c r="B390" s="24">
        <v>894.1</v>
      </c>
      <c r="C390" s="24">
        <v>16.54</v>
      </c>
      <c r="D390" s="24" t="s">
        <v>2111</v>
      </c>
      <c r="E390" s="24">
        <v>10.78</v>
      </c>
      <c r="F390" s="24" t="s">
        <v>2112</v>
      </c>
      <c r="G390" s="24">
        <v>29.32</v>
      </c>
      <c r="H390" s="24" t="s">
        <v>2113</v>
      </c>
      <c r="I390" s="24">
        <v>44.63</v>
      </c>
      <c r="J390" s="24" t="s">
        <v>2114</v>
      </c>
    </row>
    <row r="391" spans="1:10" x14ac:dyDescent="0.15">
      <c r="A391" s="28">
        <v>43210.735196759262</v>
      </c>
      <c r="B391" s="24">
        <v>876.1</v>
      </c>
      <c r="C391" s="24">
        <v>16.11</v>
      </c>
      <c r="D391" s="24" t="s">
        <v>2115</v>
      </c>
      <c r="E391" s="24">
        <v>9.42</v>
      </c>
      <c r="F391" s="24" t="s">
        <v>2116</v>
      </c>
      <c r="G391" s="24">
        <v>26.23</v>
      </c>
      <c r="H391" s="24" t="s">
        <v>2117</v>
      </c>
      <c r="I391" s="24">
        <v>38.96</v>
      </c>
      <c r="J391" s="24" t="s">
        <v>2118</v>
      </c>
    </row>
    <row r="392" spans="1:10" x14ac:dyDescent="0.15">
      <c r="A392" s="28">
        <v>43210.735231481478</v>
      </c>
      <c r="B392" s="24">
        <v>859.1</v>
      </c>
      <c r="C392" s="24">
        <v>15.69</v>
      </c>
      <c r="D392" s="24" t="s">
        <v>2119</v>
      </c>
      <c r="E392" s="24">
        <v>10.92</v>
      </c>
      <c r="F392" s="24" t="s">
        <v>2120</v>
      </c>
      <c r="G392" s="24">
        <v>26.07</v>
      </c>
      <c r="H392" s="24" t="s">
        <v>2121</v>
      </c>
      <c r="I392" s="24">
        <v>38.39</v>
      </c>
      <c r="J392" s="24" t="s">
        <v>2122</v>
      </c>
    </row>
    <row r="393" spans="1:10" x14ac:dyDescent="0.15">
      <c r="A393" s="28">
        <v>43210.735266203701</v>
      </c>
      <c r="B393" s="24">
        <v>842.3</v>
      </c>
      <c r="C393" s="24">
        <v>15.27</v>
      </c>
      <c r="D393" s="24" t="s">
        <v>2123</v>
      </c>
      <c r="E393" s="24">
        <v>10.57</v>
      </c>
      <c r="F393" s="24" t="s">
        <v>2124</v>
      </c>
      <c r="G393" s="24">
        <v>24.57</v>
      </c>
      <c r="H393" s="24" t="s">
        <v>2125</v>
      </c>
      <c r="I393" s="24">
        <v>28.68</v>
      </c>
      <c r="J393" s="24" t="s">
        <v>2126</v>
      </c>
    </row>
    <row r="394" spans="1:10" x14ac:dyDescent="0.15">
      <c r="A394" s="28">
        <v>43210.735300925924</v>
      </c>
      <c r="B394" s="24">
        <v>826.2</v>
      </c>
      <c r="C394" s="24">
        <v>16.2</v>
      </c>
      <c r="D394" s="24" t="s">
        <v>2127</v>
      </c>
      <c r="E394" s="24">
        <v>11.67</v>
      </c>
      <c r="F394" s="24" t="s">
        <v>2128</v>
      </c>
      <c r="G394" s="24">
        <v>24.48</v>
      </c>
      <c r="H394" s="24" t="s">
        <v>2129</v>
      </c>
      <c r="I394" s="24">
        <v>55.38</v>
      </c>
      <c r="J394" s="24" t="s">
        <v>2130</v>
      </c>
    </row>
    <row r="395" spans="1:10" x14ac:dyDescent="0.15">
      <c r="A395" s="28">
        <v>43210.735335648147</v>
      </c>
      <c r="B395" s="24">
        <v>810.7</v>
      </c>
      <c r="C395" s="24">
        <v>15.9</v>
      </c>
      <c r="D395" s="24" t="s">
        <v>2131</v>
      </c>
      <c r="E395" s="24">
        <v>9.32</v>
      </c>
      <c r="F395" s="24" t="s">
        <v>2132</v>
      </c>
      <c r="G395" s="24">
        <v>20.46</v>
      </c>
      <c r="H395" s="24" t="s">
        <v>2133</v>
      </c>
      <c r="I395" s="24">
        <v>40.9</v>
      </c>
      <c r="J395" s="24" t="s">
        <v>2134</v>
      </c>
    </row>
    <row r="396" spans="1:10" x14ac:dyDescent="0.15">
      <c r="A396" s="28">
        <v>43210.73537037037</v>
      </c>
      <c r="B396" s="24">
        <v>795.6</v>
      </c>
      <c r="C396" s="24">
        <v>15.2</v>
      </c>
      <c r="D396" s="24" t="s">
        <v>2135</v>
      </c>
      <c r="E396" s="24">
        <v>9.42</v>
      </c>
      <c r="F396" s="24" t="s">
        <v>2136</v>
      </c>
      <c r="G396" s="24">
        <v>20.02</v>
      </c>
      <c r="H396" s="24" t="s">
        <v>2137</v>
      </c>
      <c r="I396" s="24">
        <v>19.09</v>
      </c>
      <c r="J396" s="24" t="s">
        <v>2138</v>
      </c>
    </row>
    <row r="397" spans="1:10" x14ac:dyDescent="0.15">
      <c r="A397" s="28">
        <v>43210.735405092593</v>
      </c>
      <c r="B397" s="24">
        <v>781.3</v>
      </c>
      <c r="C397" s="24">
        <v>15.31</v>
      </c>
      <c r="D397" s="24" t="s">
        <v>2139</v>
      </c>
      <c r="E397" s="24">
        <v>14.29</v>
      </c>
      <c r="F397" s="24" t="s">
        <v>2140</v>
      </c>
      <c r="G397" s="24">
        <v>19.309999999999999</v>
      </c>
      <c r="H397" s="24" t="s">
        <v>2141</v>
      </c>
      <c r="I397" s="24">
        <v>56.42</v>
      </c>
      <c r="J397" s="24" t="s">
        <v>2142</v>
      </c>
    </row>
    <row r="398" spans="1:10" x14ac:dyDescent="0.15">
      <c r="A398" s="28">
        <v>43210.73542824074</v>
      </c>
      <c r="B398" s="24">
        <v>767.2</v>
      </c>
      <c r="C398" s="24">
        <v>12.95</v>
      </c>
      <c r="D398" s="24" t="s">
        <v>2143</v>
      </c>
      <c r="E398" s="24">
        <v>14.29</v>
      </c>
      <c r="F398" s="24" t="s">
        <v>2140</v>
      </c>
      <c r="G398" s="24">
        <v>19.309999999999999</v>
      </c>
      <c r="H398" s="24" t="s">
        <v>2141</v>
      </c>
      <c r="I398" s="24">
        <v>56.42</v>
      </c>
      <c r="J398" s="24" t="s">
        <v>2142</v>
      </c>
    </row>
    <row r="399" spans="1:10" x14ac:dyDescent="0.15">
      <c r="A399" s="28">
        <v>43210.735439814816</v>
      </c>
      <c r="B399" s="24">
        <v>767.2</v>
      </c>
      <c r="C399" s="24">
        <v>12.95</v>
      </c>
      <c r="D399" s="24" t="s">
        <v>2143</v>
      </c>
      <c r="E399" s="24">
        <v>7.27</v>
      </c>
      <c r="F399" s="24" t="s">
        <v>2144</v>
      </c>
      <c r="G399" s="24">
        <v>17.54</v>
      </c>
      <c r="H399" s="24" t="s">
        <v>2145</v>
      </c>
      <c r="I399" s="24">
        <v>40.700000000000003</v>
      </c>
      <c r="J399" s="24" t="s">
        <v>2146</v>
      </c>
    </row>
    <row r="400" spans="1:10" x14ac:dyDescent="0.15">
      <c r="A400" s="28">
        <v>43210.735462962963</v>
      </c>
      <c r="B400" s="24">
        <v>753.7</v>
      </c>
      <c r="C400" s="24">
        <v>12.76</v>
      </c>
      <c r="D400" s="24" t="s">
        <v>2147</v>
      </c>
      <c r="E400" s="24">
        <v>7.79</v>
      </c>
      <c r="F400" s="24" t="s">
        <v>2148</v>
      </c>
      <c r="G400" s="24">
        <v>16.059999999999999</v>
      </c>
      <c r="H400" s="24" t="s">
        <v>2149</v>
      </c>
      <c r="I400" s="24">
        <v>75.45</v>
      </c>
      <c r="J400" s="24" t="s">
        <v>2150</v>
      </c>
    </row>
    <row r="401" spans="1:10" x14ac:dyDescent="0.15">
      <c r="A401" s="28">
        <v>43210.735497685186</v>
      </c>
      <c r="B401" s="24">
        <v>740.6</v>
      </c>
      <c r="C401" s="24">
        <v>12.19</v>
      </c>
      <c r="D401" s="24" t="s">
        <v>2151</v>
      </c>
      <c r="E401" s="24">
        <v>8.27</v>
      </c>
      <c r="F401" s="24" t="s">
        <v>2152</v>
      </c>
      <c r="G401" s="24">
        <v>15.66</v>
      </c>
      <c r="H401" s="24" t="s">
        <v>2153</v>
      </c>
      <c r="I401" s="24">
        <v>98.87</v>
      </c>
      <c r="J401" s="24" t="s">
        <v>2154</v>
      </c>
    </row>
    <row r="402" spans="1:10" x14ac:dyDescent="0.15">
      <c r="A402" s="28">
        <v>43210.735532407409</v>
      </c>
      <c r="B402" s="24">
        <v>727.8</v>
      </c>
      <c r="C402" s="24">
        <v>12.91</v>
      </c>
      <c r="D402" s="24" t="s">
        <v>2155</v>
      </c>
      <c r="E402" s="24">
        <v>7.6</v>
      </c>
      <c r="F402" s="24" t="s">
        <v>2156</v>
      </c>
      <c r="G402" s="24">
        <v>14.64</v>
      </c>
      <c r="H402" s="24" t="s">
        <v>2157</v>
      </c>
      <c r="I402" s="24">
        <v>102.2</v>
      </c>
      <c r="J402" s="24" t="s">
        <v>2158</v>
      </c>
    </row>
    <row r="403" spans="1:10" x14ac:dyDescent="0.15">
      <c r="A403" s="28">
        <v>43210.735567129632</v>
      </c>
      <c r="B403" s="24">
        <v>715.3</v>
      </c>
      <c r="C403" s="24">
        <v>12.59</v>
      </c>
      <c r="D403" s="24" t="s">
        <v>2159</v>
      </c>
      <c r="E403" s="24">
        <v>7.25</v>
      </c>
      <c r="F403" s="24" t="s">
        <v>2160</v>
      </c>
      <c r="G403" s="24">
        <v>13.73</v>
      </c>
      <c r="H403" s="24" t="s">
        <v>2161</v>
      </c>
      <c r="I403" s="24">
        <v>97.06</v>
      </c>
      <c r="J403" s="24" t="s">
        <v>2162</v>
      </c>
    </row>
    <row r="404" spans="1:10" x14ac:dyDescent="0.15">
      <c r="A404" s="28">
        <v>43210.735601851855</v>
      </c>
      <c r="B404" s="24">
        <v>703.3</v>
      </c>
      <c r="C404" s="24">
        <v>12.76</v>
      </c>
      <c r="D404" s="24" t="s">
        <v>2163</v>
      </c>
      <c r="E404" s="24">
        <v>7.49</v>
      </c>
      <c r="F404" s="24" t="s">
        <v>2164</v>
      </c>
      <c r="G404" s="24">
        <v>13.44</v>
      </c>
      <c r="H404" s="24" t="s">
        <v>2165</v>
      </c>
      <c r="I404" s="24">
        <v>100.3</v>
      </c>
      <c r="J404" s="24" t="s">
        <v>2166</v>
      </c>
    </row>
    <row r="405" spans="1:10" x14ac:dyDescent="0.15">
      <c r="A405" s="28">
        <v>43210.735636574071</v>
      </c>
      <c r="B405" s="24">
        <v>691.7</v>
      </c>
      <c r="C405" s="24">
        <v>11.63</v>
      </c>
      <c r="D405" s="24" t="s">
        <v>2167</v>
      </c>
      <c r="E405" s="24">
        <v>10.39</v>
      </c>
      <c r="F405" s="24" t="s">
        <v>2168</v>
      </c>
      <c r="G405" s="24">
        <v>14.96</v>
      </c>
      <c r="H405" s="24" t="s">
        <v>2169</v>
      </c>
      <c r="I405" s="24">
        <v>97.27</v>
      </c>
      <c r="J405" s="24" t="s">
        <v>2170</v>
      </c>
    </row>
    <row r="406" spans="1:10" x14ac:dyDescent="0.15">
      <c r="A406" s="28">
        <v>43210.735659722224</v>
      </c>
      <c r="B406" s="24">
        <v>685.8</v>
      </c>
      <c r="C406" s="24">
        <v>12.94</v>
      </c>
      <c r="D406" s="24" t="s">
        <v>2171</v>
      </c>
      <c r="E406" s="24">
        <v>9.34</v>
      </c>
      <c r="F406" s="24" t="s">
        <v>2172</v>
      </c>
      <c r="G406" s="24">
        <v>16.260000000000002</v>
      </c>
      <c r="H406" s="24" t="s">
        <v>2173</v>
      </c>
      <c r="I406" s="24">
        <v>95.58</v>
      </c>
      <c r="J406" s="24" t="s">
        <v>2174</v>
      </c>
    </row>
    <row r="407" spans="1:10" x14ac:dyDescent="0.15">
      <c r="A407" s="28">
        <v>43210.735694444447</v>
      </c>
      <c r="B407" s="24">
        <v>674.6</v>
      </c>
      <c r="C407" s="24">
        <v>10.54</v>
      </c>
      <c r="D407" s="24" t="s">
        <v>2175</v>
      </c>
      <c r="E407" s="24">
        <v>8.14</v>
      </c>
      <c r="F407" s="24" t="s">
        <v>2176</v>
      </c>
      <c r="G407" s="24">
        <v>14.5</v>
      </c>
      <c r="H407" s="24" t="s">
        <v>2177</v>
      </c>
      <c r="I407" s="24">
        <v>88.39</v>
      </c>
      <c r="J407" s="24" t="s">
        <v>2178</v>
      </c>
    </row>
    <row r="408" spans="1:10" x14ac:dyDescent="0.15">
      <c r="A408" s="28">
        <v>43210.735729166663</v>
      </c>
      <c r="B408" s="24">
        <v>663.4</v>
      </c>
      <c r="C408" s="24">
        <v>12.05</v>
      </c>
      <c r="D408" s="24" t="s">
        <v>2179</v>
      </c>
      <c r="E408" s="24">
        <v>7.66</v>
      </c>
      <c r="F408" s="24" t="s">
        <v>2180</v>
      </c>
      <c r="G408" s="24">
        <v>14.44</v>
      </c>
      <c r="H408" s="24" t="s">
        <v>2181</v>
      </c>
      <c r="I408" s="24">
        <v>75.5</v>
      </c>
      <c r="J408" s="24" t="s">
        <v>2182</v>
      </c>
    </row>
    <row r="409" spans="1:10" x14ac:dyDescent="0.15">
      <c r="A409" s="28">
        <v>43210.735763888886</v>
      </c>
      <c r="B409" s="24">
        <v>652.9</v>
      </c>
      <c r="C409" s="24">
        <v>10.83</v>
      </c>
      <c r="D409" s="24" t="s">
        <v>2183</v>
      </c>
      <c r="E409" s="24">
        <v>7.79</v>
      </c>
      <c r="F409" s="24" t="s">
        <v>2184</v>
      </c>
      <c r="G409" s="24">
        <v>12.02</v>
      </c>
      <c r="H409" s="24" t="s">
        <v>2185</v>
      </c>
      <c r="I409" s="24">
        <v>77.680000000000007</v>
      </c>
      <c r="J409" s="24" t="s">
        <v>2186</v>
      </c>
    </row>
    <row r="410" spans="1:10" x14ac:dyDescent="0.15">
      <c r="A410" s="28">
        <v>43210.735798611109</v>
      </c>
      <c r="B410" s="24">
        <v>642.6</v>
      </c>
      <c r="C410" s="24">
        <v>9.84</v>
      </c>
      <c r="D410" s="24" t="s">
        <v>2187</v>
      </c>
      <c r="E410" s="24">
        <v>7.29</v>
      </c>
      <c r="F410" s="24" t="s">
        <v>2188</v>
      </c>
      <c r="G410" s="24">
        <v>9.8000000000000007</v>
      </c>
      <c r="H410" s="24" t="s">
        <v>2189</v>
      </c>
      <c r="I410" s="24">
        <v>65.95</v>
      </c>
      <c r="J410" s="24" t="s">
        <v>2190</v>
      </c>
    </row>
    <row r="411" spans="1:10" x14ac:dyDescent="0.15">
      <c r="A411" s="28">
        <v>43210.735833333332</v>
      </c>
      <c r="B411" s="24">
        <v>632.6</v>
      </c>
      <c r="C411" s="24">
        <v>8.5</v>
      </c>
      <c r="D411" s="24" t="s">
        <v>2191</v>
      </c>
      <c r="E411" s="24">
        <v>6.63</v>
      </c>
      <c r="F411" s="24" t="s">
        <v>2192</v>
      </c>
      <c r="G411" s="24">
        <v>9.33</v>
      </c>
      <c r="H411" s="24" t="s">
        <v>2193</v>
      </c>
      <c r="I411" s="24">
        <v>80.650000000000006</v>
      </c>
      <c r="J411" s="24" t="s">
        <v>2194</v>
      </c>
    </row>
    <row r="412" spans="1:10" x14ac:dyDescent="0.15">
      <c r="A412" s="28">
        <v>43210.735868055555</v>
      </c>
      <c r="B412" s="24">
        <v>622.70000000000005</v>
      </c>
      <c r="C412" s="24">
        <v>7.3</v>
      </c>
      <c r="D412" s="24" t="s">
        <v>2195</v>
      </c>
      <c r="E412" s="24">
        <v>6.17</v>
      </c>
      <c r="F412" s="24" t="s">
        <v>2196</v>
      </c>
      <c r="G412" s="24">
        <v>8.52</v>
      </c>
      <c r="H412" s="24" t="s">
        <v>2197</v>
      </c>
      <c r="I412" s="24">
        <v>65.430000000000007</v>
      </c>
      <c r="J412" s="24" t="s">
        <v>2198</v>
      </c>
    </row>
    <row r="413" spans="1:10" x14ac:dyDescent="0.15">
      <c r="A413" s="28">
        <v>43210.735902777778</v>
      </c>
      <c r="B413" s="24">
        <v>613.1</v>
      </c>
      <c r="C413" s="24">
        <v>8.0299999999999994</v>
      </c>
      <c r="D413" s="24" t="s">
        <v>2199</v>
      </c>
      <c r="E413" s="24">
        <v>5.29</v>
      </c>
      <c r="F413" s="24" t="s">
        <v>2200</v>
      </c>
      <c r="G413" s="24">
        <v>8.9700000000000006</v>
      </c>
      <c r="H413" s="24" t="s">
        <v>2201</v>
      </c>
      <c r="I413" s="24">
        <v>64.02</v>
      </c>
      <c r="J413" s="24" t="s">
        <v>2202</v>
      </c>
    </row>
    <row r="414" spans="1:10" x14ac:dyDescent="0.15">
      <c r="A414" s="28">
        <v>43210.735937500001</v>
      </c>
      <c r="B414" s="24">
        <v>603.9</v>
      </c>
      <c r="C414" s="24">
        <v>7.62</v>
      </c>
      <c r="D414" s="24" t="s">
        <v>2203</v>
      </c>
      <c r="E414" s="24">
        <v>5.29</v>
      </c>
      <c r="F414" s="24" t="s">
        <v>2204</v>
      </c>
      <c r="G414" s="24">
        <v>8.51</v>
      </c>
      <c r="H414" s="24" t="s">
        <v>2205</v>
      </c>
      <c r="I414" s="24">
        <v>63.4</v>
      </c>
      <c r="J414" s="24" t="s">
        <v>2206</v>
      </c>
    </row>
    <row r="415" spans="1:10" x14ac:dyDescent="0.15">
      <c r="A415" s="28">
        <v>43210.735972222225</v>
      </c>
      <c r="B415" s="24">
        <v>594.70000000000005</v>
      </c>
      <c r="C415" s="24">
        <v>7.17</v>
      </c>
      <c r="D415" s="24" t="s">
        <v>2207</v>
      </c>
      <c r="E415" s="24">
        <v>5.25</v>
      </c>
      <c r="F415" s="24" t="s">
        <v>2208</v>
      </c>
      <c r="G415" s="24">
        <v>7.96</v>
      </c>
      <c r="H415" s="24" t="s">
        <v>2209</v>
      </c>
      <c r="I415" s="24">
        <v>68.599999999999994</v>
      </c>
      <c r="J415" s="24" t="s">
        <v>2210</v>
      </c>
    </row>
    <row r="416" spans="1:10" x14ac:dyDescent="0.15">
      <c r="A416" s="28">
        <v>43210.736006944448</v>
      </c>
      <c r="B416" s="24">
        <v>586</v>
      </c>
      <c r="C416" s="24">
        <v>6.86</v>
      </c>
      <c r="D416" s="24" t="s">
        <v>2211</v>
      </c>
      <c r="E416" s="24">
        <v>3.93</v>
      </c>
      <c r="F416" s="24" t="s">
        <v>2212</v>
      </c>
      <c r="G416" s="24">
        <v>7.44</v>
      </c>
      <c r="H416" s="24" t="s">
        <v>2213</v>
      </c>
      <c r="I416" s="24">
        <v>62.01</v>
      </c>
      <c r="J416" s="24" t="s">
        <v>2214</v>
      </c>
    </row>
    <row r="417" spans="1:10" x14ac:dyDescent="0.15">
      <c r="A417" s="28">
        <v>43210.73605324074</v>
      </c>
      <c r="B417" s="24">
        <v>574.29999999999995</v>
      </c>
      <c r="C417" s="24">
        <v>7.64</v>
      </c>
      <c r="D417" s="24" t="s">
        <v>2215</v>
      </c>
      <c r="E417" s="24">
        <v>5.33</v>
      </c>
      <c r="F417" s="24" t="s">
        <v>2216</v>
      </c>
      <c r="G417" s="24">
        <v>7.24</v>
      </c>
      <c r="H417" s="24" t="s">
        <v>2217</v>
      </c>
      <c r="I417" s="24">
        <v>65.97</v>
      </c>
      <c r="J417" s="24" t="s">
        <v>2218</v>
      </c>
    </row>
    <row r="418" spans="1:10" x14ac:dyDescent="0.15">
      <c r="A418" s="28">
        <v>43210.736087962963</v>
      </c>
      <c r="B418" s="24">
        <v>567.79999999999995</v>
      </c>
      <c r="C418" s="24">
        <v>6.83</v>
      </c>
      <c r="D418" s="24" t="s">
        <v>2219</v>
      </c>
      <c r="E418" s="24">
        <v>4.04</v>
      </c>
      <c r="F418" s="24" t="s">
        <v>2220</v>
      </c>
      <c r="G418" s="24">
        <v>6.82</v>
      </c>
      <c r="H418" s="24" t="s">
        <v>2221</v>
      </c>
      <c r="I418" s="24">
        <v>64.98</v>
      </c>
      <c r="J418" s="24" t="s">
        <v>2222</v>
      </c>
    </row>
    <row r="419" spans="1:10" x14ac:dyDescent="0.15">
      <c r="A419" s="28">
        <v>43210.736134259256</v>
      </c>
      <c r="B419" s="24">
        <v>555</v>
      </c>
      <c r="C419" s="24">
        <v>7.64</v>
      </c>
      <c r="D419" s="24" t="s">
        <v>2223</v>
      </c>
      <c r="E419" s="24">
        <v>5</v>
      </c>
      <c r="F419" s="24" t="s">
        <v>2224</v>
      </c>
      <c r="G419" s="24">
        <v>6.51</v>
      </c>
      <c r="H419" s="24" t="s">
        <v>2225</v>
      </c>
      <c r="I419" s="24">
        <v>64.69</v>
      </c>
      <c r="J419" s="24" t="s">
        <v>2226</v>
      </c>
    </row>
    <row r="420" spans="1:10" x14ac:dyDescent="0.15">
      <c r="A420" s="28">
        <v>43210.736168981479</v>
      </c>
      <c r="B420" s="24">
        <v>549</v>
      </c>
      <c r="C420" s="24">
        <v>6.57</v>
      </c>
      <c r="D420" s="24" t="s">
        <v>2227</v>
      </c>
      <c r="E420" s="24">
        <v>3.83</v>
      </c>
      <c r="F420" s="24" t="s">
        <v>2228</v>
      </c>
      <c r="G420" s="24">
        <v>6.12</v>
      </c>
      <c r="H420" s="24" t="s">
        <v>2229</v>
      </c>
      <c r="I420" s="24">
        <v>64.8</v>
      </c>
      <c r="J420" s="24" t="s">
        <v>2230</v>
      </c>
    </row>
    <row r="421" spans="1:10" x14ac:dyDescent="0.15">
      <c r="A421" s="28">
        <v>43210.736192129632</v>
      </c>
      <c r="B421" s="24">
        <v>543</v>
      </c>
      <c r="C421" s="24">
        <v>6.51</v>
      </c>
      <c r="D421" s="24" t="s">
        <v>2231</v>
      </c>
      <c r="E421" s="24">
        <v>4.09</v>
      </c>
      <c r="F421" s="24" t="s">
        <v>2232</v>
      </c>
      <c r="G421" s="24">
        <v>5.88</v>
      </c>
      <c r="H421" s="24" t="s">
        <v>325</v>
      </c>
      <c r="I421" s="24">
        <v>65.22</v>
      </c>
      <c r="J421" s="24" t="s">
        <v>2233</v>
      </c>
    </row>
    <row r="422" spans="1:10" x14ac:dyDescent="0.15">
      <c r="A422" s="28">
        <v>43210.736250000002</v>
      </c>
      <c r="B422" s="24">
        <v>531.4</v>
      </c>
      <c r="C422" s="24">
        <v>6.32</v>
      </c>
      <c r="D422" s="24" t="s">
        <v>2234</v>
      </c>
      <c r="E422" s="24">
        <v>4.51</v>
      </c>
      <c r="F422" s="24" t="s">
        <v>2235</v>
      </c>
      <c r="G422" s="24">
        <v>5.3</v>
      </c>
      <c r="H422" s="24" t="s">
        <v>2236</v>
      </c>
      <c r="I422" s="24">
        <v>89.89</v>
      </c>
      <c r="J422" s="24" t="s">
        <v>2237</v>
      </c>
    </row>
    <row r="423" spans="1:10" x14ac:dyDescent="0.15">
      <c r="A423" s="28">
        <v>43210.736296296294</v>
      </c>
      <c r="B423" s="24">
        <v>520</v>
      </c>
      <c r="C423" s="24">
        <v>7.01</v>
      </c>
      <c r="D423" s="24" t="s">
        <v>2238</v>
      </c>
      <c r="E423" s="24">
        <v>5.33</v>
      </c>
      <c r="F423" s="24" t="s">
        <v>2239</v>
      </c>
      <c r="G423" s="24">
        <v>5.56</v>
      </c>
      <c r="H423" s="24" t="s">
        <v>2240</v>
      </c>
      <c r="I423" s="24">
        <v>80.209999999999994</v>
      </c>
      <c r="J423" s="24" t="s">
        <v>2241</v>
      </c>
    </row>
    <row r="424" spans="1:10" x14ac:dyDescent="0.15">
      <c r="A424" s="28">
        <v>43210.736331018517</v>
      </c>
      <c r="B424" s="24">
        <v>514.29999999999995</v>
      </c>
      <c r="C424" s="24">
        <v>6.38</v>
      </c>
      <c r="D424" s="24" t="s">
        <v>2242</v>
      </c>
      <c r="E424" s="24">
        <v>4.71</v>
      </c>
      <c r="F424" s="24" t="s">
        <v>2243</v>
      </c>
      <c r="G424" s="24">
        <v>6.1</v>
      </c>
      <c r="H424" s="24" t="s">
        <v>2244</v>
      </c>
      <c r="I424" s="24">
        <v>19.28</v>
      </c>
      <c r="J424" s="24" t="s">
        <v>2245</v>
      </c>
    </row>
    <row r="425" spans="1:10" x14ac:dyDescent="0.15">
      <c r="A425" s="28">
        <v>43210.736377314817</v>
      </c>
      <c r="B425" s="24">
        <v>503.7</v>
      </c>
      <c r="C425" s="24">
        <v>9.16</v>
      </c>
      <c r="D425" s="24" t="s">
        <v>2246</v>
      </c>
      <c r="E425" s="24">
        <v>8.5299999999999994</v>
      </c>
      <c r="F425" s="24" t="s">
        <v>2247</v>
      </c>
      <c r="G425" s="24">
        <v>9.25</v>
      </c>
      <c r="H425" s="24" t="s">
        <v>2248</v>
      </c>
      <c r="I425" s="24">
        <v>58</v>
      </c>
      <c r="J425" s="24" t="s">
        <v>2249</v>
      </c>
    </row>
    <row r="426" spans="1:10" x14ac:dyDescent="0.15">
      <c r="A426" s="28">
        <v>43210.736435185187</v>
      </c>
      <c r="B426" s="24">
        <v>493.3</v>
      </c>
      <c r="C426" s="24">
        <v>6.82</v>
      </c>
      <c r="D426" s="24" t="s">
        <v>2250</v>
      </c>
      <c r="E426" s="24">
        <v>5.77</v>
      </c>
      <c r="F426" s="24" t="s">
        <v>2251</v>
      </c>
      <c r="G426" s="24">
        <v>5.77</v>
      </c>
      <c r="H426" s="24" t="s">
        <v>2252</v>
      </c>
      <c r="I426" s="24">
        <v>62.77</v>
      </c>
      <c r="J426" s="24" t="s">
        <v>2253</v>
      </c>
    </row>
    <row r="427" spans="1:10" x14ac:dyDescent="0.15">
      <c r="A427" s="28">
        <v>43210.736481481479</v>
      </c>
      <c r="B427" s="24">
        <v>483.3</v>
      </c>
      <c r="C427" s="24">
        <v>6.39</v>
      </c>
      <c r="D427" s="24" t="s">
        <v>2254</v>
      </c>
      <c r="E427" s="24">
        <v>5.65</v>
      </c>
      <c r="F427" s="24" t="s">
        <v>2255</v>
      </c>
      <c r="G427" s="24">
        <v>4.97</v>
      </c>
      <c r="H427" s="24" t="s">
        <v>2256</v>
      </c>
      <c r="I427" s="24">
        <v>75.150000000000006</v>
      </c>
      <c r="J427" s="24" t="s">
        <v>2257</v>
      </c>
    </row>
    <row r="428" spans="1:10" x14ac:dyDescent="0.15">
      <c r="A428" s="28">
        <v>43210.736516203702</v>
      </c>
      <c r="B428" s="24">
        <v>478.5</v>
      </c>
      <c r="C428" s="24">
        <v>6.67</v>
      </c>
      <c r="D428" s="24" t="s">
        <v>2258</v>
      </c>
      <c r="E428" s="24">
        <v>6.41</v>
      </c>
      <c r="F428" s="24" t="s">
        <v>2250</v>
      </c>
      <c r="G428" s="24">
        <v>5.13</v>
      </c>
      <c r="H428" s="24" t="s">
        <v>2259</v>
      </c>
      <c r="I428" s="24">
        <v>78.58</v>
      </c>
      <c r="J428" s="24" t="s">
        <v>2260</v>
      </c>
    </row>
    <row r="429" spans="1:10" x14ac:dyDescent="0.15">
      <c r="A429" s="28">
        <v>43210.736562500002</v>
      </c>
      <c r="B429" s="24">
        <v>468.8</v>
      </c>
      <c r="C429" s="24">
        <v>6.71</v>
      </c>
      <c r="D429" s="24" t="s">
        <v>2261</v>
      </c>
      <c r="E429" s="24">
        <v>6.88</v>
      </c>
      <c r="F429" s="24" t="s">
        <v>2262</v>
      </c>
      <c r="G429" s="24">
        <v>4.28</v>
      </c>
      <c r="H429" s="24" t="s">
        <v>2206</v>
      </c>
      <c r="I429" s="24">
        <v>83.64</v>
      </c>
      <c r="J429" s="24" t="s">
        <v>2263</v>
      </c>
    </row>
    <row r="430" spans="1:10" x14ac:dyDescent="0.15">
      <c r="A430" s="28">
        <v>43210.736597222225</v>
      </c>
      <c r="B430" s="24">
        <v>464.3</v>
      </c>
      <c r="C430" s="24">
        <v>6.54</v>
      </c>
      <c r="D430" s="24" t="s">
        <v>2264</v>
      </c>
      <c r="E430" s="24">
        <v>7.44</v>
      </c>
      <c r="F430" s="24" t="s">
        <v>2265</v>
      </c>
      <c r="G430" s="24">
        <v>4.08</v>
      </c>
      <c r="H430" s="24" t="s">
        <v>2266</v>
      </c>
      <c r="I430" s="24">
        <v>79.83</v>
      </c>
      <c r="J430" s="24" t="s">
        <v>2267</v>
      </c>
    </row>
    <row r="431" spans="1:10" x14ac:dyDescent="0.15">
      <c r="A431" s="28">
        <v>43210.736631944441</v>
      </c>
      <c r="B431" s="24">
        <v>458</v>
      </c>
      <c r="C431" s="24">
        <v>5.83</v>
      </c>
      <c r="D431" s="24" t="s">
        <v>2268</v>
      </c>
      <c r="E431" s="24">
        <v>8.6</v>
      </c>
      <c r="F431" s="24" t="s">
        <v>2269</v>
      </c>
      <c r="G431" s="24">
        <v>3.46</v>
      </c>
      <c r="H431" s="24" t="s">
        <v>2270</v>
      </c>
      <c r="I431" s="24">
        <v>66.900000000000006</v>
      </c>
      <c r="J431" s="24" t="s">
        <v>2271</v>
      </c>
    </row>
    <row r="432" spans="1:10" x14ac:dyDescent="0.15">
      <c r="A432" s="28">
        <v>43210.736666666664</v>
      </c>
      <c r="B432" s="24">
        <v>452.4</v>
      </c>
      <c r="C432" s="24">
        <v>5.52</v>
      </c>
      <c r="D432" s="24" t="s">
        <v>2272</v>
      </c>
      <c r="E432" s="24">
        <v>10.39</v>
      </c>
      <c r="F432" s="24" t="s">
        <v>2273</v>
      </c>
      <c r="G432" s="24">
        <v>3.66</v>
      </c>
      <c r="H432" s="24" t="s">
        <v>2274</v>
      </c>
      <c r="I432" s="24">
        <v>62.87</v>
      </c>
      <c r="J432" s="24" t="s">
        <v>2275</v>
      </c>
    </row>
    <row r="433" spans="1:10" x14ac:dyDescent="0.15">
      <c r="A433" s="28">
        <v>43210.736701388887</v>
      </c>
      <c r="B433" s="24">
        <v>447</v>
      </c>
      <c r="C433" s="24">
        <v>6.49</v>
      </c>
      <c r="D433" s="24" t="s">
        <v>2276</v>
      </c>
      <c r="E433" s="24">
        <v>13.15</v>
      </c>
      <c r="F433" s="24" t="s">
        <v>2277</v>
      </c>
      <c r="G433" s="24">
        <v>4.24</v>
      </c>
      <c r="H433" s="24" t="s">
        <v>2278</v>
      </c>
      <c r="I433" s="24">
        <v>75.97</v>
      </c>
      <c r="J433" s="24" t="s">
        <v>2279</v>
      </c>
    </row>
    <row r="434" spans="1:10" x14ac:dyDescent="0.15">
      <c r="A434" s="28">
        <v>43210.73673611111</v>
      </c>
      <c r="B434" s="24">
        <v>441.9</v>
      </c>
      <c r="C434" s="24">
        <v>7.17</v>
      </c>
      <c r="D434" s="24" t="s">
        <v>2280</v>
      </c>
      <c r="E434" s="24">
        <v>11.01</v>
      </c>
      <c r="F434" s="24" t="s">
        <v>2281</v>
      </c>
      <c r="G434" s="24">
        <v>4.62</v>
      </c>
      <c r="H434" s="24" t="s">
        <v>2282</v>
      </c>
      <c r="I434" s="24">
        <v>65.540000000000006</v>
      </c>
      <c r="J434" s="24" t="s">
        <v>2283</v>
      </c>
    </row>
    <row r="435" spans="1:10" x14ac:dyDescent="0.15">
      <c r="A435" s="28">
        <v>43210.736770833333</v>
      </c>
      <c r="B435" s="24">
        <v>436.7</v>
      </c>
      <c r="C435" s="24">
        <v>5.74</v>
      </c>
      <c r="D435" s="24" t="s">
        <v>2284</v>
      </c>
      <c r="E435" s="24">
        <v>5.2</v>
      </c>
      <c r="F435" s="24" t="s">
        <v>2285</v>
      </c>
      <c r="G435" s="24">
        <v>3.01</v>
      </c>
      <c r="H435" s="24" t="s">
        <v>2286</v>
      </c>
      <c r="I435" s="24">
        <v>65.650000000000006</v>
      </c>
      <c r="J435" s="24" t="s">
        <v>2287</v>
      </c>
    </row>
    <row r="436" spans="1:10" x14ac:dyDescent="0.15">
      <c r="A436" s="28">
        <v>43210.736828703702</v>
      </c>
      <c r="B436" s="24">
        <v>426.6</v>
      </c>
      <c r="C436" s="24">
        <v>6.33</v>
      </c>
      <c r="D436" s="24" t="s">
        <v>2288</v>
      </c>
      <c r="E436" s="24">
        <v>4.55</v>
      </c>
      <c r="F436" s="24" t="s">
        <v>2289</v>
      </c>
      <c r="G436" s="24">
        <v>2.61</v>
      </c>
      <c r="H436" s="24" t="s">
        <v>2290</v>
      </c>
      <c r="I436" s="24">
        <v>66.790000000000006</v>
      </c>
      <c r="J436" s="24" t="s">
        <v>2291</v>
      </c>
    </row>
    <row r="437" spans="1:10" x14ac:dyDescent="0.15">
      <c r="A437" s="28">
        <v>43210.736863425926</v>
      </c>
      <c r="B437" s="24">
        <v>421.7</v>
      </c>
      <c r="C437" s="24">
        <v>6.28</v>
      </c>
      <c r="D437" s="24" t="s">
        <v>2292</v>
      </c>
      <c r="E437" s="24">
        <v>5.08</v>
      </c>
      <c r="F437" s="24" t="s">
        <v>2293</v>
      </c>
      <c r="G437" s="24">
        <v>2.52</v>
      </c>
      <c r="H437" s="24" t="s">
        <v>2294</v>
      </c>
      <c r="I437" s="24">
        <v>66.09</v>
      </c>
      <c r="J437" s="24" t="s">
        <v>2295</v>
      </c>
    </row>
    <row r="438" spans="1:10" x14ac:dyDescent="0.15">
      <c r="A438" s="28">
        <v>43210.736898148149</v>
      </c>
      <c r="B438" s="24">
        <v>416.8</v>
      </c>
      <c r="C438" s="24">
        <v>6.95</v>
      </c>
      <c r="D438" s="24" t="s">
        <v>2296</v>
      </c>
      <c r="E438" s="24">
        <v>5.05</v>
      </c>
      <c r="F438" s="24" t="s">
        <v>2297</v>
      </c>
      <c r="G438" s="24">
        <v>2.86</v>
      </c>
      <c r="H438" s="24" t="s">
        <v>2298</v>
      </c>
      <c r="I438" s="24">
        <v>65.680000000000007</v>
      </c>
      <c r="J438" s="24" t="s">
        <v>2299</v>
      </c>
    </row>
    <row r="439" spans="1:10" x14ac:dyDescent="0.15">
      <c r="A439" s="28">
        <v>43210.736932870372</v>
      </c>
      <c r="B439" s="24">
        <v>412.2</v>
      </c>
      <c r="C439" s="24">
        <v>6.68</v>
      </c>
      <c r="D439" s="24" t="s">
        <v>2300</v>
      </c>
      <c r="E439" s="24">
        <v>4.22</v>
      </c>
      <c r="F439" s="24" t="s">
        <v>2301</v>
      </c>
      <c r="G439" s="24">
        <v>3.43</v>
      </c>
      <c r="H439" s="24" t="s">
        <v>2302</v>
      </c>
      <c r="I439" s="24">
        <v>63.92</v>
      </c>
      <c r="J439" s="24" t="s">
        <v>2303</v>
      </c>
    </row>
    <row r="440" spans="1:10" x14ac:dyDescent="0.15">
      <c r="A440" s="28">
        <v>43210.736967592595</v>
      </c>
      <c r="B440" s="24">
        <v>407.5</v>
      </c>
      <c r="C440" s="24">
        <v>7.47</v>
      </c>
      <c r="D440" s="24" t="s">
        <v>2304</v>
      </c>
      <c r="E440" s="24">
        <v>5.38</v>
      </c>
      <c r="F440" s="24" t="s">
        <v>2305</v>
      </c>
      <c r="G440" s="24">
        <v>3.9</v>
      </c>
      <c r="H440" s="24" t="s">
        <v>2306</v>
      </c>
      <c r="I440" s="24">
        <v>62.63</v>
      </c>
      <c r="J440" s="24" t="s">
        <v>2307</v>
      </c>
    </row>
    <row r="441" spans="1:10" x14ac:dyDescent="0.15">
      <c r="A441" s="28">
        <v>43210.737025462964</v>
      </c>
      <c r="B441" s="24">
        <v>398.5</v>
      </c>
      <c r="C441" s="24">
        <v>7.32</v>
      </c>
      <c r="D441" s="24" t="s">
        <v>2308</v>
      </c>
      <c r="E441" s="24">
        <v>5.76</v>
      </c>
      <c r="F441" s="24" t="s">
        <v>2309</v>
      </c>
      <c r="G441" s="24">
        <v>2.92</v>
      </c>
      <c r="H441" s="24" t="s">
        <v>2310</v>
      </c>
      <c r="I441" s="24">
        <v>62.36</v>
      </c>
      <c r="J441" s="24" t="s">
        <v>2311</v>
      </c>
    </row>
    <row r="442" spans="1:10" x14ac:dyDescent="0.15">
      <c r="A442" s="28">
        <v>43210.737060185187</v>
      </c>
      <c r="B442" s="24">
        <v>393.9</v>
      </c>
      <c r="C442" s="24">
        <v>6.51</v>
      </c>
      <c r="D442" s="24" t="s">
        <v>770</v>
      </c>
      <c r="E442" s="24">
        <v>6.02</v>
      </c>
      <c r="F442" s="24" t="s">
        <v>2312</v>
      </c>
      <c r="G442" s="24">
        <v>2.64</v>
      </c>
      <c r="H442" s="24" t="s">
        <v>2313</v>
      </c>
      <c r="I442" s="24">
        <v>65.06</v>
      </c>
      <c r="J442" s="24" t="s">
        <v>2314</v>
      </c>
    </row>
    <row r="443" spans="1:10" x14ac:dyDescent="0.15">
      <c r="A443" s="28">
        <v>43210.73709490741</v>
      </c>
      <c r="B443" s="24">
        <v>389.7</v>
      </c>
      <c r="C443" s="24">
        <v>5.96</v>
      </c>
      <c r="D443" s="24" t="s">
        <v>2315</v>
      </c>
      <c r="E443" s="24">
        <v>5.47</v>
      </c>
      <c r="F443" s="24" t="s">
        <v>2316</v>
      </c>
      <c r="G443" s="24">
        <v>2.58</v>
      </c>
      <c r="H443" s="24" t="s">
        <v>2317</v>
      </c>
      <c r="I443" s="24">
        <v>63.9</v>
      </c>
      <c r="J443" s="24" t="s">
        <v>2318</v>
      </c>
    </row>
    <row r="444" spans="1:10" x14ac:dyDescent="0.15">
      <c r="A444" s="28">
        <v>43210.737129629626</v>
      </c>
      <c r="B444" s="24">
        <v>385.5</v>
      </c>
      <c r="C444" s="24">
        <v>6.69</v>
      </c>
      <c r="D444" s="24" t="s">
        <v>798</v>
      </c>
      <c r="E444" s="24">
        <v>5.92</v>
      </c>
      <c r="F444" s="24" t="s">
        <v>2319</v>
      </c>
      <c r="G444" s="24">
        <v>2.72</v>
      </c>
      <c r="H444" s="24" t="s">
        <v>2320</v>
      </c>
      <c r="I444" s="24">
        <v>65.67</v>
      </c>
      <c r="J444" s="24" t="s">
        <v>2321</v>
      </c>
    </row>
    <row r="445" spans="1:10" x14ac:dyDescent="0.15">
      <c r="A445" s="28">
        <v>43210.737164351849</v>
      </c>
      <c r="B445" s="24">
        <v>381.4</v>
      </c>
      <c r="C445" s="24">
        <v>7.86</v>
      </c>
      <c r="D445" s="24" t="s">
        <v>2322</v>
      </c>
      <c r="E445" s="24">
        <v>6.92</v>
      </c>
      <c r="F445" s="24" t="s">
        <v>2323</v>
      </c>
      <c r="G445" s="24">
        <v>2.56</v>
      </c>
      <c r="H445" s="24" t="s">
        <v>2324</v>
      </c>
      <c r="I445" s="24">
        <v>64.489999999999995</v>
      </c>
      <c r="J445" s="24" t="s">
        <v>2325</v>
      </c>
    </row>
    <row r="446" spans="1:10" x14ac:dyDescent="0.15">
      <c r="A446" s="28">
        <v>43210.737187500003</v>
      </c>
      <c r="B446" s="24">
        <v>377.2</v>
      </c>
      <c r="C446" s="24">
        <v>7.62</v>
      </c>
      <c r="D446" s="24" t="s">
        <v>2326</v>
      </c>
      <c r="E446" s="24">
        <v>6.85</v>
      </c>
      <c r="F446" s="24" t="s">
        <v>2327</v>
      </c>
      <c r="G446" s="24">
        <v>2.59</v>
      </c>
      <c r="H446" s="24" t="s">
        <v>2328</v>
      </c>
      <c r="I446" s="24">
        <v>65.66</v>
      </c>
      <c r="J446" s="24" t="s">
        <v>2329</v>
      </c>
    </row>
    <row r="447" spans="1:10" x14ac:dyDescent="0.15">
      <c r="A447" s="28">
        <v>43210.737222222226</v>
      </c>
      <c r="B447" s="24">
        <v>373.1</v>
      </c>
      <c r="C447" s="24">
        <v>7.27</v>
      </c>
      <c r="D447" s="24" t="s">
        <v>2330</v>
      </c>
      <c r="E447" s="24">
        <v>6.3</v>
      </c>
      <c r="F447" s="24" t="s">
        <v>2331</v>
      </c>
      <c r="G447" s="24">
        <v>2.25</v>
      </c>
      <c r="H447" s="24" t="s">
        <v>2332</v>
      </c>
      <c r="I447" s="24">
        <v>65.63</v>
      </c>
      <c r="J447" s="24" t="s">
        <v>2333</v>
      </c>
    </row>
    <row r="448" spans="1:10" x14ac:dyDescent="0.15">
      <c r="A448" s="28">
        <v>43210.737268518518</v>
      </c>
      <c r="B448" s="24">
        <v>367.7</v>
      </c>
      <c r="C448" s="24">
        <v>5.75</v>
      </c>
      <c r="D448" s="24" t="s">
        <v>2334</v>
      </c>
      <c r="E448" s="24">
        <v>5.84</v>
      </c>
      <c r="F448" s="24" t="s">
        <v>2335</v>
      </c>
      <c r="G448" s="24">
        <v>2.52</v>
      </c>
      <c r="H448" s="24" t="s">
        <v>2336</v>
      </c>
      <c r="I448" s="24">
        <v>64.959999999999994</v>
      </c>
      <c r="J448" s="24" t="s">
        <v>2337</v>
      </c>
    </row>
    <row r="449" spans="1:10" x14ac:dyDescent="0.15">
      <c r="A449" s="28">
        <v>43210.737314814818</v>
      </c>
      <c r="B449" s="24">
        <v>363</v>
      </c>
      <c r="C449" s="24">
        <v>6.56</v>
      </c>
      <c r="D449" s="24" t="s">
        <v>2338</v>
      </c>
      <c r="E449" s="24">
        <v>5.74</v>
      </c>
      <c r="F449" s="24" t="s">
        <v>2339</v>
      </c>
      <c r="G449" s="24">
        <v>2.4500000000000002</v>
      </c>
      <c r="H449" s="24" t="s">
        <v>2340</v>
      </c>
      <c r="I449" s="24">
        <v>64.69</v>
      </c>
      <c r="J449" s="24" t="s">
        <v>2341</v>
      </c>
    </row>
    <row r="450" spans="1:10" x14ac:dyDescent="0.15">
      <c r="A450" s="28">
        <v>43210.737349537034</v>
      </c>
      <c r="B450" s="24">
        <v>358.4</v>
      </c>
      <c r="C450" s="24">
        <v>6.6</v>
      </c>
      <c r="D450" s="24" t="s">
        <v>2342</v>
      </c>
      <c r="E450" s="24">
        <v>5.12</v>
      </c>
      <c r="F450" s="24" t="s">
        <v>2343</v>
      </c>
      <c r="G450" s="24">
        <v>2.15</v>
      </c>
      <c r="H450" s="24" t="s">
        <v>2344</v>
      </c>
      <c r="I450" s="24">
        <v>65.06</v>
      </c>
      <c r="J450" s="24" t="s">
        <v>2345</v>
      </c>
    </row>
    <row r="451" spans="1:10" x14ac:dyDescent="0.15">
      <c r="A451" s="28">
        <v>43210.737395833334</v>
      </c>
      <c r="B451" s="24">
        <v>353.7</v>
      </c>
      <c r="C451" s="24">
        <v>6.39</v>
      </c>
      <c r="D451" s="24" t="s">
        <v>2346</v>
      </c>
      <c r="E451" s="24">
        <v>5.44</v>
      </c>
      <c r="F451" s="24" t="s">
        <v>2347</v>
      </c>
      <c r="G451" s="24">
        <v>2.46</v>
      </c>
      <c r="H451" s="24" t="s">
        <v>2348</v>
      </c>
      <c r="I451" s="24">
        <v>63.19</v>
      </c>
      <c r="J451" s="24" t="s">
        <v>2349</v>
      </c>
    </row>
    <row r="452" spans="1:10" x14ac:dyDescent="0.15">
      <c r="A452" s="28">
        <v>43210.737430555557</v>
      </c>
      <c r="B452" s="24">
        <v>349.2</v>
      </c>
      <c r="C452" s="24">
        <v>6.11</v>
      </c>
      <c r="D452" s="24" t="s">
        <v>2350</v>
      </c>
      <c r="E452" s="24">
        <v>6.44</v>
      </c>
      <c r="F452" s="24" t="s">
        <v>2351</v>
      </c>
      <c r="G452" s="24">
        <v>2.23</v>
      </c>
      <c r="H452" s="24" t="s">
        <v>2352</v>
      </c>
      <c r="I452" s="24">
        <v>64.77</v>
      </c>
      <c r="J452" s="24" t="s">
        <v>2353</v>
      </c>
    </row>
    <row r="453" spans="1:10" x14ac:dyDescent="0.15">
      <c r="A453" s="28">
        <v>43210.737476851849</v>
      </c>
      <c r="B453" s="24">
        <v>344.7</v>
      </c>
      <c r="C453" s="24">
        <v>8.3800000000000008</v>
      </c>
      <c r="D453" s="24" t="s">
        <v>2354</v>
      </c>
      <c r="E453" s="24">
        <v>5.39</v>
      </c>
      <c r="F453" s="24" t="s">
        <v>2355</v>
      </c>
      <c r="G453" s="24">
        <v>3.09</v>
      </c>
      <c r="H453" s="24" t="s">
        <v>2356</v>
      </c>
      <c r="I453" s="24">
        <v>65.599999999999994</v>
      </c>
      <c r="J453" s="24" t="s">
        <v>2357</v>
      </c>
    </row>
    <row r="454" spans="1:10" x14ac:dyDescent="0.15">
      <c r="A454" s="28">
        <v>43210.737511574072</v>
      </c>
      <c r="B454" s="24">
        <v>340.5</v>
      </c>
      <c r="C454" s="24">
        <v>8.43</v>
      </c>
      <c r="D454" s="24" t="s">
        <v>2358</v>
      </c>
      <c r="E454" s="24">
        <v>5.48</v>
      </c>
      <c r="F454" s="24" t="s">
        <v>2359</v>
      </c>
      <c r="G454" s="24">
        <v>3.98</v>
      </c>
      <c r="H454" s="24" t="s">
        <v>2360</v>
      </c>
      <c r="I454" s="24">
        <v>65.55</v>
      </c>
      <c r="J454" s="24" t="s">
        <v>2361</v>
      </c>
    </row>
    <row r="455" spans="1:10" x14ac:dyDescent="0.15">
      <c r="A455" s="28">
        <v>43210.737546296295</v>
      </c>
      <c r="B455" s="24">
        <v>336.2</v>
      </c>
      <c r="C455" s="24">
        <v>9.26</v>
      </c>
      <c r="D455" s="24" t="s">
        <v>2362</v>
      </c>
      <c r="E455" s="24">
        <v>7.24</v>
      </c>
      <c r="F455" s="24" t="s">
        <v>2363</v>
      </c>
      <c r="G455" s="24">
        <v>4.08</v>
      </c>
      <c r="H455" s="24" t="s">
        <v>2364</v>
      </c>
      <c r="I455" s="24">
        <v>63.55</v>
      </c>
      <c r="J455" s="24" t="s">
        <v>2365</v>
      </c>
    </row>
    <row r="456" spans="1:10" x14ac:dyDescent="0.15">
      <c r="A456" s="28">
        <v>43210.737592592595</v>
      </c>
      <c r="B456" s="24">
        <v>331.9</v>
      </c>
      <c r="C456" s="24">
        <v>8.6999999999999993</v>
      </c>
      <c r="D456" s="24" t="s">
        <v>2366</v>
      </c>
      <c r="E456" s="24">
        <v>8.9499999999999993</v>
      </c>
      <c r="F456" s="24" t="s">
        <v>2367</v>
      </c>
      <c r="G456" s="24">
        <v>4.95</v>
      </c>
      <c r="H456" s="24" t="s">
        <v>2368</v>
      </c>
      <c r="I456" s="24">
        <v>65.19</v>
      </c>
      <c r="J456" s="24" t="s">
        <v>2369</v>
      </c>
    </row>
    <row r="457" spans="1:10" x14ac:dyDescent="0.15">
      <c r="A457" s="28">
        <v>43210.737627314818</v>
      </c>
      <c r="B457" s="24">
        <v>327.9</v>
      </c>
      <c r="C457" s="24">
        <v>8.11</v>
      </c>
      <c r="D457" s="24" t="s">
        <v>2370</v>
      </c>
      <c r="E457" s="24">
        <v>12.3</v>
      </c>
      <c r="F457" s="24" t="s">
        <v>2371</v>
      </c>
      <c r="G457" s="24">
        <v>5.17</v>
      </c>
      <c r="H457" s="24" t="s">
        <v>2372</v>
      </c>
      <c r="I457" s="24">
        <v>64.86</v>
      </c>
      <c r="J457" s="24" t="s">
        <v>2373</v>
      </c>
    </row>
    <row r="458" spans="1:10" x14ac:dyDescent="0.15">
      <c r="A458" s="28">
        <v>43210.737673611111</v>
      </c>
      <c r="B458" s="24">
        <v>323.89999999999998</v>
      </c>
      <c r="C458" s="24">
        <v>9.6999999999999993</v>
      </c>
      <c r="D458" s="24" t="s">
        <v>2374</v>
      </c>
      <c r="E458" s="24">
        <v>9.68</v>
      </c>
      <c r="F458" s="24" t="s">
        <v>2375</v>
      </c>
      <c r="G458" s="24">
        <v>4.24</v>
      </c>
      <c r="H458" s="24" t="s">
        <v>2376</v>
      </c>
      <c r="I458" s="24">
        <v>65.09</v>
      </c>
      <c r="J458" s="24" t="s">
        <v>2377</v>
      </c>
    </row>
    <row r="459" spans="1:10" x14ac:dyDescent="0.15">
      <c r="A459" s="28">
        <v>43210.737708333334</v>
      </c>
      <c r="B459" s="24">
        <v>319.89999999999998</v>
      </c>
      <c r="C459" s="24">
        <v>8.0500000000000007</v>
      </c>
      <c r="D459" s="24" t="s">
        <v>2378</v>
      </c>
      <c r="E459" s="24">
        <v>5.64</v>
      </c>
      <c r="F459" s="24" t="s">
        <v>2379</v>
      </c>
      <c r="G459" s="24">
        <v>3.49</v>
      </c>
      <c r="H459" s="24" t="s">
        <v>2380</v>
      </c>
      <c r="I459" s="24">
        <v>62.81</v>
      </c>
      <c r="J459" s="24" t="s">
        <v>2381</v>
      </c>
    </row>
    <row r="460" spans="1:10" x14ac:dyDescent="0.15">
      <c r="A460" s="28">
        <v>43210.737754629627</v>
      </c>
      <c r="B460" s="24">
        <v>316.10000000000002</v>
      </c>
      <c r="C460" s="24">
        <v>7.99</v>
      </c>
      <c r="D460" s="24" t="s">
        <v>2382</v>
      </c>
      <c r="E460" s="24">
        <v>6.44</v>
      </c>
      <c r="F460" s="24" t="s">
        <v>2383</v>
      </c>
      <c r="G460" s="24">
        <v>2.6</v>
      </c>
      <c r="H460" s="24" t="s">
        <v>2384</v>
      </c>
      <c r="I460" s="24">
        <v>65.400000000000006</v>
      </c>
      <c r="J460" s="24" t="s">
        <v>2385</v>
      </c>
    </row>
    <row r="461" spans="1:10" x14ac:dyDescent="0.15">
      <c r="A461" s="28">
        <v>43210.73778935185</v>
      </c>
      <c r="B461" s="24">
        <v>312.2</v>
      </c>
      <c r="C461" s="24">
        <v>8.2200000000000006</v>
      </c>
      <c r="D461" s="24" t="s">
        <v>2386</v>
      </c>
      <c r="E461" s="24">
        <v>6.5</v>
      </c>
      <c r="F461" s="24" t="s">
        <v>2387</v>
      </c>
      <c r="G461" s="24">
        <v>2.41</v>
      </c>
      <c r="H461" s="24" t="s">
        <v>2388</v>
      </c>
      <c r="I461" s="24">
        <v>62.49</v>
      </c>
      <c r="J461" s="24" t="s">
        <v>2389</v>
      </c>
    </row>
  </sheetData>
  <mergeCells count="1">
    <mergeCell ref="B1:B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B04CC-FBE4-4A3C-B8DD-4917BD580025}">
  <sheetPr codeName="Sheet6"/>
  <dimension ref="A1:J215"/>
  <sheetViews>
    <sheetView workbookViewId="0">
      <selection activeCell="E3" sqref="E3:F3"/>
    </sheetView>
  </sheetViews>
  <sheetFormatPr defaultRowHeight="13.5" x14ac:dyDescent="0.15"/>
  <cols>
    <col min="1" max="1" width="17.25" bestFit="1" customWidth="1"/>
    <col min="2" max="2" width="6.5" bestFit="1" customWidth="1"/>
    <col min="3" max="3" width="13" bestFit="1" customWidth="1"/>
    <col min="4" max="4" width="12.5" bestFit="1" customWidth="1"/>
    <col min="5" max="5" width="13" bestFit="1" customWidth="1"/>
    <col min="6" max="6" width="12.5" bestFit="1" customWidth="1"/>
    <col min="7" max="7" width="15.125" bestFit="1" customWidth="1"/>
    <col min="8" max="8" width="12.5" bestFit="1" customWidth="1"/>
    <col min="9" max="9" width="15.125" bestFit="1" customWidth="1"/>
    <col min="10" max="10" width="13.625" bestFit="1" customWidth="1"/>
  </cols>
  <sheetData>
    <row r="1" spans="1:10" x14ac:dyDescent="0.15">
      <c r="A1" s="22" t="s">
        <v>76</v>
      </c>
      <c r="B1" s="44" t="s">
        <v>77</v>
      </c>
      <c r="C1" s="22" t="s">
        <v>78</v>
      </c>
      <c r="D1" s="22"/>
      <c r="E1" s="22" t="s">
        <v>79</v>
      </c>
      <c r="F1" s="22"/>
      <c r="G1" s="22" t="s">
        <v>184</v>
      </c>
      <c r="H1" s="22"/>
      <c r="I1" s="22" t="s">
        <v>185</v>
      </c>
      <c r="J1" s="22"/>
    </row>
    <row r="2" spans="1:10" x14ac:dyDescent="0.15">
      <c r="A2" s="22"/>
      <c r="B2" s="44"/>
      <c r="C2" s="20" t="s">
        <v>80</v>
      </c>
      <c r="D2" s="20" t="s">
        <v>81</v>
      </c>
      <c r="E2" s="20" t="s">
        <v>80</v>
      </c>
      <c r="F2" s="20" t="s">
        <v>81</v>
      </c>
      <c r="G2" s="20" t="s">
        <v>80</v>
      </c>
      <c r="H2" s="20" t="s">
        <v>81</v>
      </c>
      <c r="I2" s="20" t="s">
        <v>80</v>
      </c>
      <c r="J2" s="20" t="s">
        <v>81</v>
      </c>
    </row>
    <row r="3" spans="1:10" s="20" customFormat="1" x14ac:dyDescent="0.15">
      <c r="A3" s="22"/>
      <c r="D3" s="20" t="str">
        <f>VecAverage(D46:D163)</f>
        <v>0.3∠90.9°</v>
      </c>
      <c r="E3" s="12">
        <f>AVERAGE(E46:E163)</f>
        <v>82.112881355932203</v>
      </c>
      <c r="F3" s="20" t="str">
        <f>VecAverage(F46:F163)</f>
        <v>77.2∠64.4°</v>
      </c>
    </row>
    <row r="4" spans="1:10" x14ac:dyDescent="0.15">
      <c r="A4" s="21">
        <v>43210.49664351852</v>
      </c>
      <c r="B4" s="20">
        <v>1500</v>
      </c>
      <c r="C4" s="20">
        <v>1.39</v>
      </c>
      <c r="D4" s="20" t="s">
        <v>186</v>
      </c>
      <c r="E4" s="20">
        <v>149.9</v>
      </c>
      <c r="F4" s="20" t="s">
        <v>187</v>
      </c>
      <c r="G4" s="20">
        <v>9.0500000000000007</v>
      </c>
      <c r="H4" s="20" t="s">
        <v>188</v>
      </c>
      <c r="I4" s="20">
        <v>13.55</v>
      </c>
      <c r="J4" s="20" t="s">
        <v>189</v>
      </c>
    </row>
    <row r="5" spans="1:10" x14ac:dyDescent="0.15">
      <c r="A5" s="21">
        <v>43210.496770833335</v>
      </c>
      <c r="B5" s="20">
        <v>1499</v>
      </c>
      <c r="C5" s="20">
        <v>1.55</v>
      </c>
      <c r="D5" s="20" t="s">
        <v>190</v>
      </c>
      <c r="E5" s="20">
        <v>137.69999999999999</v>
      </c>
      <c r="F5" s="20" t="s">
        <v>191</v>
      </c>
      <c r="G5" s="20">
        <v>9.34</v>
      </c>
      <c r="H5" s="20" t="s">
        <v>192</v>
      </c>
      <c r="I5" s="20">
        <v>13.19</v>
      </c>
      <c r="J5" s="20" t="s">
        <v>193</v>
      </c>
    </row>
    <row r="6" spans="1:10" x14ac:dyDescent="0.15">
      <c r="A6" s="21">
        <v>43210.496898148151</v>
      </c>
      <c r="B6" s="20">
        <v>1499</v>
      </c>
      <c r="C6" s="20">
        <v>1.59</v>
      </c>
      <c r="D6" s="20" t="s">
        <v>194</v>
      </c>
      <c r="E6" s="20">
        <v>131.69999999999999</v>
      </c>
      <c r="F6" s="20" t="s">
        <v>195</v>
      </c>
      <c r="G6" s="20">
        <v>8.73</v>
      </c>
      <c r="H6" s="20" t="s">
        <v>196</v>
      </c>
      <c r="I6" s="20">
        <v>13.7</v>
      </c>
      <c r="J6" s="20" t="s">
        <v>197</v>
      </c>
    </row>
    <row r="7" spans="1:10" x14ac:dyDescent="0.15">
      <c r="A7" s="21">
        <v>43210.497025462966</v>
      </c>
      <c r="B7" s="20">
        <v>1499</v>
      </c>
      <c r="C7" s="20">
        <v>1.27</v>
      </c>
      <c r="D7" s="20" t="s">
        <v>198</v>
      </c>
      <c r="E7" s="20">
        <v>123.9</v>
      </c>
      <c r="F7" s="20" t="s">
        <v>199</v>
      </c>
      <c r="G7" s="20">
        <v>9.7100000000000009</v>
      </c>
      <c r="H7" s="20" t="s">
        <v>200</v>
      </c>
      <c r="I7" s="20">
        <v>13.09</v>
      </c>
      <c r="J7" s="20" t="s">
        <v>201</v>
      </c>
    </row>
    <row r="8" spans="1:10" x14ac:dyDescent="0.15">
      <c r="A8" s="21">
        <v>43210.497152777774</v>
      </c>
      <c r="B8" s="20">
        <v>1499</v>
      </c>
      <c r="C8" s="20">
        <v>1.29</v>
      </c>
      <c r="D8" s="20" t="s">
        <v>202</v>
      </c>
      <c r="E8" s="20">
        <v>118.4</v>
      </c>
      <c r="F8" s="20" t="s">
        <v>203</v>
      </c>
      <c r="G8" s="20">
        <v>8.92</v>
      </c>
      <c r="H8" s="20" t="s">
        <v>204</v>
      </c>
      <c r="I8" s="20">
        <v>12.53</v>
      </c>
      <c r="J8" s="20" t="s">
        <v>205</v>
      </c>
    </row>
    <row r="9" spans="1:10" x14ac:dyDescent="0.15">
      <c r="A9" s="21">
        <v>43210.49726851852</v>
      </c>
      <c r="B9" s="20">
        <v>1499</v>
      </c>
      <c r="C9" s="20">
        <v>1.44</v>
      </c>
      <c r="D9" s="20" t="s">
        <v>206</v>
      </c>
      <c r="E9" s="20">
        <v>115.4</v>
      </c>
      <c r="F9" s="20" t="s">
        <v>207</v>
      </c>
      <c r="G9" s="20">
        <v>8.7899999999999991</v>
      </c>
      <c r="H9" s="20" t="s">
        <v>208</v>
      </c>
      <c r="I9" s="20">
        <v>13.7</v>
      </c>
      <c r="J9" s="20" t="s">
        <v>209</v>
      </c>
    </row>
    <row r="10" spans="1:10" x14ac:dyDescent="0.15">
      <c r="A10" s="21">
        <v>43210.497395833336</v>
      </c>
      <c r="B10" s="20">
        <v>1499</v>
      </c>
      <c r="C10" s="20">
        <v>1.29</v>
      </c>
      <c r="D10" s="20" t="s">
        <v>210</v>
      </c>
      <c r="E10" s="20">
        <v>110.5</v>
      </c>
      <c r="F10" s="20" t="s">
        <v>211</v>
      </c>
      <c r="G10" s="20">
        <v>9.74</v>
      </c>
      <c r="H10" s="20" t="s">
        <v>212</v>
      </c>
      <c r="I10" s="20">
        <v>11.67</v>
      </c>
      <c r="J10" s="20" t="s">
        <v>213</v>
      </c>
    </row>
    <row r="11" spans="1:10" x14ac:dyDescent="0.15">
      <c r="A11" s="21">
        <v>43210.497523148151</v>
      </c>
      <c r="B11" s="20">
        <v>1499</v>
      </c>
      <c r="C11" s="20">
        <v>1.19</v>
      </c>
      <c r="D11" s="20" t="s">
        <v>214</v>
      </c>
      <c r="E11" s="20">
        <v>107.7</v>
      </c>
      <c r="F11" s="20" t="s">
        <v>215</v>
      </c>
      <c r="G11" s="20">
        <v>9.09</v>
      </c>
      <c r="H11" s="20" t="s">
        <v>216</v>
      </c>
      <c r="I11" s="20">
        <v>12.32</v>
      </c>
      <c r="J11" s="20" t="s">
        <v>217</v>
      </c>
    </row>
    <row r="12" spans="1:10" x14ac:dyDescent="0.15">
      <c r="A12" s="21">
        <v>43210.497650462959</v>
      </c>
      <c r="B12" s="20">
        <v>1500</v>
      </c>
      <c r="C12" s="20">
        <v>1.3</v>
      </c>
      <c r="D12" s="20" t="s">
        <v>218</v>
      </c>
      <c r="E12" s="20">
        <v>106.2</v>
      </c>
      <c r="F12" s="20" t="s">
        <v>219</v>
      </c>
      <c r="G12" s="20">
        <v>9.1</v>
      </c>
      <c r="H12" s="20" t="s">
        <v>220</v>
      </c>
      <c r="I12" s="20">
        <v>12.27</v>
      </c>
      <c r="J12" s="20" t="s">
        <v>221</v>
      </c>
    </row>
    <row r="13" spans="1:10" x14ac:dyDescent="0.15">
      <c r="A13" s="21">
        <v>43210.497766203705</v>
      </c>
      <c r="B13" s="20">
        <v>1500</v>
      </c>
      <c r="C13" s="20">
        <v>1.39</v>
      </c>
      <c r="D13" s="20" t="s">
        <v>222</v>
      </c>
      <c r="E13" s="20">
        <v>106.6</v>
      </c>
      <c r="F13" s="20" t="s">
        <v>223</v>
      </c>
      <c r="G13" s="20">
        <v>10.220000000000001</v>
      </c>
      <c r="H13" s="20" t="s">
        <v>224</v>
      </c>
      <c r="I13" s="20">
        <v>10.91</v>
      </c>
      <c r="J13" s="20" t="s">
        <v>225</v>
      </c>
    </row>
    <row r="14" spans="1:10" x14ac:dyDescent="0.15">
      <c r="A14" s="21">
        <v>43210.497893518521</v>
      </c>
      <c r="B14" s="20">
        <v>1500</v>
      </c>
      <c r="C14" s="20">
        <v>1.24</v>
      </c>
      <c r="D14" s="20" t="s">
        <v>226</v>
      </c>
      <c r="E14" s="20">
        <v>102.7</v>
      </c>
      <c r="F14" s="20" t="s">
        <v>227</v>
      </c>
      <c r="G14" s="20">
        <v>10.17</v>
      </c>
      <c r="H14" s="20" t="s">
        <v>228</v>
      </c>
      <c r="I14" s="20">
        <v>11.76</v>
      </c>
      <c r="J14" s="20" t="s">
        <v>229</v>
      </c>
    </row>
    <row r="15" spans="1:10" x14ac:dyDescent="0.15">
      <c r="A15" s="21">
        <v>43210.498020833336</v>
      </c>
      <c r="B15" s="20">
        <v>1500</v>
      </c>
      <c r="C15" s="20">
        <v>1.42</v>
      </c>
      <c r="D15" s="20" t="s">
        <v>230</v>
      </c>
      <c r="E15" s="20">
        <v>100.7</v>
      </c>
      <c r="F15" s="20" t="s">
        <v>231</v>
      </c>
      <c r="G15" s="20">
        <v>10.33</v>
      </c>
      <c r="H15" s="20" t="s">
        <v>232</v>
      </c>
      <c r="I15" s="20">
        <v>11.75</v>
      </c>
      <c r="J15" s="20" t="s">
        <v>233</v>
      </c>
    </row>
    <row r="16" spans="1:10" x14ac:dyDescent="0.15">
      <c r="A16" s="21">
        <v>43210.498148148145</v>
      </c>
      <c r="B16" s="20">
        <v>1500</v>
      </c>
      <c r="C16" s="20">
        <v>1.44</v>
      </c>
      <c r="D16" s="20" t="s">
        <v>234</v>
      </c>
      <c r="E16" s="20">
        <v>98.86</v>
      </c>
      <c r="F16" s="20" t="s">
        <v>235</v>
      </c>
      <c r="G16" s="20">
        <v>10.68</v>
      </c>
      <c r="H16" s="20" t="s">
        <v>236</v>
      </c>
      <c r="I16" s="20">
        <v>10.7</v>
      </c>
      <c r="J16" s="20" t="s">
        <v>237</v>
      </c>
    </row>
    <row r="17" spans="1:10" x14ac:dyDescent="0.15">
      <c r="A17" s="21">
        <v>43210.498263888891</v>
      </c>
      <c r="B17" s="20">
        <v>1499</v>
      </c>
      <c r="C17" s="20">
        <v>1.58</v>
      </c>
      <c r="D17" s="20" t="s">
        <v>238</v>
      </c>
      <c r="E17" s="20">
        <v>98.85</v>
      </c>
      <c r="F17" s="20" t="s">
        <v>239</v>
      </c>
      <c r="G17" s="20">
        <v>10.68</v>
      </c>
      <c r="H17" s="20" t="s">
        <v>236</v>
      </c>
      <c r="I17" s="20">
        <v>10.7</v>
      </c>
      <c r="J17" s="20" t="s">
        <v>237</v>
      </c>
    </row>
    <row r="18" spans="1:10" x14ac:dyDescent="0.15">
      <c r="A18" s="21">
        <v>43210.49827546296</v>
      </c>
      <c r="B18" s="20">
        <v>1499</v>
      </c>
      <c r="C18" s="20">
        <v>1.58</v>
      </c>
      <c r="D18" s="20" t="s">
        <v>238</v>
      </c>
      <c r="E18" s="20">
        <v>98.85</v>
      </c>
      <c r="F18" s="20" t="s">
        <v>239</v>
      </c>
      <c r="G18" s="20">
        <v>9.7799999999999994</v>
      </c>
      <c r="H18" s="20" t="s">
        <v>240</v>
      </c>
      <c r="I18" s="20">
        <v>11.83</v>
      </c>
      <c r="J18" s="20" t="s">
        <v>241</v>
      </c>
    </row>
    <row r="19" spans="1:10" x14ac:dyDescent="0.15">
      <c r="A19" s="21">
        <v>43210.498391203706</v>
      </c>
      <c r="B19" s="20">
        <v>1499</v>
      </c>
      <c r="C19" s="20">
        <v>1.19</v>
      </c>
      <c r="D19" s="20" t="s">
        <v>242</v>
      </c>
      <c r="E19" s="20">
        <v>95.84</v>
      </c>
      <c r="F19" s="20" t="s">
        <v>243</v>
      </c>
      <c r="G19" s="20">
        <v>10.24</v>
      </c>
      <c r="H19" s="20" t="s">
        <v>244</v>
      </c>
      <c r="I19" s="20">
        <v>11.65</v>
      </c>
      <c r="J19" s="20" t="s">
        <v>245</v>
      </c>
    </row>
    <row r="20" spans="1:10" x14ac:dyDescent="0.15">
      <c r="A20" s="21">
        <v>43210.498518518521</v>
      </c>
      <c r="B20" s="20">
        <v>1499</v>
      </c>
      <c r="C20" s="20">
        <v>1.32</v>
      </c>
      <c r="D20" s="20" t="s">
        <v>246</v>
      </c>
      <c r="E20" s="20">
        <v>93.6</v>
      </c>
      <c r="F20" s="20" t="s">
        <v>247</v>
      </c>
      <c r="G20" s="20">
        <v>10.87</v>
      </c>
      <c r="H20" s="20" t="s">
        <v>248</v>
      </c>
      <c r="I20" s="20">
        <v>10.76</v>
      </c>
      <c r="J20" s="20" t="s">
        <v>249</v>
      </c>
    </row>
    <row r="21" spans="1:10" x14ac:dyDescent="0.15">
      <c r="A21" s="21">
        <v>43210.498645833337</v>
      </c>
      <c r="B21" s="20">
        <v>1499</v>
      </c>
      <c r="C21" s="20">
        <v>1.32</v>
      </c>
      <c r="D21" s="20" t="s">
        <v>246</v>
      </c>
      <c r="E21" s="20">
        <v>93.6</v>
      </c>
      <c r="F21" s="20" t="s">
        <v>247</v>
      </c>
      <c r="G21" s="20">
        <v>9.68</v>
      </c>
      <c r="H21" s="20" t="s">
        <v>250</v>
      </c>
      <c r="I21" s="20">
        <v>11.27</v>
      </c>
      <c r="J21" s="20" t="s">
        <v>251</v>
      </c>
    </row>
    <row r="22" spans="1:10" x14ac:dyDescent="0.15">
      <c r="A22" s="21">
        <v>43210.498657407406</v>
      </c>
      <c r="B22" s="20">
        <v>1499</v>
      </c>
      <c r="C22" s="20">
        <v>1.34</v>
      </c>
      <c r="D22" s="20" t="s">
        <v>252</v>
      </c>
      <c r="E22" s="20">
        <v>93.13</v>
      </c>
      <c r="F22" s="20" t="s">
        <v>253</v>
      </c>
      <c r="G22" s="20">
        <v>9.68</v>
      </c>
      <c r="H22" s="20" t="s">
        <v>250</v>
      </c>
      <c r="I22" s="20">
        <v>11.27</v>
      </c>
      <c r="J22" s="20" t="s">
        <v>251</v>
      </c>
    </row>
    <row r="23" spans="1:10" x14ac:dyDescent="0.15">
      <c r="A23" s="21">
        <v>43210.498773148145</v>
      </c>
      <c r="B23" s="20">
        <v>1499</v>
      </c>
      <c r="C23" s="20">
        <v>1.34</v>
      </c>
      <c r="D23" s="20" t="s">
        <v>252</v>
      </c>
      <c r="E23" s="20">
        <v>93.13</v>
      </c>
      <c r="F23" s="20" t="s">
        <v>253</v>
      </c>
      <c r="G23" s="20">
        <v>10</v>
      </c>
      <c r="H23" s="20" t="s">
        <v>254</v>
      </c>
      <c r="I23" s="20">
        <v>11.42</v>
      </c>
      <c r="J23" s="20" t="s">
        <v>255</v>
      </c>
    </row>
    <row r="24" spans="1:10" x14ac:dyDescent="0.15">
      <c r="A24" s="21">
        <v>43210.498784722222</v>
      </c>
      <c r="B24" s="20">
        <v>1499</v>
      </c>
      <c r="C24" s="20">
        <v>1.45</v>
      </c>
      <c r="D24" s="20" t="s">
        <v>256</v>
      </c>
      <c r="E24" s="20">
        <v>91.8</v>
      </c>
      <c r="F24" s="20" t="s">
        <v>257</v>
      </c>
      <c r="G24" s="20">
        <v>10</v>
      </c>
      <c r="H24" s="20" t="s">
        <v>254</v>
      </c>
      <c r="I24" s="20">
        <v>11.42</v>
      </c>
      <c r="J24" s="20" t="s">
        <v>255</v>
      </c>
    </row>
    <row r="25" spans="1:10" x14ac:dyDescent="0.15">
      <c r="A25" s="21">
        <v>43210.498888888891</v>
      </c>
      <c r="B25" s="20">
        <v>1499</v>
      </c>
      <c r="C25" s="20">
        <v>1.45</v>
      </c>
      <c r="D25" s="20" t="s">
        <v>256</v>
      </c>
      <c r="E25" s="20">
        <v>91.8</v>
      </c>
      <c r="F25" s="20" t="s">
        <v>257</v>
      </c>
      <c r="G25" s="20">
        <v>11.1</v>
      </c>
      <c r="H25" s="20" t="s">
        <v>258</v>
      </c>
      <c r="I25" s="20">
        <v>11.32</v>
      </c>
      <c r="J25" s="20" t="s">
        <v>259</v>
      </c>
    </row>
    <row r="26" spans="1:10" x14ac:dyDescent="0.15">
      <c r="A26" s="21">
        <v>43210.498912037037</v>
      </c>
      <c r="B26" s="20">
        <v>1499</v>
      </c>
      <c r="C26" s="20">
        <v>1.23</v>
      </c>
      <c r="D26" s="20" t="s">
        <v>252</v>
      </c>
      <c r="E26" s="20">
        <v>92.83</v>
      </c>
      <c r="F26" s="20" t="s">
        <v>260</v>
      </c>
      <c r="G26" s="20">
        <v>11.1</v>
      </c>
      <c r="H26" s="20" t="s">
        <v>258</v>
      </c>
      <c r="I26" s="20">
        <v>11.32</v>
      </c>
      <c r="J26" s="20" t="s">
        <v>259</v>
      </c>
    </row>
    <row r="27" spans="1:10" x14ac:dyDescent="0.15">
      <c r="A27" s="21">
        <v>43210.499016203707</v>
      </c>
      <c r="B27" s="20">
        <v>1500</v>
      </c>
      <c r="C27" s="20">
        <v>1.23</v>
      </c>
      <c r="D27" s="20" t="s">
        <v>252</v>
      </c>
      <c r="E27" s="20">
        <v>92.83</v>
      </c>
      <c r="F27" s="20" t="s">
        <v>260</v>
      </c>
      <c r="G27" s="20">
        <v>10.52</v>
      </c>
      <c r="H27" s="20" t="s">
        <v>261</v>
      </c>
      <c r="I27" s="20">
        <v>11.05</v>
      </c>
      <c r="J27" s="20" t="s">
        <v>262</v>
      </c>
    </row>
    <row r="28" spans="1:10" x14ac:dyDescent="0.15">
      <c r="A28" s="21">
        <v>43210.499039351853</v>
      </c>
      <c r="B28" s="20">
        <v>1501</v>
      </c>
      <c r="C28" s="20">
        <v>1.22</v>
      </c>
      <c r="D28" s="20" t="s">
        <v>263</v>
      </c>
      <c r="E28" s="20">
        <v>89.59</v>
      </c>
      <c r="F28" s="20" t="s">
        <v>264</v>
      </c>
      <c r="G28" s="20">
        <v>10.52</v>
      </c>
      <c r="H28" s="20" t="s">
        <v>261</v>
      </c>
      <c r="I28" s="20">
        <v>11.05</v>
      </c>
      <c r="J28" s="20" t="s">
        <v>262</v>
      </c>
    </row>
    <row r="29" spans="1:10" x14ac:dyDescent="0.15">
      <c r="A29" s="21">
        <v>43210.499143518522</v>
      </c>
      <c r="B29" s="20">
        <v>1501</v>
      </c>
      <c r="C29" s="20">
        <v>1.22</v>
      </c>
      <c r="D29" s="20" t="s">
        <v>263</v>
      </c>
      <c r="E29" s="20">
        <v>89.59</v>
      </c>
      <c r="F29" s="20" t="s">
        <v>264</v>
      </c>
      <c r="G29" s="20">
        <v>10.16</v>
      </c>
      <c r="H29" s="20" t="s">
        <v>265</v>
      </c>
      <c r="I29" s="20">
        <v>11.2</v>
      </c>
      <c r="J29" s="20" t="s">
        <v>266</v>
      </c>
    </row>
    <row r="30" spans="1:10" x14ac:dyDescent="0.15">
      <c r="A30" s="21">
        <v>43210.499166666668</v>
      </c>
      <c r="B30" s="20">
        <v>1501</v>
      </c>
      <c r="C30" s="20">
        <v>1.3</v>
      </c>
      <c r="D30" s="20" t="s">
        <v>252</v>
      </c>
      <c r="E30" s="20">
        <v>88.99</v>
      </c>
      <c r="F30" s="20" t="s">
        <v>267</v>
      </c>
      <c r="G30" s="20">
        <v>10.16</v>
      </c>
      <c r="H30" s="20" t="s">
        <v>265</v>
      </c>
      <c r="I30" s="20">
        <v>11.2</v>
      </c>
      <c r="J30" s="20" t="s">
        <v>266</v>
      </c>
    </row>
    <row r="31" spans="1:10" x14ac:dyDescent="0.15">
      <c r="A31" s="21">
        <v>43210.49927083333</v>
      </c>
      <c r="B31" s="20">
        <v>1501</v>
      </c>
      <c r="C31" s="20">
        <v>1.3</v>
      </c>
      <c r="D31" s="20" t="s">
        <v>252</v>
      </c>
      <c r="E31" s="20">
        <v>88.99</v>
      </c>
      <c r="F31" s="20" t="s">
        <v>267</v>
      </c>
      <c r="G31" s="20">
        <v>10.56</v>
      </c>
      <c r="H31" s="20" t="s">
        <v>268</v>
      </c>
      <c r="I31" s="20">
        <v>10.99</v>
      </c>
      <c r="J31" s="20" t="s">
        <v>269</v>
      </c>
    </row>
    <row r="32" spans="1:10" x14ac:dyDescent="0.15">
      <c r="A32" s="21">
        <v>43210.499293981484</v>
      </c>
      <c r="B32" s="20">
        <v>1501</v>
      </c>
      <c r="C32" s="20">
        <v>1.31</v>
      </c>
      <c r="D32" s="20" t="s">
        <v>256</v>
      </c>
      <c r="E32" s="20">
        <v>88.01</v>
      </c>
      <c r="F32" s="20" t="s">
        <v>270</v>
      </c>
      <c r="G32" s="20">
        <v>10.56</v>
      </c>
      <c r="H32" s="20" t="s">
        <v>268</v>
      </c>
      <c r="I32" s="20">
        <v>10.99</v>
      </c>
      <c r="J32" s="20" t="s">
        <v>269</v>
      </c>
    </row>
    <row r="33" spans="1:10" x14ac:dyDescent="0.15">
      <c r="A33" s="21">
        <v>43210.499398148146</v>
      </c>
      <c r="B33" s="20">
        <v>1501</v>
      </c>
      <c r="C33" s="20">
        <v>1.31</v>
      </c>
      <c r="D33" s="20" t="s">
        <v>256</v>
      </c>
      <c r="E33" s="20">
        <v>88.01</v>
      </c>
      <c r="F33" s="20" t="s">
        <v>270</v>
      </c>
      <c r="G33" s="20">
        <v>10.3</v>
      </c>
      <c r="H33" s="20" t="s">
        <v>271</v>
      </c>
      <c r="I33" s="20">
        <v>10.6</v>
      </c>
      <c r="J33" s="20" t="s">
        <v>272</v>
      </c>
    </row>
    <row r="34" spans="1:10" x14ac:dyDescent="0.15">
      <c r="A34" s="21">
        <v>43210.499421296299</v>
      </c>
      <c r="B34" s="20">
        <v>1501</v>
      </c>
      <c r="C34" s="20">
        <v>1.34</v>
      </c>
      <c r="D34" s="20" t="s">
        <v>273</v>
      </c>
      <c r="E34" s="20">
        <v>86.8</v>
      </c>
      <c r="F34" s="20" t="s">
        <v>274</v>
      </c>
      <c r="G34" s="20">
        <v>10.3</v>
      </c>
      <c r="H34" s="20" t="s">
        <v>271</v>
      </c>
      <c r="I34" s="20">
        <v>10.6</v>
      </c>
      <c r="J34" s="20" t="s">
        <v>272</v>
      </c>
    </row>
    <row r="35" spans="1:10" x14ac:dyDescent="0.15">
      <c r="A35" s="21">
        <v>43210.499513888892</v>
      </c>
      <c r="B35" s="20">
        <v>1501</v>
      </c>
      <c r="C35" s="20">
        <v>1.34</v>
      </c>
      <c r="D35" s="20" t="s">
        <v>273</v>
      </c>
      <c r="E35" s="20">
        <v>86.8</v>
      </c>
      <c r="F35" s="20" t="s">
        <v>274</v>
      </c>
      <c r="G35" s="20">
        <v>10.32</v>
      </c>
      <c r="H35" s="20" t="s">
        <v>275</v>
      </c>
      <c r="I35" s="20">
        <v>11.01</v>
      </c>
      <c r="J35" s="20" t="s">
        <v>276</v>
      </c>
    </row>
    <row r="36" spans="1:10" x14ac:dyDescent="0.15">
      <c r="A36" s="21">
        <v>43210.499548611115</v>
      </c>
      <c r="B36" s="20">
        <v>1501</v>
      </c>
      <c r="C36" s="20">
        <v>1.33</v>
      </c>
      <c r="D36" s="20" t="s">
        <v>277</v>
      </c>
      <c r="E36" s="20">
        <v>86.74</v>
      </c>
      <c r="F36" s="20" t="s">
        <v>278</v>
      </c>
      <c r="G36" s="20">
        <v>10.32</v>
      </c>
      <c r="H36" s="20" t="s">
        <v>275</v>
      </c>
      <c r="I36" s="20">
        <v>11.01</v>
      </c>
      <c r="J36" s="20" t="s">
        <v>276</v>
      </c>
    </row>
    <row r="37" spans="1:10" x14ac:dyDescent="0.15">
      <c r="A37" s="21">
        <v>43210.499594907407</v>
      </c>
      <c r="B37" s="20">
        <v>1500</v>
      </c>
      <c r="C37" s="20">
        <v>0.71</v>
      </c>
      <c r="D37" s="20" t="s">
        <v>279</v>
      </c>
      <c r="E37" s="20">
        <v>82.83</v>
      </c>
      <c r="F37" s="20" t="s">
        <v>280</v>
      </c>
      <c r="G37" s="20">
        <v>9.68</v>
      </c>
      <c r="H37" s="20" t="s">
        <v>281</v>
      </c>
      <c r="I37" s="20">
        <v>9.89</v>
      </c>
      <c r="J37" s="20" t="s">
        <v>282</v>
      </c>
    </row>
    <row r="38" spans="1:10" x14ac:dyDescent="0.15">
      <c r="A38" s="21">
        <v>43210.499722222223</v>
      </c>
      <c r="B38" s="20">
        <v>1501</v>
      </c>
      <c r="C38" s="20">
        <v>1.1299999999999999</v>
      </c>
      <c r="D38" s="20" t="s">
        <v>283</v>
      </c>
      <c r="E38" s="20">
        <v>85.42</v>
      </c>
      <c r="F38" s="20" t="s">
        <v>284</v>
      </c>
      <c r="G38" s="20">
        <v>11.8</v>
      </c>
      <c r="H38" s="20" t="s">
        <v>285</v>
      </c>
      <c r="I38" s="20">
        <v>10.56</v>
      </c>
      <c r="J38" s="20" t="s">
        <v>286</v>
      </c>
    </row>
    <row r="39" spans="1:10" x14ac:dyDescent="0.15">
      <c r="A39" s="21">
        <v>43210.499849537038</v>
      </c>
      <c r="B39" s="20">
        <v>1501</v>
      </c>
      <c r="C39" s="20">
        <v>1.1299999999999999</v>
      </c>
      <c r="D39" s="20" t="s">
        <v>283</v>
      </c>
      <c r="E39" s="20">
        <v>85.42</v>
      </c>
      <c r="F39" s="20" t="s">
        <v>284</v>
      </c>
      <c r="G39" s="20">
        <v>11.8</v>
      </c>
      <c r="H39" s="20" t="s">
        <v>285</v>
      </c>
      <c r="I39" s="20">
        <v>11.06</v>
      </c>
      <c r="J39" s="20" t="s">
        <v>287</v>
      </c>
    </row>
    <row r="40" spans="1:10" x14ac:dyDescent="0.15">
      <c r="A40" s="21">
        <v>43210.499861111108</v>
      </c>
      <c r="B40" s="20">
        <v>1501</v>
      </c>
      <c r="C40" s="20">
        <v>1.38</v>
      </c>
      <c r="D40" s="20" t="s">
        <v>288</v>
      </c>
      <c r="E40" s="20">
        <v>85.77</v>
      </c>
      <c r="F40" s="20" t="s">
        <v>289</v>
      </c>
      <c r="G40" s="20">
        <v>9.83</v>
      </c>
      <c r="H40" s="20" t="s">
        <v>290</v>
      </c>
      <c r="I40" s="20">
        <v>11.06</v>
      </c>
      <c r="J40" s="20" t="s">
        <v>287</v>
      </c>
    </row>
    <row r="41" spans="1:10" x14ac:dyDescent="0.15">
      <c r="A41" s="21">
        <v>43210.499976851854</v>
      </c>
      <c r="B41" s="20">
        <v>1501</v>
      </c>
      <c r="C41" s="20">
        <v>1.25</v>
      </c>
      <c r="D41" s="20" t="s">
        <v>288</v>
      </c>
      <c r="E41" s="20">
        <v>85.53</v>
      </c>
      <c r="F41" s="20" t="s">
        <v>291</v>
      </c>
      <c r="G41" s="20">
        <v>10.99</v>
      </c>
      <c r="H41" s="20" t="s">
        <v>292</v>
      </c>
      <c r="I41" s="20">
        <v>10.64</v>
      </c>
      <c r="J41" s="20" t="s">
        <v>293</v>
      </c>
    </row>
    <row r="42" spans="1:10" x14ac:dyDescent="0.15">
      <c r="A42" s="21">
        <v>43210.500138888892</v>
      </c>
      <c r="B42" s="20">
        <v>1500</v>
      </c>
      <c r="C42" s="20">
        <v>0.76</v>
      </c>
      <c r="D42" s="20" t="s">
        <v>294</v>
      </c>
      <c r="E42" s="20">
        <v>81.61</v>
      </c>
      <c r="F42" s="20" t="s">
        <v>295</v>
      </c>
      <c r="G42" s="20">
        <v>10.050000000000001</v>
      </c>
      <c r="H42" s="20" t="s">
        <v>296</v>
      </c>
      <c r="I42" s="20">
        <v>8.93</v>
      </c>
      <c r="J42" s="20" t="s">
        <v>297</v>
      </c>
    </row>
    <row r="43" spans="1:10" x14ac:dyDescent="0.15">
      <c r="A43" s="21">
        <v>43210.500173611108</v>
      </c>
      <c r="B43" s="20">
        <v>1500</v>
      </c>
      <c r="C43" s="20">
        <v>1.25</v>
      </c>
      <c r="D43" s="20" t="s">
        <v>214</v>
      </c>
      <c r="E43" s="20">
        <v>84.26</v>
      </c>
      <c r="F43" s="20" t="s">
        <v>298</v>
      </c>
      <c r="G43" s="20">
        <v>10.52</v>
      </c>
      <c r="H43" s="20" t="s">
        <v>299</v>
      </c>
      <c r="I43" s="20">
        <v>11.21</v>
      </c>
      <c r="J43" s="20" t="s">
        <v>300</v>
      </c>
    </row>
    <row r="44" spans="1:10" x14ac:dyDescent="0.15">
      <c r="A44" s="21">
        <v>43210.500196759262</v>
      </c>
      <c r="B44" s="20">
        <v>1500</v>
      </c>
      <c r="C44" s="20">
        <v>1.1499999999999999</v>
      </c>
      <c r="D44" s="20" t="s">
        <v>283</v>
      </c>
      <c r="E44" s="20">
        <v>85.97</v>
      </c>
      <c r="F44" s="20" t="s">
        <v>301</v>
      </c>
      <c r="G44" s="20">
        <v>10.26</v>
      </c>
      <c r="H44" s="20" t="s">
        <v>302</v>
      </c>
      <c r="I44" s="20">
        <v>11.18</v>
      </c>
      <c r="J44" s="20" t="s">
        <v>303</v>
      </c>
    </row>
    <row r="45" spans="1:10" x14ac:dyDescent="0.15">
      <c r="A45" s="21">
        <v>43210.500231481485</v>
      </c>
      <c r="B45" s="20">
        <v>1500</v>
      </c>
      <c r="C45" s="20">
        <v>1.38</v>
      </c>
      <c r="D45" s="20" t="s">
        <v>304</v>
      </c>
      <c r="E45" s="20">
        <v>85.71</v>
      </c>
      <c r="F45" s="20" t="s">
        <v>305</v>
      </c>
      <c r="G45" s="20">
        <v>10.47</v>
      </c>
      <c r="H45" s="20" t="s">
        <v>306</v>
      </c>
      <c r="I45" s="20">
        <v>11.31</v>
      </c>
      <c r="J45" s="20" t="s">
        <v>307</v>
      </c>
    </row>
    <row r="46" spans="1:10" x14ac:dyDescent="0.15">
      <c r="A46" s="21">
        <v>43210.5002662037</v>
      </c>
      <c r="B46" s="20">
        <v>1500</v>
      </c>
      <c r="C46" s="20">
        <v>1.1299999999999999</v>
      </c>
      <c r="D46" s="20" t="s">
        <v>288</v>
      </c>
      <c r="E46" s="20">
        <v>85.24</v>
      </c>
      <c r="F46" s="20" t="s">
        <v>308</v>
      </c>
      <c r="G46" s="20">
        <v>10.41</v>
      </c>
      <c r="H46" s="20" t="s">
        <v>309</v>
      </c>
      <c r="I46" s="20">
        <v>10.32</v>
      </c>
      <c r="J46" s="20" t="s">
        <v>310</v>
      </c>
    </row>
    <row r="47" spans="1:10" x14ac:dyDescent="0.15">
      <c r="A47" s="21">
        <v>43210.500289351854</v>
      </c>
      <c r="B47" s="20">
        <v>1500</v>
      </c>
      <c r="C47" s="20">
        <v>1.22</v>
      </c>
      <c r="D47" s="20" t="s">
        <v>246</v>
      </c>
      <c r="E47" s="20">
        <v>82.81</v>
      </c>
      <c r="F47" s="20" t="s">
        <v>311</v>
      </c>
      <c r="G47" s="20">
        <v>10.06</v>
      </c>
      <c r="H47" s="20" t="s">
        <v>244</v>
      </c>
      <c r="I47" s="20">
        <v>10.57</v>
      </c>
      <c r="J47" s="20" t="s">
        <v>312</v>
      </c>
    </row>
    <row r="48" spans="1:10" x14ac:dyDescent="0.15">
      <c r="A48" s="21">
        <v>43210.500324074077</v>
      </c>
      <c r="B48" s="20">
        <v>1499</v>
      </c>
      <c r="C48" s="20">
        <v>1.59</v>
      </c>
      <c r="D48" s="20" t="s">
        <v>313</v>
      </c>
      <c r="E48" s="20">
        <v>84.19</v>
      </c>
      <c r="F48" s="20" t="s">
        <v>314</v>
      </c>
      <c r="G48" s="20">
        <v>10.59</v>
      </c>
      <c r="H48" s="20" t="s">
        <v>315</v>
      </c>
      <c r="I48" s="20">
        <v>10.84</v>
      </c>
      <c r="J48" s="20" t="s">
        <v>316</v>
      </c>
    </row>
    <row r="49" spans="1:10" x14ac:dyDescent="0.15">
      <c r="A49" s="21">
        <v>43210.500358796293</v>
      </c>
      <c r="B49" s="20">
        <v>1500</v>
      </c>
      <c r="C49" s="20">
        <v>1.53</v>
      </c>
      <c r="D49" s="20" t="s">
        <v>304</v>
      </c>
      <c r="E49" s="20">
        <v>84.49</v>
      </c>
      <c r="F49" s="20" t="s">
        <v>317</v>
      </c>
      <c r="G49" s="20">
        <v>10.89</v>
      </c>
      <c r="H49" s="20" t="s">
        <v>318</v>
      </c>
      <c r="I49" s="20">
        <v>10.31</v>
      </c>
      <c r="J49" s="20" t="s">
        <v>319</v>
      </c>
    </row>
    <row r="50" spans="1:10" x14ac:dyDescent="0.15">
      <c r="A50" s="21">
        <v>43210.500381944446</v>
      </c>
      <c r="B50" s="20">
        <v>1500</v>
      </c>
      <c r="C50" s="20">
        <v>1.53</v>
      </c>
      <c r="D50" s="20" t="s">
        <v>304</v>
      </c>
      <c r="E50" s="20">
        <v>84.49</v>
      </c>
      <c r="F50" s="20" t="s">
        <v>317</v>
      </c>
      <c r="G50" s="20">
        <v>10.89</v>
      </c>
      <c r="H50" s="20" t="s">
        <v>318</v>
      </c>
      <c r="I50" s="20">
        <v>11.01</v>
      </c>
      <c r="J50" s="20" t="s">
        <v>320</v>
      </c>
    </row>
    <row r="51" spans="1:10" x14ac:dyDescent="0.15">
      <c r="A51" s="21">
        <v>43210.500393518516</v>
      </c>
      <c r="B51" s="20">
        <v>1500</v>
      </c>
      <c r="C51" s="20">
        <v>1.23</v>
      </c>
      <c r="D51" s="20" t="s">
        <v>321</v>
      </c>
      <c r="E51" s="20">
        <v>82.55</v>
      </c>
      <c r="F51" s="20" t="s">
        <v>322</v>
      </c>
      <c r="G51" s="20">
        <v>11.27</v>
      </c>
      <c r="H51" s="20" t="s">
        <v>323</v>
      </c>
      <c r="I51" s="20">
        <v>11.01</v>
      </c>
      <c r="J51" s="20" t="s">
        <v>320</v>
      </c>
    </row>
    <row r="52" spans="1:10" x14ac:dyDescent="0.15">
      <c r="A52" s="21">
        <v>43210.500416666669</v>
      </c>
      <c r="B52" s="20">
        <v>1499</v>
      </c>
      <c r="C52" s="20">
        <v>1.4</v>
      </c>
      <c r="D52" s="20" t="s">
        <v>324</v>
      </c>
      <c r="E52" s="20">
        <v>86.58</v>
      </c>
      <c r="F52" s="20" t="s">
        <v>322</v>
      </c>
      <c r="G52" s="20">
        <v>11.01</v>
      </c>
      <c r="H52" s="20" t="s">
        <v>325</v>
      </c>
      <c r="I52" s="20">
        <v>10.68</v>
      </c>
      <c r="J52" s="20" t="s">
        <v>326</v>
      </c>
    </row>
    <row r="53" spans="1:10" x14ac:dyDescent="0.15">
      <c r="A53" s="21">
        <v>43210.500451388885</v>
      </c>
      <c r="B53" s="20">
        <v>1500</v>
      </c>
      <c r="C53" s="20">
        <v>2.92</v>
      </c>
      <c r="D53" s="20" t="s">
        <v>327</v>
      </c>
      <c r="E53" s="20">
        <v>84.49</v>
      </c>
      <c r="F53" s="20" t="s">
        <v>328</v>
      </c>
      <c r="G53" s="20">
        <v>11.07</v>
      </c>
      <c r="H53" s="20" t="s">
        <v>329</v>
      </c>
      <c r="I53" s="20">
        <v>9.93</v>
      </c>
      <c r="J53" s="20" t="s">
        <v>330</v>
      </c>
    </row>
    <row r="54" spans="1:10" x14ac:dyDescent="0.15">
      <c r="A54" s="21">
        <v>43210.500474537039</v>
      </c>
      <c r="B54" s="20">
        <v>1500</v>
      </c>
      <c r="C54" s="20">
        <v>1.74</v>
      </c>
      <c r="D54" s="20" t="s">
        <v>331</v>
      </c>
      <c r="E54" s="20">
        <v>83.29</v>
      </c>
      <c r="F54" s="20" t="s">
        <v>332</v>
      </c>
      <c r="G54" s="20">
        <v>12.2</v>
      </c>
      <c r="H54" s="20" t="s">
        <v>333</v>
      </c>
      <c r="I54" s="20">
        <v>10.46</v>
      </c>
      <c r="J54" s="20" t="s">
        <v>334</v>
      </c>
    </row>
    <row r="55" spans="1:10" x14ac:dyDescent="0.15">
      <c r="A55" s="21">
        <v>43210.500509259262</v>
      </c>
      <c r="B55" s="20">
        <v>1500</v>
      </c>
      <c r="C55" s="20">
        <v>1.38</v>
      </c>
      <c r="D55" s="20" t="s">
        <v>335</v>
      </c>
      <c r="E55" s="20">
        <v>85.34</v>
      </c>
      <c r="F55" s="20" t="s">
        <v>336</v>
      </c>
      <c r="G55" s="20">
        <v>10.56</v>
      </c>
      <c r="H55" s="20" t="s">
        <v>337</v>
      </c>
      <c r="I55" s="20">
        <v>11.01</v>
      </c>
      <c r="J55" s="20" t="s">
        <v>338</v>
      </c>
    </row>
    <row r="56" spans="1:10" x14ac:dyDescent="0.15">
      <c r="A56" s="21">
        <v>43210.500543981485</v>
      </c>
      <c r="B56" s="20">
        <v>1500</v>
      </c>
      <c r="C56" s="20">
        <v>1.6</v>
      </c>
      <c r="D56" s="20" t="s">
        <v>339</v>
      </c>
      <c r="E56" s="20">
        <v>82.63</v>
      </c>
      <c r="F56" s="20" t="s">
        <v>340</v>
      </c>
      <c r="G56" s="20">
        <v>10.62</v>
      </c>
      <c r="H56" s="20" t="s">
        <v>341</v>
      </c>
      <c r="I56" s="20">
        <v>10.8</v>
      </c>
      <c r="J56" s="20" t="s">
        <v>342</v>
      </c>
    </row>
    <row r="57" spans="1:10" x14ac:dyDescent="0.15">
      <c r="A57" s="21">
        <v>43210.500578703701</v>
      </c>
      <c r="B57" s="20">
        <v>1500</v>
      </c>
      <c r="C57" s="20">
        <v>1.1200000000000001</v>
      </c>
      <c r="D57" s="20" t="s">
        <v>288</v>
      </c>
      <c r="E57" s="20">
        <v>84.61</v>
      </c>
      <c r="F57" s="20" t="s">
        <v>343</v>
      </c>
      <c r="G57" s="20">
        <v>10.47</v>
      </c>
      <c r="H57" s="20" t="s">
        <v>344</v>
      </c>
      <c r="I57" s="20">
        <v>10.8</v>
      </c>
      <c r="J57" s="20" t="s">
        <v>345</v>
      </c>
    </row>
    <row r="58" spans="1:10" x14ac:dyDescent="0.15">
      <c r="A58" s="21">
        <v>43210.500601851854</v>
      </c>
      <c r="B58" s="20">
        <v>1500</v>
      </c>
      <c r="C58" s="20">
        <v>1.2</v>
      </c>
      <c r="D58" s="20" t="s">
        <v>346</v>
      </c>
      <c r="E58" s="20">
        <v>82.23</v>
      </c>
      <c r="F58" s="20" t="s">
        <v>347</v>
      </c>
      <c r="G58" s="20">
        <v>10.34</v>
      </c>
      <c r="H58" s="20" t="s">
        <v>348</v>
      </c>
      <c r="I58" s="20">
        <v>10.75</v>
      </c>
      <c r="J58" s="20" t="s">
        <v>349</v>
      </c>
    </row>
    <row r="59" spans="1:10" x14ac:dyDescent="0.15">
      <c r="A59" s="21">
        <v>43210.500636574077</v>
      </c>
      <c r="B59" s="20">
        <v>1500</v>
      </c>
      <c r="C59" s="20">
        <v>1.17</v>
      </c>
      <c r="D59" s="20" t="s">
        <v>234</v>
      </c>
      <c r="E59" s="20">
        <v>84.2</v>
      </c>
      <c r="F59" s="20" t="s">
        <v>350</v>
      </c>
      <c r="G59" s="20">
        <v>10.32</v>
      </c>
      <c r="H59" s="20" t="s">
        <v>351</v>
      </c>
      <c r="I59" s="20">
        <v>10.82</v>
      </c>
      <c r="J59" s="20" t="s">
        <v>352</v>
      </c>
    </row>
    <row r="60" spans="1:10" x14ac:dyDescent="0.15">
      <c r="A60" s="21">
        <v>43210.500671296293</v>
      </c>
      <c r="B60" s="20">
        <v>1501</v>
      </c>
      <c r="C60" s="20">
        <v>1.33</v>
      </c>
      <c r="D60" s="20" t="s">
        <v>263</v>
      </c>
      <c r="E60" s="20">
        <v>82.5</v>
      </c>
      <c r="F60" s="20" t="s">
        <v>353</v>
      </c>
      <c r="G60" s="20">
        <v>10.02</v>
      </c>
      <c r="H60" s="20" t="s">
        <v>354</v>
      </c>
      <c r="I60" s="20">
        <v>10.47</v>
      </c>
      <c r="J60" s="20" t="s">
        <v>355</v>
      </c>
    </row>
    <row r="61" spans="1:10" x14ac:dyDescent="0.15">
      <c r="A61" s="21">
        <v>43210.500694444447</v>
      </c>
      <c r="B61" s="20">
        <v>1501</v>
      </c>
      <c r="C61" s="20">
        <v>1.53</v>
      </c>
      <c r="D61" s="20" t="s">
        <v>335</v>
      </c>
      <c r="E61" s="20">
        <v>82.46</v>
      </c>
      <c r="F61" s="20" t="s">
        <v>356</v>
      </c>
      <c r="G61" s="20">
        <v>10.38</v>
      </c>
      <c r="H61" s="20" t="s">
        <v>261</v>
      </c>
      <c r="I61" s="20">
        <v>10.84</v>
      </c>
      <c r="J61" s="20" t="s">
        <v>357</v>
      </c>
    </row>
    <row r="62" spans="1:10" x14ac:dyDescent="0.15">
      <c r="A62" s="21">
        <v>43210.50072916667</v>
      </c>
      <c r="B62" s="20">
        <v>1501</v>
      </c>
      <c r="C62" s="20">
        <v>1.23</v>
      </c>
      <c r="D62" s="20" t="s">
        <v>358</v>
      </c>
      <c r="E62" s="20">
        <v>83.12</v>
      </c>
      <c r="F62" s="20" t="s">
        <v>359</v>
      </c>
      <c r="G62" s="20">
        <v>11.02</v>
      </c>
      <c r="H62" s="20" t="s">
        <v>360</v>
      </c>
      <c r="I62" s="20">
        <v>10.58</v>
      </c>
      <c r="J62" s="20" t="s">
        <v>361</v>
      </c>
    </row>
    <row r="63" spans="1:10" x14ac:dyDescent="0.15">
      <c r="A63" s="21">
        <v>43210.500763888886</v>
      </c>
      <c r="B63" s="20">
        <v>1501</v>
      </c>
      <c r="C63" s="20">
        <v>1.43</v>
      </c>
      <c r="D63" s="20" t="s">
        <v>256</v>
      </c>
      <c r="E63" s="20">
        <v>82.44</v>
      </c>
      <c r="F63" s="20" t="s">
        <v>362</v>
      </c>
      <c r="G63" s="20">
        <v>10.96</v>
      </c>
      <c r="H63" s="20" t="s">
        <v>363</v>
      </c>
      <c r="I63" s="20">
        <v>10.89</v>
      </c>
      <c r="J63" s="20" t="s">
        <v>287</v>
      </c>
    </row>
    <row r="64" spans="1:10" x14ac:dyDescent="0.15">
      <c r="A64" s="21">
        <v>43210.500787037039</v>
      </c>
      <c r="B64" s="20">
        <v>1501</v>
      </c>
      <c r="C64" s="20">
        <v>1.2</v>
      </c>
      <c r="D64" s="20" t="s">
        <v>252</v>
      </c>
      <c r="E64" s="20">
        <v>83.13</v>
      </c>
      <c r="F64" s="20" t="s">
        <v>336</v>
      </c>
      <c r="G64" s="20">
        <v>10.42</v>
      </c>
      <c r="H64" s="20" t="s">
        <v>302</v>
      </c>
      <c r="I64" s="20">
        <v>10.31</v>
      </c>
      <c r="J64" s="20" t="s">
        <v>364</v>
      </c>
    </row>
    <row r="65" spans="1:10" x14ac:dyDescent="0.15">
      <c r="A65" s="21">
        <v>43210.500821759262</v>
      </c>
      <c r="B65" s="20">
        <v>1501</v>
      </c>
      <c r="C65" s="20">
        <v>1.51</v>
      </c>
      <c r="D65" s="20" t="s">
        <v>365</v>
      </c>
      <c r="E65" s="20">
        <v>84.96</v>
      </c>
      <c r="F65" s="20" t="s">
        <v>366</v>
      </c>
      <c r="G65" s="20">
        <v>10.61</v>
      </c>
      <c r="H65" s="20" t="s">
        <v>367</v>
      </c>
      <c r="I65" s="20">
        <v>10.33</v>
      </c>
      <c r="J65" s="20" t="s">
        <v>368</v>
      </c>
    </row>
    <row r="66" spans="1:10" x14ac:dyDescent="0.15">
      <c r="A66" s="21">
        <v>43210.500856481478</v>
      </c>
      <c r="B66" s="20">
        <v>1501</v>
      </c>
      <c r="C66" s="20">
        <v>1.5</v>
      </c>
      <c r="D66" s="20" t="s">
        <v>218</v>
      </c>
      <c r="E66" s="20">
        <v>84.69</v>
      </c>
      <c r="F66" s="20" t="s">
        <v>369</v>
      </c>
      <c r="G66" s="20">
        <v>10.65</v>
      </c>
      <c r="H66" s="20" t="s">
        <v>370</v>
      </c>
      <c r="I66" s="20">
        <v>10.89</v>
      </c>
      <c r="J66" s="20" t="s">
        <v>300</v>
      </c>
    </row>
    <row r="67" spans="1:10" x14ac:dyDescent="0.15">
      <c r="A67" s="21">
        <v>43210.500879629632</v>
      </c>
      <c r="B67" s="20">
        <v>1501</v>
      </c>
      <c r="C67" s="20">
        <v>1.62</v>
      </c>
      <c r="D67" s="20" t="s">
        <v>371</v>
      </c>
      <c r="E67" s="20">
        <v>84.72</v>
      </c>
      <c r="F67" s="20" t="s">
        <v>372</v>
      </c>
      <c r="G67" s="20">
        <v>10.82</v>
      </c>
      <c r="H67" s="20" t="s">
        <v>373</v>
      </c>
      <c r="I67" s="20">
        <v>10.6</v>
      </c>
      <c r="J67" s="20" t="s">
        <v>374</v>
      </c>
    </row>
    <row r="68" spans="1:10" x14ac:dyDescent="0.15">
      <c r="A68" s="21">
        <v>43210.500914351855</v>
      </c>
      <c r="B68" s="20">
        <v>1501</v>
      </c>
      <c r="C68" s="20">
        <v>1.2</v>
      </c>
      <c r="D68" s="20" t="s">
        <v>283</v>
      </c>
      <c r="E68" s="20">
        <v>82.66</v>
      </c>
      <c r="F68" s="20" t="s">
        <v>375</v>
      </c>
      <c r="G68" s="20">
        <v>10.9</v>
      </c>
      <c r="H68" s="20" t="s">
        <v>376</v>
      </c>
      <c r="I68" s="20">
        <v>10.77</v>
      </c>
      <c r="J68" s="20" t="s">
        <v>377</v>
      </c>
    </row>
    <row r="69" spans="1:10" x14ac:dyDescent="0.15">
      <c r="A69" s="21">
        <v>43210.500949074078</v>
      </c>
      <c r="B69" s="20">
        <v>1501</v>
      </c>
      <c r="C69" s="20">
        <v>1.39</v>
      </c>
      <c r="D69" s="20" t="s">
        <v>246</v>
      </c>
      <c r="E69" s="20">
        <v>84.31</v>
      </c>
      <c r="F69" s="20" t="s">
        <v>378</v>
      </c>
      <c r="G69" s="20">
        <v>10.65</v>
      </c>
      <c r="H69" s="20" t="s">
        <v>379</v>
      </c>
      <c r="I69" s="20">
        <v>10.55</v>
      </c>
      <c r="J69" s="20" t="s">
        <v>380</v>
      </c>
    </row>
    <row r="70" spans="1:10" x14ac:dyDescent="0.15">
      <c r="A70" s="21">
        <v>43210.500983796293</v>
      </c>
      <c r="B70" s="20">
        <v>1501</v>
      </c>
      <c r="C70" s="20">
        <v>1.21</v>
      </c>
      <c r="D70" s="20" t="s">
        <v>381</v>
      </c>
      <c r="E70" s="20">
        <v>81.94</v>
      </c>
      <c r="F70" s="20" t="s">
        <v>382</v>
      </c>
      <c r="G70" s="20">
        <v>10.27</v>
      </c>
      <c r="H70" s="20" t="s">
        <v>383</v>
      </c>
      <c r="I70" s="20">
        <v>10.99</v>
      </c>
      <c r="J70" s="20" t="s">
        <v>326</v>
      </c>
    </row>
    <row r="71" spans="1:10" x14ac:dyDescent="0.15">
      <c r="A71" s="21">
        <v>43210.501006944447</v>
      </c>
      <c r="B71" s="20">
        <v>1501</v>
      </c>
      <c r="C71" s="20">
        <v>1.33</v>
      </c>
      <c r="D71" s="20" t="s">
        <v>252</v>
      </c>
      <c r="E71" s="20">
        <v>82.2</v>
      </c>
      <c r="F71" s="20" t="s">
        <v>384</v>
      </c>
      <c r="G71" s="20">
        <v>10.74</v>
      </c>
      <c r="H71" s="20" t="s">
        <v>385</v>
      </c>
      <c r="I71" s="20">
        <v>10.98</v>
      </c>
      <c r="J71" s="20" t="s">
        <v>386</v>
      </c>
    </row>
    <row r="72" spans="1:10" x14ac:dyDescent="0.15">
      <c r="A72" s="21">
        <v>43210.50104166667</v>
      </c>
      <c r="B72" s="20">
        <v>1501</v>
      </c>
      <c r="C72" s="20">
        <v>1.22</v>
      </c>
      <c r="D72" s="20" t="s">
        <v>252</v>
      </c>
      <c r="E72" s="20">
        <v>82.06</v>
      </c>
      <c r="F72" s="20" t="s">
        <v>387</v>
      </c>
      <c r="G72" s="20">
        <v>10.46</v>
      </c>
      <c r="H72" s="20" t="s">
        <v>388</v>
      </c>
      <c r="I72" s="20">
        <v>10.73</v>
      </c>
      <c r="J72" s="20" t="s">
        <v>389</v>
      </c>
    </row>
    <row r="73" spans="1:10" x14ac:dyDescent="0.15">
      <c r="A73" s="21">
        <v>43210.501076388886</v>
      </c>
      <c r="B73" s="20">
        <v>1501</v>
      </c>
      <c r="C73" s="20">
        <v>1.26</v>
      </c>
      <c r="D73" s="20" t="s">
        <v>390</v>
      </c>
      <c r="E73" s="20">
        <v>82.44</v>
      </c>
      <c r="F73" s="20" t="s">
        <v>391</v>
      </c>
      <c r="G73" s="20">
        <v>10.4</v>
      </c>
      <c r="H73" s="20" t="s">
        <v>392</v>
      </c>
      <c r="I73" s="20">
        <v>10.92</v>
      </c>
      <c r="J73" s="20" t="s">
        <v>393</v>
      </c>
    </row>
    <row r="74" spans="1:10" x14ac:dyDescent="0.15">
      <c r="A74" s="21">
        <v>43210.501099537039</v>
      </c>
      <c r="B74" s="20">
        <v>1501</v>
      </c>
      <c r="C74" s="20">
        <v>1.3</v>
      </c>
      <c r="D74" s="20" t="s">
        <v>283</v>
      </c>
      <c r="E74" s="20">
        <v>83.36</v>
      </c>
      <c r="F74" s="20" t="s">
        <v>394</v>
      </c>
      <c r="G74" s="20">
        <v>11.21</v>
      </c>
      <c r="H74" s="20" t="s">
        <v>395</v>
      </c>
      <c r="I74" s="20">
        <v>10.23</v>
      </c>
      <c r="J74" s="20" t="s">
        <v>396</v>
      </c>
    </row>
    <row r="75" spans="1:10" x14ac:dyDescent="0.15">
      <c r="A75" s="21">
        <v>43210.501134259262</v>
      </c>
      <c r="B75" s="20">
        <v>1501</v>
      </c>
      <c r="C75" s="20">
        <v>1.47</v>
      </c>
      <c r="D75" s="20" t="s">
        <v>397</v>
      </c>
      <c r="E75" s="20">
        <v>83.65</v>
      </c>
      <c r="F75" s="20" t="s">
        <v>398</v>
      </c>
      <c r="G75" s="20">
        <v>11.16</v>
      </c>
      <c r="H75" s="20" t="s">
        <v>399</v>
      </c>
      <c r="I75" s="20">
        <v>10.44</v>
      </c>
      <c r="J75" s="20" t="s">
        <v>400</v>
      </c>
    </row>
    <row r="76" spans="1:10" x14ac:dyDescent="0.15">
      <c r="A76" s="21">
        <v>43210.501168981478</v>
      </c>
      <c r="B76" s="20">
        <v>1501</v>
      </c>
      <c r="C76" s="20">
        <v>1.27</v>
      </c>
      <c r="D76" s="20" t="s">
        <v>246</v>
      </c>
      <c r="E76" s="20">
        <v>83.79</v>
      </c>
      <c r="F76" s="20" t="s">
        <v>401</v>
      </c>
      <c r="G76" s="20">
        <v>11.05</v>
      </c>
      <c r="H76" s="20" t="s">
        <v>402</v>
      </c>
      <c r="I76" s="20">
        <v>9.9600000000000009</v>
      </c>
      <c r="J76" s="20" t="s">
        <v>403</v>
      </c>
    </row>
    <row r="77" spans="1:10" x14ac:dyDescent="0.15">
      <c r="A77" s="21">
        <v>43210.501192129632</v>
      </c>
      <c r="B77" s="20">
        <v>1500</v>
      </c>
      <c r="C77" s="20">
        <v>1.55</v>
      </c>
      <c r="D77" s="20" t="s">
        <v>404</v>
      </c>
      <c r="E77" s="20">
        <v>83.01</v>
      </c>
      <c r="F77" s="20" t="s">
        <v>405</v>
      </c>
      <c r="G77" s="20">
        <v>11.12</v>
      </c>
      <c r="H77" s="20" t="s">
        <v>406</v>
      </c>
      <c r="I77" s="20">
        <v>9.8699999999999992</v>
      </c>
      <c r="J77" s="20" t="s">
        <v>407</v>
      </c>
    </row>
    <row r="78" spans="1:10" x14ac:dyDescent="0.15">
      <c r="A78" s="21">
        <v>43210.501226851855</v>
      </c>
      <c r="B78" s="20">
        <v>1500</v>
      </c>
      <c r="C78" s="20">
        <v>1.24</v>
      </c>
      <c r="D78" s="20" t="s">
        <v>252</v>
      </c>
      <c r="E78" s="20">
        <v>81.510000000000005</v>
      </c>
      <c r="F78" s="20" t="s">
        <v>408</v>
      </c>
      <c r="G78" s="20">
        <v>10.35</v>
      </c>
      <c r="H78" s="20" t="s">
        <v>409</v>
      </c>
      <c r="I78" s="20">
        <v>10.18</v>
      </c>
      <c r="J78" s="20" t="s">
        <v>410</v>
      </c>
    </row>
    <row r="79" spans="1:10" x14ac:dyDescent="0.15">
      <c r="A79" s="21">
        <v>43210.501261574071</v>
      </c>
      <c r="B79" s="20">
        <v>1500</v>
      </c>
      <c r="C79" s="20">
        <v>1.1599999999999999</v>
      </c>
      <c r="D79" s="20" t="s">
        <v>252</v>
      </c>
      <c r="E79" s="20">
        <v>83.21</v>
      </c>
      <c r="F79" s="20" t="s">
        <v>411</v>
      </c>
      <c r="G79" s="20">
        <v>11.22</v>
      </c>
      <c r="H79" s="20" t="s">
        <v>373</v>
      </c>
      <c r="I79" s="20">
        <v>10.119999999999999</v>
      </c>
      <c r="J79" s="20" t="s">
        <v>412</v>
      </c>
    </row>
    <row r="80" spans="1:10" x14ac:dyDescent="0.15">
      <c r="A80" s="21">
        <v>43210.501284722224</v>
      </c>
      <c r="B80" s="20">
        <v>1500</v>
      </c>
      <c r="C80" s="20">
        <v>1.37</v>
      </c>
      <c r="D80" s="20" t="s">
        <v>335</v>
      </c>
      <c r="E80" s="20">
        <v>84.16</v>
      </c>
      <c r="F80" s="20" t="s">
        <v>413</v>
      </c>
      <c r="G80" s="20">
        <v>10.43</v>
      </c>
      <c r="H80" s="20" t="s">
        <v>414</v>
      </c>
      <c r="I80" s="20">
        <v>10.63</v>
      </c>
      <c r="J80" s="20" t="s">
        <v>415</v>
      </c>
    </row>
    <row r="81" spans="1:10" x14ac:dyDescent="0.15">
      <c r="A81" s="21">
        <v>43210.501319444447</v>
      </c>
      <c r="B81" s="20">
        <v>1500</v>
      </c>
      <c r="C81" s="20">
        <v>1.1599999999999999</v>
      </c>
      <c r="D81" s="20" t="s">
        <v>256</v>
      </c>
      <c r="E81" s="20">
        <v>83.02</v>
      </c>
      <c r="F81" s="20" t="s">
        <v>416</v>
      </c>
      <c r="G81" s="20">
        <v>10.27</v>
      </c>
      <c r="H81" s="20" t="s">
        <v>417</v>
      </c>
      <c r="I81" s="20">
        <v>10.42</v>
      </c>
      <c r="J81" s="20" t="s">
        <v>418</v>
      </c>
    </row>
    <row r="82" spans="1:10" x14ac:dyDescent="0.15">
      <c r="A82" s="21">
        <v>43210.501354166663</v>
      </c>
      <c r="B82" s="20">
        <v>1500</v>
      </c>
      <c r="C82" s="20">
        <v>1.56</v>
      </c>
      <c r="D82" s="20" t="s">
        <v>304</v>
      </c>
      <c r="E82" s="20">
        <v>83.15</v>
      </c>
      <c r="F82" s="20" t="s">
        <v>419</v>
      </c>
      <c r="G82" s="20">
        <v>10.41</v>
      </c>
      <c r="H82" s="20" t="s">
        <v>420</v>
      </c>
      <c r="I82" s="20">
        <v>10.72</v>
      </c>
      <c r="J82" s="20" t="s">
        <v>421</v>
      </c>
    </row>
    <row r="83" spans="1:10" x14ac:dyDescent="0.15">
      <c r="A83" s="21">
        <v>43210.501377314817</v>
      </c>
      <c r="B83" s="20">
        <v>1500</v>
      </c>
      <c r="C83" s="20">
        <v>1.24</v>
      </c>
      <c r="D83" s="20" t="s">
        <v>234</v>
      </c>
      <c r="E83" s="20">
        <v>82.54</v>
      </c>
      <c r="F83" s="20" t="s">
        <v>422</v>
      </c>
      <c r="G83" s="20">
        <v>10.130000000000001</v>
      </c>
      <c r="H83" s="20" t="s">
        <v>423</v>
      </c>
      <c r="I83" s="20">
        <v>10.44</v>
      </c>
      <c r="J83" s="20" t="s">
        <v>424</v>
      </c>
    </row>
    <row r="84" spans="1:10" x14ac:dyDescent="0.15">
      <c r="A84" s="21">
        <v>43210.50141203704</v>
      </c>
      <c r="B84" s="20">
        <v>1499</v>
      </c>
      <c r="C84" s="20">
        <v>1.36</v>
      </c>
      <c r="D84" s="20" t="s">
        <v>335</v>
      </c>
      <c r="E84" s="20">
        <v>82.63</v>
      </c>
      <c r="F84" s="20" t="s">
        <v>425</v>
      </c>
      <c r="G84" s="20">
        <v>10.28</v>
      </c>
      <c r="H84" s="20" t="s">
        <v>315</v>
      </c>
      <c r="I84" s="20">
        <v>11.75</v>
      </c>
      <c r="J84" s="20" t="s">
        <v>426</v>
      </c>
    </row>
    <row r="85" spans="1:10" x14ac:dyDescent="0.15">
      <c r="A85" s="21">
        <v>43210.501446759263</v>
      </c>
      <c r="B85" s="20">
        <v>1499</v>
      </c>
      <c r="C85" s="20">
        <v>1.36</v>
      </c>
      <c r="D85" s="20" t="s">
        <v>277</v>
      </c>
      <c r="E85" s="20">
        <v>81.96</v>
      </c>
      <c r="F85" s="20" t="s">
        <v>427</v>
      </c>
      <c r="G85" s="20">
        <v>10.27</v>
      </c>
      <c r="H85" s="20" t="s">
        <v>428</v>
      </c>
      <c r="I85" s="20">
        <v>11.78</v>
      </c>
      <c r="J85" s="20" t="s">
        <v>429</v>
      </c>
    </row>
    <row r="86" spans="1:10" x14ac:dyDescent="0.15">
      <c r="A86" s="21">
        <v>43210.501481481479</v>
      </c>
      <c r="B86" s="20">
        <v>1499</v>
      </c>
      <c r="C86" s="20">
        <v>1.44</v>
      </c>
      <c r="D86" s="20" t="s">
        <v>404</v>
      </c>
      <c r="E86" s="20">
        <v>84.79</v>
      </c>
      <c r="F86" s="20" t="s">
        <v>430</v>
      </c>
      <c r="G86" s="20">
        <v>10.68</v>
      </c>
      <c r="H86" s="20" t="s">
        <v>431</v>
      </c>
      <c r="I86" s="20">
        <v>11.16</v>
      </c>
      <c r="J86" s="20" t="s">
        <v>432</v>
      </c>
    </row>
    <row r="87" spans="1:10" x14ac:dyDescent="0.15">
      <c r="A87" s="21">
        <v>43210.501504629632</v>
      </c>
      <c r="B87" s="20">
        <v>1499</v>
      </c>
      <c r="C87" s="20">
        <v>1.22</v>
      </c>
      <c r="D87" s="20" t="s">
        <v>242</v>
      </c>
      <c r="E87" s="20">
        <v>80.83</v>
      </c>
      <c r="F87" s="20" t="s">
        <v>433</v>
      </c>
      <c r="G87" s="20">
        <v>10.38</v>
      </c>
      <c r="H87" s="20" t="s">
        <v>434</v>
      </c>
      <c r="I87" s="20">
        <v>10.49</v>
      </c>
      <c r="J87" s="20" t="s">
        <v>435</v>
      </c>
    </row>
    <row r="88" spans="1:10" x14ac:dyDescent="0.15">
      <c r="A88" s="21">
        <v>43210.501539351855</v>
      </c>
      <c r="B88" s="20">
        <v>1499</v>
      </c>
      <c r="C88" s="20">
        <v>1.32</v>
      </c>
      <c r="D88" s="20" t="s">
        <v>277</v>
      </c>
      <c r="E88" s="20">
        <v>83.61</v>
      </c>
      <c r="F88" s="20" t="s">
        <v>436</v>
      </c>
      <c r="G88" s="20">
        <v>11.43</v>
      </c>
      <c r="H88" s="20" t="s">
        <v>437</v>
      </c>
      <c r="I88" s="20">
        <v>10.49</v>
      </c>
      <c r="J88" s="20" t="s">
        <v>435</v>
      </c>
    </row>
    <row r="89" spans="1:10" x14ac:dyDescent="0.15">
      <c r="A89" s="21">
        <v>43210.501550925925</v>
      </c>
      <c r="B89" s="20">
        <v>1499</v>
      </c>
      <c r="C89" s="20">
        <v>1.32</v>
      </c>
      <c r="D89" s="20" t="s">
        <v>277</v>
      </c>
      <c r="E89" s="20">
        <v>83.61</v>
      </c>
      <c r="F89" s="20" t="s">
        <v>436</v>
      </c>
      <c r="G89" s="20">
        <v>11.43</v>
      </c>
      <c r="H89" s="20" t="s">
        <v>437</v>
      </c>
      <c r="I89" s="20">
        <v>10.38</v>
      </c>
      <c r="J89" s="20" t="s">
        <v>438</v>
      </c>
    </row>
    <row r="90" spans="1:10" x14ac:dyDescent="0.15">
      <c r="A90" s="21">
        <v>43210.501574074071</v>
      </c>
      <c r="B90" s="20">
        <v>1499</v>
      </c>
      <c r="C90" s="20">
        <v>1.52</v>
      </c>
      <c r="D90" s="20" t="s">
        <v>304</v>
      </c>
      <c r="E90" s="20">
        <v>82.92</v>
      </c>
      <c r="F90" s="20" t="s">
        <v>439</v>
      </c>
      <c r="G90" s="20">
        <v>10.91</v>
      </c>
      <c r="H90" s="20" t="s">
        <v>285</v>
      </c>
      <c r="I90" s="20">
        <v>10.38</v>
      </c>
      <c r="J90" s="20" t="s">
        <v>438</v>
      </c>
    </row>
    <row r="91" spans="1:10" x14ac:dyDescent="0.15">
      <c r="A91" s="21">
        <v>43210.501585648148</v>
      </c>
      <c r="B91" s="20">
        <v>1499</v>
      </c>
      <c r="C91" s="20">
        <v>1.52</v>
      </c>
      <c r="D91" s="20" t="s">
        <v>304</v>
      </c>
      <c r="E91" s="20">
        <v>82.92</v>
      </c>
      <c r="F91" s="20" t="s">
        <v>439</v>
      </c>
      <c r="G91" s="20">
        <v>10.91</v>
      </c>
      <c r="H91" s="20" t="s">
        <v>285</v>
      </c>
      <c r="I91" s="20">
        <v>10.15</v>
      </c>
      <c r="J91" s="20" t="s">
        <v>440</v>
      </c>
    </row>
    <row r="92" spans="1:10" x14ac:dyDescent="0.15">
      <c r="A92" s="21">
        <v>43210.501597222225</v>
      </c>
      <c r="B92" s="20">
        <v>1500</v>
      </c>
      <c r="C92" s="20">
        <v>1.21</v>
      </c>
      <c r="D92" s="20" t="s">
        <v>242</v>
      </c>
      <c r="E92" s="20">
        <v>80.63</v>
      </c>
      <c r="F92" s="20" t="s">
        <v>441</v>
      </c>
      <c r="G92" s="20">
        <v>11.08</v>
      </c>
      <c r="H92" s="20" t="s">
        <v>442</v>
      </c>
      <c r="I92" s="20">
        <v>10.15</v>
      </c>
      <c r="J92" s="20" t="s">
        <v>440</v>
      </c>
    </row>
    <row r="93" spans="1:10" x14ac:dyDescent="0.15">
      <c r="A93" s="21">
        <v>43210.501620370371</v>
      </c>
      <c r="B93" s="20">
        <v>1500</v>
      </c>
      <c r="C93" s="20">
        <v>1.21</v>
      </c>
      <c r="D93" s="20" t="s">
        <v>242</v>
      </c>
      <c r="E93" s="20">
        <v>80.63</v>
      </c>
      <c r="F93" s="20" t="s">
        <v>441</v>
      </c>
      <c r="G93" s="20">
        <v>11.08</v>
      </c>
      <c r="H93" s="20" t="s">
        <v>442</v>
      </c>
      <c r="I93" s="20">
        <v>10.210000000000001</v>
      </c>
      <c r="J93" s="20" t="s">
        <v>443</v>
      </c>
    </row>
    <row r="94" spans="1:10" x14ac:dyDescent="0.15">
      <c r="A94" s="21">
        <v>43210.501631944448</v>
      </c>
      <c r="B94" s="20">
        <v>1500</v>
      </c>
      <c r="C94" s="20">
        <v>1.21</v>
      </c>
      <c r="D94" s="20" t="s">
        <v>234</v>
      </c>
      <c r="E94" s="20">
        <v>82.97</v>
      </c>
      <c r="F94" s="20" t="s">
        <v>444</v>
      </c>
      <c r="G94" s="20">
        <v>11.21</v>
      </c>
      <c r="H94" s="20" t="s">
        <v>445</v>
      </c>
      <c r="I94" s="20">
        <v>10.210000000000001</v>
      </c>
      <c r="J94" s="20" t="s">
        <v>443</v>
      </c>
    </row>
    <row r="95" spans="1:10" x14ac:dyDescent="0.15">
      <c r="A95" s="21">
        <v>43210.501655092594</v>
      </c>
      <c r="B95" s="20">
        <v>1500</v>
      </c>
      <c r="C95" s="20">
        <v>1.21</v>
      </c>
      <c r="D95" s="20" t="s">
        <v>234</v>
      </c>
      <c r="E95" s="20">
        <v>82.97</v>
      </c>
      <c r="F95" s="20" t="s">
        <v>444</v>
      </c>
      <c r="G95" s="20">
        <v>11.21</v>
      </c>
      <c r="H95" s="20" t="s">
        <v>445</v>
      </c>
      <c r="I95" s="20">
        <v>10.63</v>
      </c>
      <c r="J95" s="20" t="s">
        <v>446</v>
      </c>
    </row>
    <row r="96" spans="1:10" x14ac:dyDescent="0.15">
      <c r="A96" s="21">
        <v>43210.501666666663</v>
      </c>
      <c r="B96" s="20">
        <v>1500</v>
      </c>
      <c r="C96" s="20">
        <v>1.61</v>
      </c>
      <c r="D96" s="20" t="s">
        <v>313</v>
      </c>
      <c r="E96" s="20">
        <v>82.74</v>
      </c>
      <c r="F96" s="20" t="s">
        <v>447</v>
      </c>
      <c r="G96" s="20">
        <v>10.85</v>
      </c>
      <c r="H96" s="20" t="s">
        <v>448</v>
      </c>
      <c r="I96" s="20">
        <v>10.63</v>
      </c>
      <c r="J96" s="20" t="s">
        <v>446</v>
      </c>
    </row>
    <row r="97" spans="1:10" x14ac:dyDescent="0.15">
      <c r="A97" s="21">
        <v>43210.501689814817</v>
      </c>
      <c r="B97" s="20">
        <v>1500</v>
      </c>
      <c r="C97" s="20">
        <v>1.6</v>
      </c>
      <c r="D97" s="20" t="s">
        <v>304</v>
      </c>
      <c r="E97" s="20">
        <v>82.67</v>
      </c>
      <c r="F97" s="20" t="s">
        <v>449</v>
      </c>
      <c r="G97" s="20">
        <v>10.1</v>
      </c>
      <c r="H97" s="20" t="s">
        <v>450</v>
      </c>
      <c r="I97" s="20">
        <v>10.69</v>
      </c>
      <c r="J97" s="20" t="s">
        <v>451</v>
      </c>
    </row>
    <row r="98" spans="1:10" x14ac:dyDescent="0.15">
      <c r="A98" s="21">
        <v>43210.50172453704</v>
      </c>
      <c r="B98" s="20">
        <v>1500</v>
      </c>
      <c r="C98" s="20">
        <v>1.49</v>
      </c>
      <c r="D98" s="20" t="s">
        <v>226</v>
      </c>
      <c r="E98" s="20">
        <v>82.69</v>
      </c>
      <c r="F98" s="20" t="s">
        <v>452</v>
      </c>
      <c r="G98" s="20">
        <v>10.32</v>
      </c>
      <c r="H98" s="20" t="s">
        <v>453</v>
      </c>
      <c r="I98" s="20">
        <v>10.54</v>
      </c>
      <c r="J98" s="20" t="s">
        <v>454</v>
      </c>
    </row>
    <row r="99" spans="1:10" x14ac:dyDescent="0.15">
      <c r="A99" s="21">
        <v>43210.501759259256</v>
      </c>
      <c r="B99" s="20">
        <v>1500</v>
      </c>
      <c r="C99" s="20">
        <v>1.29</v>
      </c>
      <c r="D99" s="20" t="s">
        <v>397</v>
      </c>
      <c r="E99" s="20">
        <v>81.89</v>
      </c>
      <c r="F99" s="20" t="s">
        <v>455</v>
      </c>
      <c r="G99" s="20">
        <v>10.119999999999999</v>
      </c>
      <c r="H99" s="20" t="s">
        <v>456</v>
      </c>
      <c r="I99" s="20">
        <v>11.05</v>
      </c>
      <c r="J99" s="20" t="s">
        <v>457</v>
      </c>
    </row>
    <row r="100" spans="1:10" x14ac:dyDescent="0.15">
      <c r="A100" s="21">
        <v>43210.501782407409</v>
      </c>
      <c r="B100" s="20">
        <v>1500</v>
      </c>
      <c r="C100" s="20">
        <v>1.17</v>
      </c>
      <c r="D100" s="20" t="s">
        <v>288</v>
      </c>
      <c r="E100" s="20">
        <v>81.53</v>
      </c>
      <c r="F100" s="20" t="s">
        <v>458</v>
      </c>
      <c r="G100" s="20">
        <v>10.65</v>
      </c>
      <c r="H100" s="20" t="s">
        <v>459</v>
      </c>
      <c r="I100" s="20">
        <v>10.69</v>
      </c>
      <c r="J100" s="20" t="s">
        <v>460</v>
      </c>
    </row>
    <row r="101" spans="1:10" x14ac:dyDescent="0.15">
      <c r="A101" s="21">
        <v>43210.501817129632</v>
      </c>
      <c r="B101" s="20">
        <v>1501</v>
      </c>
      <c r="C101" s="20">
        <v>1.23</v>
      </c>
      <c r="D101" s="20" t="s">
        <v>346</v>
      </c>
      <c r="E101" s="20">
        <v>80.739999999999995</v>
      </c>
      <c r="F101" s="20" t="s">
        <v>461</v>
      </c>
      <c r="G101" s="20">
        <v>10.4</v>
      </c>
      <c r="H101" s="20" t="s">
        <v>462</v>
      </c>
      <c r="I101" s="20">
        <v>10.99</v>
      </c>
      <c r="J101" s="20" t="s">
        <v>463</v>
      </c>
    </row>
    <row r="102" spans="1:10" x14ac:dyDescent="0.15">
      <c r="A102" s="21">
        <v>43210.501851851855</v>
      </c>
      <c r="B102" s="20">
        <v>1501</v>
      </c>
      <c r="C102" s="20">
        <v>1.24</v>
      </c>
      <c r="D102" s="20" t="s">
        <v>214</v>
      </c>
      <c r="E102" s="20">
        <v>81.09</v>
      </c>
      <c r="F102" s="20" t="s">
        <v>464</v>
      </c>
      <c r="G102" s="20">
        <v>10.66</v>
      </c>
      <c r="H102" s="20" t="s">
        <v>465</v>
      </c>
      <c r="I102" s="20">
        <v>10.89</v>
      </c>
      <c r="J102" s="20" t="s">
        <v>466</v>
      </c>
    </row>
    <row r="103" spans="1:10" x14ac:dyDescent="0.15">
      <c r="A103" s="21">
        <v>43210.501886574071</v>
      </c>
      <c r="B103" s="20">
        <v>1501</v>
      </c>
      <c r="C103" s="20">
        <v>1.1599999999999999</v>
      </c>
      <c r="D103" s="20" t="s">
        <v>256</v>
      </c>
      <c r="E103" s="20">
        <v>80.89</v>
      </c>
      <c r="F103" s="20" t="s">
        <v>467</v>
      </c>
      <c r="G103" s="20">
        <v>10.46</v>
      </c>
      <c r="H103" s="20" t="s">
        <v>468</v>
      </c>
      <c r="I103" s="20">
        <v>10.64</v>
      </c>
      <c r="J103" s="20" t="s">
        <v>469</v>
      </c>
    </row>
    <row r="104" spans="1:10" x14ac:dyDescent="0.15">
      <c r="A104" s="21">
        <v>43210.501909722225</v>
      </c>
      <c r="B104" s="20">
        <v>1500</v>
      </c>
      <c r="C104" s="20">
        <v>1.55</v>
      </c>
      <c r="D104" s="20" t="s">
        <v>304</v>
      </c>
      <c r="E104" s="20">
        <v>82.39</v>
      </c>
      <c r="F104" s="20" t="s">
        <v>470</v>
      </c>
      <c r="G104" s="20">
        <v>10.81</v>
      </c>
      <c r="H104" s="20" t="s">
        <v>471</v>
      </c>
      <c r="I104" s="20">
        <v>10.44</v>
      </c>
      <c r="J104" s="20" t="s">
        <v>472</v>
      </c>
    </row>
    <row r="105" spans="1:10" x14ac:dyDescent="0.15">
      <c r="A105" s="21">
        <v>43210.501944444448</v>
      </c>
      <c r="B105" s="20">
        <v>1501</v>
      </c>
      <c r="C105" s="20">
        <v>1.31</v>
      </c>
      <c r="D105" s="20" t="s">
        <v>214</v>
      </c>
      <c r="E105" s="20">
        <v>80.33</v>
      </c>
      <c r="F105" s="20" t="s">
        <v>473</v>
      </c>
      <c r="G105" s="20">
        <v>11.04</v>
      </c>
      <c r="H105" s="20" t="s">
        <v>456</v>
      </c>
      <c r="I105" s="20">
        <v>10.35</v>
      </c>
      <c r="J105" s="20" t="s">
        <v>474</v>
      </c>
    </row>
    <row r="106" spans="1:10" x14ac:dyDescent="0.15">
      <c r="A106" s="21">
        <v>43210.501979166664</v>
      </c>
      <c r="B106" s="20">
        <v>1500</v>
      </c>
      <c r="C106" s="20">
        <v>1.2</v>
      </c>
      <c r="D106" s="20" t="s">
        <v>263</v>
      </c>
      <c r="E106" s="20">
        <v>81.78</v>
      </c>
      <c r="F106" s="20" t="s">
        <v>475</v>
      </c>
      <c r="G106" s="20">
        <v>10.55</v>
      </c>
      <c r="H106" s="20" t="s">
        <v>476</v>
      </c>
      <c r="I106" s="20">
        <v>9.57</v>
      </c>
      <c r="J106" s="20" t="s">
        <v>477</v>
      </c>
    </row>
    <row r="107" spans="1:10" x14ac:dyDescent="0.15">
      <c r="A107" s="21">
        <v>43210.502002314817</v>
      </c>
      <c r="B107" s="20">
        <v>1500</v>
      </c>
      <c r="C107" s="20">
        <v>1.59</v>
      </c>
      <c r="D107" s="20" t="s">
        <v>404</v>
      </c>
      <c r="E107" s="20">
        <v>82.66</v>
      </c>
      <c r="F107" s="20" t="s">
        <v>478</v>
      </c>
      <c r="G107" s="20">
        <v>11.1</v>
      </c>
      <c r="H107" s="20" t="s">
        <v>479</v>
      </c>
      <c r="I107" s="20">
        <v>10.26</v>
      </c>
      <c r="J107" s="20" t="s">
        <v>480</v>
      </c>
    </row>
    <row r="108" spans="1:10" x14ac:dyDescent="0.15">
      <c r="A108" s="21">
        <v>43210.50203703704</v>
      </c>
      <c r="B108" s="20">
        <v>1500</v>
      </c>
      <c r="C108" s="20">
        <v>1.57</v>
      </c>
      <c r="D108" s="20" t="s">
        <v>404</v>
      </c>
      <c r="E108" s="20">
        <v>83.77</v>
      </c>
      <c r="F108" s="20" t="s">
        <v>481</v>
      </c>
      <c r="G108" s="20">
        <v>10.19</v>
      </c>
      <c r="H108" s="20" t="s">
        <v>482</v>
      </c>
      <c r="I108" s="20">
        <v>10.28</v>
      </c>
      <c r="J108" s="20" t="s">
        <v>483</v>
      </c>
    </row>
    <row r="109" spans="1:10" x14ac:dyDescent="0.15">
      <c r="A109" s="21">
        <v>43210.502071759256</v>
      </c>
      <c r="B109" s="20">
        <v>1500</v>
      </c>
      <c r="C109" s="20">
        <v>1.24</v>
      </c>
      <c r="D109" s="20" t="s">
        <v>263</v>
      </c>
      <c r="E109" s="20">
        <v>80.599999999999994</v>
      </c>
      <c r="F109" s="20" t="s">
        <v>430</v>
      </c>
      <c r="G109" s="20">
        <v>10.24</v>
      </c>
      <c r="H109" s="20" t="s">
        <v>484</v>
      </c>
      <c r="I109" s="20">
        <v>10.61</v>
      </c>
      <c r="J109" s="20" t="s">
        <v>319</v>
      </c>
    </row>
    <row r="110" spans="1:10" x14ac:dyDescent="0.15">
      <c r="A110" s="21">
        <v>43210.50209490741</v>
      </c>
      <c r="B110" s="20">
        <v>1500</v>
      </c>
      <c r="C110" s="20">
        <v>1.46</v>
      </c>
      <c r="D110" s="20" t="s">
        <v>335</v>
      </c>
      <c r="E110" s="20">
        <v>82.96</v>
      </c>
      <c r="F110" s="20" t="s">
        <v>485</v>
      </c>
      <c r="G110" s="20">
        <v>9.94</v>
      </c>
      <c r="H110" s="20" t="s">
        <v>392</v>
      </c>
      <c r="I110" s="20">
        <v>10.85</v>
      </c>
      <c r="J110" s="20" t="s">
        <v>472</v>
      </c>
    </row>
    <row r="111" spans="1:10" x14ac:dyDescent="0.15">
      <c r="A111" s="21">
        <v>43210.502129629633</v>
      </c>
      <c r="B111" s="20">
        <v>1500</v>
      </c>
      <c r="C111" s="20">
        <v>1.1599999999999999</v>
      </c>
      <c r="D111" s="20" t="s">
        <v>346</v>
      </c>
      <c r="E111" s="20">
        <v>81.09</v>
      </c>
      <c r="F111" s="20" t="s">
        <v>486</v>
      </c>
      <c r="G111" s="20">
        <v>10.45</v>
      </c>
      <c r="H111" s="20" t="s">
        <v>487</v>
      </c>
      <c r="I111" s="20">
        <v>10.95</v>
      </c>
      <c r="J111" s="20" t="s">
        <v>488</v>
      </c>
    </row>
    <row r="112" spans="1:10" x14ac:dyDescent="0.15">
      <c r="A112" s="21">
        <v>43210.502164351848</v>
      </c>
      <c r="B112" s="20">
        <v>1500</v>
      </c>
      <c r="C112" s="20">
        <v>1.26</v>
      </c>
      <c r="D112" s="20" t="s">
        <v>346</v>
      </c>
      <c r="E112" s="20">
        <v>79.599999999999994</v>
      </c>
      <c r="F112" s="20" t="s">
        <v>489</v>
      </c>
      <c r="G112" s="20">
        <v>10</v>
      </c>
      <c r="H112" s="20" t="s">
        <v>490</v>
      </c>
      <c r="I112" s="20">
        <v>10.89</v>
      </c>
      <c r="J112" s="20" t="s">
        <v>491</v>
      </c>
    </row>
    <row r="113" spans="1:10" x14ac:dyDescent="0.15">
      <c r="A113" s="21">
        <v>43210.502187500002</v>
      </c>
      <c r="B113" s="20">
        <v>1500</v>
      </c>
      <c r="C113" s="20">
        <v>1.32</v>
      </c>
      <c r="D113" s="20" t="s">
        <v>256</v>
      </c>
      <c r="E113" s="20">
        <v>81.5</v>
      </c>
      <c r="F113" s="20" t="s">
        <v>492</v>
      </c>
      <c r="G113" s="20">
        <v>9.7899999999999991</v>
      </c>
      <c r="H113" s="20" t="s">
        <v>453</v>
      </c>
      <c r="I113" s="20">
        <v>10.98</v>
      </c>
      <c r="J113" s="20" t="s">
        <v>493</v>
      </c>
    </row>
    <row r="114" spans="1:10" x14ac:dyDescent="0.15">
      <c r="A114" s="21">
        <v>43210.502222222225</v>
      </c>
      <c r="B114" s="20">
        <v>1500</v>
      </c>
      <c r="C114" s="20">
        <v>1.47</v>
      </c>
      <c r="D114" s="20" t="s">
        <v>226</v>
      </c>
      <c r="E114" s="20">
        <v>82.64</v>
      </c>
      <c r="F114" s="20" t="s">
        <v>494</v>
      </c>
      <c r="G114" s="20">
        <v>10.59</v>
      </c>
      <c r="H114" s="20" t="s">
        <v>495</v>
      </c>
      <c r="I114" s="20">
        <v>10.56</v>
      </c>
      <c r="J114" s="20" t="s">
        <v>496</v>
      </c>
    </row>
    <row r="115" spans="1:10" x14ac:dyDescent="0.15">
      <c r="A115" s="21">
        <v>43210.502256944441</v>
      </c>
      <c r="B115" s="20">
        <v>1500</v>
      </c>
      <c r="C115" s="20">
        <v>1.6</v>
      </c>
      <c r="D115" s="20" t="s">
        <v>497</v>
      </c>
      <c r="E115" s="20">
        <v>80.88</v>
      </c>
      <c r="F115" s="20" t="s">
        <v>498</v>
      </c>
      <c r="G115" s="20">
        <v>10.76</v>
      </c>
      <c r="H115" s="20" t="s">
        <v>499</v>
      </c>
      <c r="I115" s="20">
        <v>10.44</v>
      </c>
      <c r="J115" s="20" t="s">
        <v>500</v>
      </c>
    </row>
    <row r="116" spans="1:10" x14ac:dyDescent="0.15">
      <c r="A116" s="21">
        <v>43210.502280092594</v>
      </c>
      <c r="B116" s="20">
        <v>1500</v>
      </c>
      <c r="C116" s="20">
        <v>1.37</v>
      </c>
      <c r="D116" s="20" t="s">
        <v>501</v>
      </c>
      <c r="E116" s="20">
        <v>81.290000000000006</v>
      </c>
      <c r="F116" s="20" t="s">
        <v>502</v>
      </c>
      <c r="G116" s="20">
        <v>10.27</v>
      </c>
      <c r="H116" s="20" t="s">
        <v>503</v>
      </c>
      <c r="I116" s="20">
        <v>10.81</v>
      </c>
      <c r="J116" s="20" t="s">
        <v>504</v>
      </c>
    </row>
    <row r="117" spans="1:10" x14ac:dyDescent="0.15">
      <c r="A117" s="21">
        <v>43210.502314814818</v>
      </c>
      <c r="B117" s="20">
        <v>1500</v>
      </c>
      <c r="C117" s="20">
        <v>1.43</v>
      </c>
      <c r="D117" s="20" t="s">
        <v>277</v>
      </c>
      <c r="E117" s="20">
        <v>80.760000000000005</v>
      </c>
      <c r="F117" s="20" t="s">
        <v>505</v>
      </c>
      <c r="G117" s="20">
        <v>10.72</v>
      </c>
      <c r="H117" s="20" t="s">
        <v>506</v>
      </c>
      <c r="I117" s="20">
        <v>11.14</v>
      </c>
      <c r="J117" s="20" t="s">
        <v>507</v>
      </c>
    </row>
    <row r="118" spans="1:10" x14ac:dyDescent="0.15">
      <c r="A118" s="21">
        <v>43210.502349537041</v>
      </c>
      <c r="B118" s="20">
        <v>1499</v>
      </c>
      <c r="C118" s="20">
        <v>1.48</v>
      </c>
      <c r="D118" s="20" t="s">
        <v>397</v>
      </c>
      <c r="E118" s="20">
        <v>84.79</v>
      </c>
      <c r="F118" s="20" t="s">
        <v>508</v>
      </c>
      <c r="G118" s="20">
        <v>10.25</v>
      </c>
      <c r="H118" s="20" t="s">
        <v>509</v>
      </c>
      <c r="I118" s="20">
        <v>10.97</v>
      </c>
      <c r="J118" s="20" t="s">
        <v>507</v>
      </c>
    </row>
    <row r="119" spans="1:10" x14ac:dyDescent="0.15">
      <c r="A119" s="21">
        <v>43210.502384259256</v>
      </c>
      <c r="B119" s="20">
        <v>1499</v>
      </c>
      <c r="C119" s="20">
        <v>1.31</v>
      </c>
      <c r="D119" s="20" t="s">
        <v>246</v>
      </c>
      <c r="E119" s="20">
        <v>79.569999999999993</v>
      </c>
      <c r="F119" s="20" t="s">
        <v>510</v>
      </c>
      <c r="G119" s="20">
        <v>10.98</v>
      </c>
      <c r="H119" s="20" t="s">
        <v>511</v>
      </c>
      <c r="I119" s="20">
        <v>10.08</v>
      </c>
      <c r="J119" s="20" t="s">
        <v>512</v>
      </c>
    </row>
    <row r="120" spans="1:10" x14ac:dyDescent="0.15">
      <c r="A120" s="21">
        <v>43210.50240740741</v>
      </c>
      <c r="B120" s="20">
        <v>1499</v>
      </c>
      <c r="C120" s="20">
        <v>1.6</v>
      </c>
      <c r="D120" s="20" t="s">
        <v>304</v>
      </c>
      <c r="E120" s="20">
        <v>81.98</v>
      </c>
      <c r="F120" s="20" t="s">
        <v>513</v>
      </c>
      <c r="G120" s="20">
        <v>10.81</v>
      </c>
      <c r="H120" s="20" t="s">
        <v>514</v>
      </c>
      <c r="I120" s="20">
        <v>10.49</v>
      </c>
      <c r="J120" s="20" t="s">
        <v>515</v>
      </c>
    </row>
    <row r="121" spans="1:10" x14ac:dyDescent="0.15">
      <c r="A121" s="21">
        <v>43210.502442129633</v>
      </c>
      <c r="B121" s="20">
        <v>1500</v>
      </c>
      <c r="C121" s="20">
        <v>1.25</v>
      </c>
      <c r="D121" s="20" t="s">
        <v>263</v>
      </c>
      <c r="E121" s="20">
        <v>79.87</v>
      </c>
      <c r="F121" s="20" t="s">
        <v>516</v>
      </c>
      <c r="G121" s="20">
        <v>10.7</v>
      </c>
      <c r="H121" s="20" t="s">
        <v>517</v>
      </c>
      <c r="I121" s="20">
        <v>10.73</v>
      </c>
      <c r="J121" s="20" t="s">
        <v>518</v>
      </c>
    </row>
    <row r="122" spans="1:10" x14ac:dyDescent="0.15">
      <c r="A122" s="21">
        <v>43210.502476851849</v>
      </c>
      <c r="B122" s="20">
        <v>1499</v>
      </c>
      <c r="C122" s="20">
        <v>1.56</v>
      </c>
      <c r="D122" s="20" t="s">
        <v>230</v>
      </c>
      <c r="E122" s="20">
        <v>82.74</v>
      </c>
      <c r="F122" s="20" t="s">
        <v>519</v>
      </c>
      <c r="G122" s="20">
        <v>10.06</v>
      </c>
      <c r="H122" s="20" t="s">
        <v>520</v>
      </c>
      <c r="I122" s="20">
        <v>10.11</v>
      </c>
      <c r="J122" s="20" t="s">
        <v>521</v>
      </c>
    </row>
    <row r="123" spans="1:10" x14ac:dyDescent="0.15">
      <c r="A123" s="21">
        <v>43210.502500000002</v>
      </c>
      <c r="B123" s="20">
        <v>1499</v>
      </c>
      <c r="C123" s="20">
        <v>1.1399999999999999</v>
      </c>
      <c r="D123" s="20" t="s">
        <v>288</v>
      </c>
      <c r="E123" s="20">
        <v>81.209999999999994</v>
      </c>
      <c r="F123" s="20" t="s">
        <v>522</v>
      </c>
      <c r="G123" s="20">
        <v>10.039999999999999</v>
      </c>
      <c r="H123" s="20" t="s">
        <v>523</v>
      </c>
      <c r="I123" s="20">
        <v>10.67</v>
      </c>
      <c r="J123" s="20" t="s">
        <v>524</v>
      </c>
    </row>
    <row r="124" spans="1:10" x14ac:dyDescent="0.15">
      <c r="A124" s="21">
        <v>43210.502534722225</v>
      </c>
      <c r="B124" s="20">
        <v>1499</v>
      </c>
      <c r="C124" s="20">
        <v>1.1499999999999999</v>
      </c>
      <c r="D124" s="20" t="s">
        <v>263</v>
      </c>
      <c r="E124" s="20">
        <v>81.23</v>
      </c>
      <c r="F124" s="20" t="s">
        <v>519</v>
      </c>
      <c r="G124" s="20">
        <v>10.07</v>
      </c>
      <c r="H124" s="20" t="s">
        <v>525</v>
      </c>
      <c r="I124" s="20">
        <v>10.91</v>
      </c>
      <c r="J124" s="20" t="s">
        <v>526</v>
      </c>
    </row>
    <row r="125" spans="1:10" x14ac:dyDescent="0.15">
      <c r="A125" s="21">
        <v>43210.502569444441</v>
      </c>
      <c r="B125" s="20">
        <v>1499</v>
      </c>
      <c r="C125" s="20">
        <v>1.61</v>
      </c>
      <c r="D125" s="20" t="s">
        <v>304</v>
      </c>
      <c r="E125" s="20">
        <v>81.95</v>
      </c>
      <c r="F125" s="20" t="s">
        <v>527</v>
      </c>
      <c r="G125" s="20">
        <v>9.7200000000000006</v>
      </c>
      <c r="H125" s="20" t="s">
        <v>528</v>
      </c>
      <c r="I125" s="20">
        <v>11.02</v>
      </c>
      <c r="J125" s="20" t="s">
        <v>307</v>
      </c>
    </row>
    <row r="126" spans="1:10" x14ac:dyDescent="0.15">
      <c r="A126" s="21">
        <v>43210.502592592595</v>
      </c>
      <c r="B126" s="20">
        <v>1499</v>
      </c>
      <c r="C126" s="20">
        <v>1.31</v>
      </c>
      <c r="D126" s="20" t="s">
        <v>283</v>
      </c>
      <c r="E126" s="20">
        <v>79.56</v>
      </c>
      <c r="F126" s="20" t="s">
        <v>529</v>
      </c>
      <c r="G126" s="20">
        <v>10.26</v>
      </c>
      <c r="H126" s="20" t="s">
        <v>530</v>
      </c>
      <c r="I126" s="20">
        <v>10.26</v>
      </c>
      <c r="J126" s="20" t="s">
        <v>531</v>
      </c>
    </row>
    <row r="127" spans="1:10" x14ac:dyDescent="0.15">
      <c r="A127" s="21">
        <v>43210.502638888887</v>
      </c>
      <c r="B127" s="20">
        <v>1499</v>
      </c>
      <c r="C127" s="20">
        <v>1.26</v>
      </c>
      <c r="D127" s="20" t="s">
        <v>288</v>
      </c>
      <c r="E127" s="20">
        <v>80.34</v>
      </c>
      <c r="F127" s="20" t="s">
        <v>481</v>
      </c>
      <c r="G127" s="20">
        <v>10.01</v>
      </c>
      <c r="H127" s="20" t="s">
        <v>532</v>
      </c>
      <c r="I127" s="20">
        <v>10.75</v>
      </c>
      <c r="J127" s="20" t="s">
        <v>310</v>
      </c>
    </row>
    <row r="128" spans="1:10" x14ac:dyDescent="0.15">
      <c r="A128" s="21">
        <v>43210.50267361111</v>
      </c>
      <c r="B128" s="20">
        <v>1499</v>
      </c>
      <c r="C128" s="20">
        <v>1.56</v>
      </c>
      <c r="D128" s="20" t="s">
        <v>277</v>
      </c>
      <c r="E128" s="20">
        <v>81.84</v>
      </c>
      <c r="F128" s="20" t="s">
        <v>533</v>
      </c>
      <c r="G128" s="20">
        <v>10.29</v>
      </c>
      <c r="H128" s="20" t="s">
        <v>534</v>
      </c>
      <c r="I128" s="20">
        <v>10.56</v>
      </c>
      <c r="J128" s="20" t="s">
        <v>535</v>
      </c>
    </row>
    <row r="129" spans="1:10" x14ac:dyDescent="0.15">
      <c r="A129" s="21">
        <v>43210.502708333333</v>
      </c>
      <c r="B129" s="20">
        <v>1499</v>
      </c>
      <c r="C129" s="20">
        <v>1.63</v>
      </c>
      <c r="D129" s="20" t="s">
        <v>230</v>
      </c>
      <c r="E129" s="20">
        <v>82.34</v>
      </c>
      <c r="F129" s="20" t="s">
        <v>536</v>
      </c>
      <c r="G129" s="20">
        <v>10.55</v>
      </c>
      <c r="H129" s="20" t="s">
        <v>520</v>
      </c>
      <c r="I129" s="20">
        <v>10.45</v>
      </c>
      <c r="J129" s="20" t="s">
        <v>537</v>
      </c>
    </row>
    <row r="130" spans="1:10" x14ac:dyDescent="0.15">
      <c r="A130" s="21">
        <v>43210.502743055556</v>
      </c>
      <c r="B130" s="20">
        <v>1499</v>
      </c>
      <c r="C130" s="20">
        <v>1.62</v>
      </c>
      <c r="D130" s="20" t="s">
        <v>404</v>
      </c>
      <c r="E130" s="20">
        <v>81.44</v>
      </c>
      <c r="F130" s="20" t="s">
        <v>538</v>
      </c>
      <c r="G130" s="20">
        <v>10.93</v>
      </c>
      <c r="H130" s="20" t="s">
        <v>539</v>
      </c>
      <c r="I130" s="20">
        <v>10.4</v>
      </c>
      <c r="J130" s="20" t="s">
        <v>540</v>
      </c>
    </row>
    <row r="131" spans="1:10" x14ac:dyDescent="0.15">
      <c r="A131" s="21">
        <v>43210.50277777778</v>
      </c>
      <c r="B131" s="20">
        <v>1499</v>
      </c>
      <c r="C131" s="20">
        <v>1.27</v>
      </c>
      <c r="D131" s="20" t="s">
        <v>252</v>
      </c>
      <c r="E131" s="20">
        <v>80.260000000000005</v>
      </c>
      <c r="F131" s="20" t="s">
        <v>541</v>
      </c>
      <c r="G131" s="20">
        <v>10.220000000000001</v>
      </c>
      <c r="H131" s="20" t="s">
        <v>542</v>
      </c>
      <c r="I131" s="20">
        <v>10.72</v>
      </c>
      <c r="J131" s="20" t="s">
        <v>543</v>
      </c>
    </row>
    <row r="132" spans="1:10" x14ac:dyDescent="0.15">
      <c r="A132" s="21">
        <v>43210.502812500003</v>
      </c>
      <c r="B132" s="20">
        <v>1499</v>
      </c>
      <c r="C132" s="20">
        <v>1.33</v>
      </c>
      <c r="D132" s="20" t="s">
        <v>390</v>
      </c>
      <c r="E132" s="20">
        <v>79.47</v>
      </c>
      <c r="F132" s="20" t="s">
        <v>544</v>
      </c>
      <c r="G132" s="20">
        <v>10.35</v>
      </c>
      <c r="H132" s="20" t="s">
        <v>545</v>
      </c>
      <c r="I132" s="20">
        <v>10.1</v>
      </c>
      <c r="J132" s="20" t="s">
        <v>546</v>
      </c>
    </row>
    <row r="133" spans="1:10" x14ac:dyDescent="0.15">
      <c r="A133" s="21">
        <v>43210.502847222226</v>
      </c>
      <c r="B133" s="20">
        <v>1499</v>
      </c>
      <c r="C133" s="20">
        <v>1.62</v>
      </c>
      <c r="D133" s="20" t="s">
        <v>404</v>
      </c>
      <c r="E133" s="20">
        <v>81.540000000000006</v>
      </c>
      <c r="F133" s="20" t="s">
        <v>425</v>
      </c>
      <c r="G133" s="20">
        <v>10.130000000000001</v>
      </c>
      <c r="H133" s="20" t="s">
        <v>547</v>
      </c>
      <c r="I133" s="20">
        <v>10.87</v>
      </c>
      <c r="J133" s="20" t="s">
        <v>548</v>
      </c>
    </row>
    <row r="134" spans="1:10" x14ac:dyDescent="0.15">
      <c r="A134" s="21">
        <v>43210.502881944441</v>
      </c>
      <c r="B134" s="20">
        <v>1499</v>
      </c>
      <c r="C134" s="20">
        <v>1.29</v>
      </c>
      <c r="D134" s="20" t="s">
        <v>242</v>
      </c>
      <c r="E134" s="20">
        <v>80.16</v>
      </c>
      <c r="F134" s="20" t="s">
        <v>549</v>
      </c>
      <c r="G134" s="20">
        <v>9.99</v>
      </c>
      <c r="H134" s="20" t="s">
        <v>550</v>
      </c>
      <c r="I134" s="20">
        <v>10.48</v>
      </c>
      <c r="J134" s="20" t="s">
        <v>551</v>
      </c>
    </row>
    <row r="135" spans="1:10" x14ac:dyDescent="0.15">
      <c r="A135" s="21">
        <v>43210.502905092595</v>
      </c>
      <c r="B135" s="20">
        <v>1499</v>
      </c>
      <c r="C135" s="20">
        <v>1.47</v>
      </c>
      <c r="D135" s="20" t="s">
        <v>404</v>
      </c>
      <c r="E135" s="20">
        <v>82.88</v>
      </c>
      <c r="F135" s="20" t="s">
        <v>552</v>
      </c>
      <c r="G135" s="20">
        <v>10.039999999999999</v>
      </c>
      <c r="H135" s="20" t="s">
        <v>553</v>
      </c>
      <c r="I135" s="20">
        <v>11.35</v>
      </c>
      <c r="J135" s="20" t="s">
        <v>554</v>
      </c>
    </row>
    <row r="136" spans="1:10" x14ac:dyDescent="0.15">
      <c r="A136" s="21">
        <v>43210.502939814818</v>
      </c>
      <c r="B136" s="20">
        <v>1500</v>
      </c>
      <c r="C136" s="20">
        <v>1.1200000000000001</v>
      </c>
      <c r="D136" s="20" t="s">
        <v>234</v>
      </c>
      <c r="E136" s="20">
        <v>79.91</v>
      </c>
      <c r="F136" s="20" t="s">
        <v>555</v>
      </c>
      <c r="G136" s="20">
        <v>9.92</v>
      </c>
      <c r="H136" s="20" t="s">
        <v>556</v>
      </c>
      <c r="I136" s="20">
        <v>10.48</v>
      </c>
      <c r="J136" s="20" t="s">
        <v>557</v>
      </c>
    </row>
    <row r="137" spans="1:10" x14ac:dyDescent="0.15">
      <c r="A137" s="21">
        <v>43210.502974537034</v>
      </c>
      <c r="B137" s="20">
        <v>1501</v>
      </c>
      <c r="C137" s="20">
        <v>1.21</v>
      </c>
      <c r="D137" s="20" t="s">
        <v>263</v>
      </c>
      <c r="E137" s="20">
        <v>79.91</v>
      </c>
      <c r="F137" s="20" t="s">
        <v>555</v>
      </c>
      <c r="G137" s="20">
        <v>9.92</v>
      </c>
      <c r="H137" s="20" t="s">
        <v>556</v>
      </c>
      <c r="I137" s="20">
        <v>10.48</v>
      </c>
      <c r="J137" s="20" t="s">
        <v>557</v>
      </c>
    </row>
    <row r="138" spans="1:10" x14ac:dyDescent="0.15">
      <c r="A138" s="21">
        <v>43210.502986111111</v>
      </c>
      <c r="B138" s="20">
        <v>1501</v>
      </c>
      <c r="C138" s="20">
        <v>1.21</v>
      </c>
      <c r="D138" s="20" t="s">
        <v>263</v>
      </c>
      <c r="E138" s="20">
        <v>81.290000000000006</v>
      </c>
      <c r="F138" s="20" t="s">
        <v>558</v>
      </c>
      <c r="G138" s="20">
        <v>9.61</v>
      </c>
      <c r="H138" s="20" t="s">
        <v>559</v>
      </c>
      <c r="I138" s="20">
        <v>10.38</v>
      </c>
      <c r="J138" s="20" t="s">
        <v>386</v>
      </c>
    </row>
    <row r="139" spans="1:10" x14ac:dyDescent="0.15">
      <c r="A139" s="21">
        <v>43210.502997685187</v>
      </c>
      <c r="B139" s="20">
        <v>1501</v>
      </c>
      <c r="C139" s="20">
        <v>1.58</v>
      </c>
      <c r="D139" s="20" t="s">
        <v>365</v>
      </c>
      <c r="E139" s="20">
        <v>81.290000000000006</v>
      </c>
      <c r="F139" s="20" t="s">
        <v>558</v>
      </c>
      <c r="G139" s="20">
        <v>9.61</v>
      </c>
      <c r="H139" s="20" t="s">
        <v>559</v>
      </c>
      <c r="I139" s="20">
        <v>10.38</v>
      </c>
      <c r="J139" s="20" t="s">
        <v>386</v>
      </c>
    </row>
    <row r="140" spans="1:10" x14ac:dyDescent="0.15">
      <c r="A140" s="21">
        <v>43210.503020833334</v>
      </c>
      <c r="B140" s="20">
        <v>1501</v>
      </c>
      <c r="C140" s="20">
        <v>1.58</v>
      </c>
      <c r="D140" s="20" t="s">
        <v>365</v>
      </c>
      <c r="E140" s="20">
        <v>82.67</v>
      </c>
      <c r="F140" s="20" t="s">
        <v>560</v>
      </c>
      <c r="G140" s="20">
        <v>9.9</v>
      </c>
      <c r="H140" s="20" t="s">
        <v>561</v>
      </c>
      <c r="I140" s="20">
        <v>10.75</v>
      </c>
      <c r="J140" s="20" t="s">
        <v>562</v>
      </c>
    </row>
    <row r="141" spans="1:10" x14ac:dyDescent="0.15">
      <c r="A141" s="21">
        <v>43210.503032407411</v>
      </c>
      <c r="B141" s="20">
        <v>1501</v>
      </c>
      <c r="C141" s="20">
        <v>1.22</v>
      </c>
      <c r="D141" s="20" t="s">
        <v>563</v>
      </c>
      <c r="E141" s="20">
        <v>82.67</v>
      </c>
      <c r="F141" s="20" t="s">
        <v>560</v>
      </c>
      <c r="G141" s="20">
        <v>9.9</v>
      </c>
      <c r="H141" s="20" t="s">
        <v>561</v>
      </c>
      <c r="I141" s="20">
        <v>10.75</v>
      </c>
      <c r="J141" s="20" t="s">
        <v>562</v>
      </c>
    </row>
    <row r="142" spans="1:10" x14ac:dyDescent="0.15">
      <c r="A142" s="21">
        <v>43210.503055555557</v>
      </c>
      <c r="B142" s="20">
        <v>1501</v>
      </c>
      <c r="C142" s="20">
        <v>1.22</v>
      </c>
      <c r="D142" s="20" t="s">
        <v>563</v>
      </c>
      <c r="E142" s="20">
        <v>81.25</v>
      </c>
      <c r="F142" s="20" t="s">
        <v>467</v>
      </c>
      <c r="G142" s="20">
        <v>10.33</v>
      </c>
      <c r="H142" s="20" t="s">
        <v>564</v>
      </c>
      <c r="I142" s="20">
        <v>10.199999999999999</v>
      </c>
      <c r="J142" s="20" t="s">
        <v>565</v>
      </c>
    </row>
    <row r="143" spans="1:10" x14ac:dyDescent="0.15">
      <c r="A143" s="21">
        <v>43210.503067129626</v>
      </c>
      <c r="B143" s="20">
        <v>1501</v>
      </c>
      <c r="C143" s="20">
        <v>1.23</v>
      </c>
      <c r="D143" s="20" t="s">
        <v>263</v>
      </c>
      <c r="E143" s="20">
        <v>81.25</v>
      </c>
      <c r="F143" s="20" t="s">
        <v>467</v>
      </c>
      <c r="G143" s="20">
        <v>10.33</v>
      </c>
      <c r="H143" s="20" t="s">
        <v>564</v>
      </c>
      <c r="I143" s="20">
        <v>10.199999999999999</v>
      </c>
      <c r="J143" s="20" t="s">
        <v>565</v>
      </c>
    </row>
    <row r="144" spans="1:10" x14ac:dyDescent="0.15">
      <c r="A144" s="21">
        <v>43210.50309027778</v>
      </c>
      <c r="B144" s="20">
        <v>1501</v>
      </c>
      <c r="C144" s="20">
        <v>1.37</v>
      </c>
      <c r="D144" s="20" t="s">
        <v>246</v>
      </c>
      <c r="E144" s="20">
        <v>80.010000000000005</v>
      </c>
      <c r="F144" s="20" t="s">
        <v>566</v>
      </c>
      <c r="G144" s="20">
        <v>10.16</v>
      </c>
      <c r="H144" s="20" t="s">
        <v>567</v>
      </c>
      <c r="I144" s="20">
        <v>10.39</v>
      </c>
      <c r="J144" s="20" t="s">
        <v>568</v>
      </c>
    </row>
    <row r="145" spans="1:10" x14ac:dyDescent="0.15">
      <c r="A145" s="21">
        <v>43210.503125000003</v>
      </c>
      <c r="B145" s="20">
        <v>1501</v>
      </c>
      <c r="C145" s="20">
        <v>1.27</v>
      </c>
      <c r="D145" s="20" t="s">
        <v>263</v>
      </c>
      <c r="E145" s="20">
        <v>81.510000000000005</v>
      </c>
      <c r="F145" s="20" t="s">
        <v>569</v>
      </c>
      <c r="G145" s="20">
        <v>11.14</v>
      </c>
      <c r="H145" s="20" t="s">
        <v>468</v>
      </c>
      <c r="I145" s="20">
        <v>10.56</v>
      </c>
      <c r="J145" s="20" t="s">
        <v>570</v>
      </c>
    </row>
    <row r="146" spans="1:10" x14ac:dyDescent="0.15">
      <c r="A146" s="21">
        <v>43210.503159722219</v>
      </c>
      <c r="B146" s="20">
        <v>1501</v>
      </c>
      <c r="C146" s="20">
        <v>1.37</v>
      </c>
      <c r="D146" s="20" t="s">
        <v>397</v>
      </c>
      <c r="E146" s="20">
        <v>79.48</v>
      </c>
      <c r="F146" s="20" t="s">
        <v>571</v>
      </c>
      <c r="G146" s="20">
        <v>10.59</v>
      </c>
      <c r="H146" s="20" t="s">
        <v>572</v>
      </c>
      <c r="I146" s="20">
        <v>10.32</v>
      </c>
      <c r="J146" s="20" t="s">
        <v>573</v>
      </c>
    </row>
    <row r="147" spans="1:10" x14ac:dyDescent="0.15">
      <c r="A147" s="21">
        <v>43210.503182870372</v>
      </c>
      <c r="B147" s="20">
        <v>1501</v>
      </c>
      <c r="C147" s="20">
        <v>1.21</v>
      </c>
      <c r="D147" s="20" t="s">
        <v>263</v>
      </c>
      <c r="E147" s="20">
        <v>81.66</v>
      </c>
      <c r="F147" s="20" t="s">
        <v>558</v>
      </c>
      <c r="G147" s="20">
        <v>10.4</v>
      </c>
      <c r="H147" s="20" t="s">
        <v>574</v>
      </c>
      <c r="I147" s="20">
        <v>10.78</v>
      </c>
      <c r="J147" s="20" t="s">
        <v>575</v>
      </c>
    </row>
    <row r="148" spans="1:10" x14ac:dyDescent="0.15">
      <c r="A148" s="21">
        <v>43210.503217592595</v>
      </c>
      <c r="B148" s="20">
        <v>1500</v>
      </c>
      <c r="C148" s="20">
        <v>1.54</v>
      </c>
      <c r="D148" s="20" t="s">
        <v>313</v>
      </c>
      <c r="E148" s="20">
        <v>81.319999999999993</v>
      </c>
      <c r="F148" s="20" t="s">
        <v>576</v>
      </c>
      <c r="G148" s="20">
        <v>10.52</v>
      </c>
      <c r="H148" s="20" t="s">
        <v>577</v>
      </c>
      <c r="I148" s="20">
        <v>10.35</v>
      </c>
      <c r="J148" s="20" t="s">
        <v>578</v>
      </c>
    </row>
    <row r="149" spans="1:10" x14ac:dyDescent="0.15">
      <c r="A149" s="21">
        <v>43210.503252314818</v>
      </c>
      <c r="B149" s="20">
        <v>1501</v>
      </c>
      <c r="C149" s="20">
        <v>1.19</v>
      </c>
      <c r="D149" s="20" t="s">
        <v>288</v>
      </c>
      <c r="E149" s="20">
        <v>80.900000000000006</v>
      </c>
      <c r="F149" s="20" t="s">
        <v>579</v>
      </c>
      <c r="G149" s="20">
        <v>10.37</v>
      </c>
      <c r="H149" s="20" t="s">
        <v>580</v>
      </c>
      <c r="I149" s="20">
        <v>10.19</v>
      </c>
      <c r="J149" s="20" t="s">
        <v>581</v>
      </c>
    </row>
    <row r="150" spans="1:10" x14ac:dyDescent="0.15">
      <c r="A150" s="21">
        <v>43210.503287037034</v>
      </c>
      <c r="B150" s="20">
        <v>1501</v>
      </c>
      <c r="C150" s="20">
        <v>1.22</v>
      </c>
      <c r="D150" s="20" t="s">
        <v>256</v>
      </c>
      <c r="E150" s="20">
        <v>79.88</v>
      </c>
      <c r="F150" s="20" t="s">
        <v>582</v>
      </c>
      <c r="G150" s="20">
        <v>10.19</v>
      </c>
      <c r="H150" s="20" t="s">
        <v>583</v>
      </c>
      <c r="I150" s="20">
        <v>10.66</v>
      </c>
      <c r="J150" s="20" t="s">
        <v>584</v>
      </c>
    </row>
    <row r="151" spans="1:10" x14ac:dyDescent="0.15">
      <c r="A151" s="21">
        <v>43210.503310185188</v>
      </c>
      <c r="B151" s="20">
        <v>1501</v>
      </c>
      <c r="C151" s="20">
        <v>1.47</v>
      </c>
      <c r="D151" s="20" t="s">
        <v>404</v>
      </c>
      <c r="E151" s="20">
        <v>81.95</v>
      </c>
      <c r="F151" s="20" t="s">
        <v>585</v>
      </c>
      <c r="G151" s="20">
        <v>9.9499999999999993</v>
      </c>
      <c r="H151" s="20" t="s">
        <v>586</v>
      </c>
      <c r="I151" s="20">
        <v>10.87</v>
      </c>
      <c r="J151" s="20" t="s">
        <v>587</v>
      </c>
    </row>
    <row r="152" spans="1:10" x14ac:dyDescent="0.15">
      <c r="A152" s="21">
        <v>43210.50335648148</v>
      </c>
      <c r="B152" s="20">
        <v>1501</v>
      </c>
      <c r="C152" s="20">
        <v>1.1399999999999999</v>
      </c>
      <c r="D152" s="20" t="s">
        <v>234</v>
      </c>
      <c r="E152" s="20">
        <v>80.83</v>
      </c>
      <c r="F152" s="20" t="s">
        <v>588</v>
      </c>
      <c r="G152" s="20">
        <v>10.08</v>
      </c>
      <c r="H152" s="20" t="s">
        <v>589</v>
      </c>
      <c r="I152" s="20">
        <v>11.34</v>
      </c>
      <c r="J152" s="20" t="s">
        <v>590</v>
      </c>
    </row>
    <row r="153" spans="1:10" x14ac:dyDescent="0.15">
      <c r="A153" s="21">
        <v>43210.503391203703</v>
      </c>
      <c r="B153" s="20">
        <v>1501</v>
      </c>
      <c r="C153" s="20">
        <v>1.53</v>
      </c>
      <c r="D153" s="20" t="s">
        <v>497</v>
      </c>
      <c r="E153" s="20">
        <v>81.98</v>
      </c>
      <c r="F153" s="20" t="s">
        <v>591</v>
      </c>
      <c r="G153" s="20">
        <v>10.19</v>
      </c>
      <c r="H153" s="20" t="s">
        <v>592</v>
      </c>
      <c r="I153" s="20">
        <v>10.32</v>
      </c>
      <c r="J153" s="20" t="s">
        <v>593</v>
      </c>
    </row>
    <row r="154" spans="1:10" x14ac:dyDescent="0.15">
      <c r="A154" s="21">
        <v>43210.503425925926</v>
      </c>
      <c r="B154" s="20">
        <v>1501</v>
      </c>
      <c r="C154" s="20">
        <v>1.1499999999999999</v>
      </c>
      <c r="D154" s="20" t="s">
        <v>234</v>
      </c>
      <c r="E154" s="20">
        <v>80.92</v>
      </c>
      <c r="F154" s="20" t="s">
        <v>594</v>
      </c>
      <c r="G154" s="20">
        <v>10.24</v>
      </c>
      <c r="H154" s="20" t="s">
        <v>595</v>
      </c>
      <c r="I154" s="20">
        <v>10.78</v>
      </c>
      <c r="J154" s="20" t="s">
        <v>596</v>
      </c>
    </row>
    <row r="155" spans="1:10" x14ac:dyDescent="0.15">
      <c r="A155" s="21">
        <v>43210.503460648149</v>
      </c>
      <c r="B155" s="20">
        <v>1501</v>
      </c>
      <c r="C155" s="20">
        <v>1.2</v>
      </c>
      <c r="D155" s="20" t="s">
        <v>597</v>
      </c>
      <c r="E155" s="20">
        <v>79.69</v>
      </c>
      <c r="F155" s="20" t="s">
        <v>598</v>
      </c>
      <c r="G155" s="20">
        <v>10.97</v>
      </c>
      <c r="H155" s="20" t="s">
        <v>599</v>
      </c>
      <c r="I155" s="20">
        <v>10.19</v>
      </c>
      <c r="J155" s="20" t="s">
        <v>600</v>
      </c>
    </row>
    <row r="156" spans="1:10" x14ac:dyDescent="0.15">
      <c r="A156" s="21">
        <v>43210.503495370373</v>
      </c>
      <c r="B156" s="20">
        <v>1500</v>
      </c>
      <c r="C156" s="20">
        <v>1.59</v>
      </c>
      <c r="D156" s="20" t="s">
        <v>601</v>
      </c>
      <c r="E156" s="20">
        <v>79.44</v>
      </c>
      <c r="F156" s="20" t="s">
        <v>602</v>
      </c>
      <c r="G156" s="20">
        <v>11.09</v>
      </c>
      <c r="H156" s="20" t="s">
        <v>603</v>
      </c>
      <c r="I156" s="20">
        <v>10.64</v>
      </c>
      <c r="J156" s="20" t="s">
        <v>537</v>
      </c>
    </row>
    <row r="157" spans="1:10" x14ac:dyDescent="0.15">
      <c r="A157" s="21">
        <v>43210.503530092596</v>
      </c>
      <c r="B157" s="20">
        <v>1500</v>
      </c>
      <c r="C157" s="20">
        <v>1.07</v>
      </c>
      <c r="D157" s="20" t="s">
        <v>277</v>
      </c>
      <c r="E157" s="20">
        <v>80.790000000000006</v>
      </c>
      <c r="F157" s="20" t="s">
        <v>604</v>
      </c>
      <c r="G157" s="20">
        <v>10.61</v>
      </c>
      <c r="H157" s="20" t="s">
        <v>605</v>
      </c>
      <c r="I157" s="20">
        <v>10.65</v>
      </c>
      <c r="J157" s="20" t="s">
        <v>606</v>
      </c>
    </row>
    <row r="158" spans="1:10" x14ac:dyDescent="0.15">
      <c r="A158" s="21">
        <v>43210.503564814811</v>
      </c>
      <c r="B158" s="20">
        <v>1500</v>
      </c>
      <c r="C158" s="20">
        <v>1.1299999999999999</v>
      </c>
      <c r="D158" s="20" t="s">
        <v>288</v>
      </c>
      <c r="E158" s="20">
        <v>79.88</v>
      </c>
      <c r="F158" s="20" t="s">
        <v>607</v>
      </c>
      <c r="G158" s="20">
        <v>10.130000000000001</v>
      </c>
      <c r="H158" s="20" t="s">
        <v>608</v>
      </c>
      <c r="I158" s="20">
        <v>10.78</v>
      </c>
      <c r="J158" s="20" t="s">
        <v>609</v>
      </c>
    </row>
    <row r="159" spans="1:10" x14ac:dyDescent="0.15">
      <c r="A159" s="21">
        <v>43210.503587962965</v>
      </c>
      <c r="B159" s="20">
        <v>1499</v>
      </c>
      <c r="C159" s="20">
        <v>1.44</v>
      </c>
      <c r="D159" s="20" t="s">
        <v>404</v>
      </c>
      <c r="E159" s="20">
        <v>83</v>
      </c>
      <c r="F159" s="20" t="s">
        <v>610</v>
      </c>
      <c r="G159" s="20">
        <v>10.39</v>
      </c>
      <c r="H159" s="20" t="s">
        <v>611</v>
      </c>
      <c r="I159" s="20">
        <v>10.84</v>
      </c>
      <c r="J159" s="20" t="s">
        <v>432</v>
      </c>
    </row>
    <row r="160" spans="1:10" x14ac:dyDescent="0.15">
      <c r="A160" s="21">
        <v>43210.503622685188</v>
      </c>
      <c r="B160" s="20">
        <v>1499</v>
      </c>
      <c r="C160" s="20">
        <v>1.1499999999999999</v>
      </c>
      <c r="D160" s="20" t="s">
        <v>256</v>
      </c>
      <c r="E160" s="20">
        <v>81.14</v>
      </c>
      <c r="F160" s="20" t="s">
        <v>510</v>
      </c>
      <c r="G160" s="20">
        <v>9.75</v>
      </c>
      <c r="H160" s="20" t="s">
        <v>348</v>
      </c>
      <c r="I160" s="20">
        <v>10.4</v>
      </c>
      <c r="J160" s="20" t="s">
        <v>612</v>
      </c>
    </row>
    <row r="161" spans="1:10" x14ac:dyDescent="0.15">
      <c r="A161" s="21">
        <v>43210.503657407404</v>
      </c>
      <c r="B161" s="20">
        <v>1499</v>
      </c>
      <c r="C161" s="20">
        <v>1.46</v>
      </c>
      <c r="D161" s="20" t="s">
        <v>365</v>
      </c>
      <c r="E161" s="20">
        <v>81.760000000000005</v>
      </c>
      <c r="F161" s="20" t="s">
        <v>613</v>
      </c>
      <c r="G161" s="20">
        <v>9.81</v>
      </c>
      <c r="H161" s="20" t="s">
        <v>614</v>
      </c>
      <c r="I161" s="20">
        <v>10.48</v>
      </c>
      <c r="J161" s="20" t="s">
        <v>615</v>
      </c>
    </row>
    <row r="162" spans="1:10" x14ac:dyDescent="0.15">
      <c r="A162" s="21">
        <v>43210.503680555557</v>
      </c>
      <c r="B162" s="20">
        <v>1499</v>
      </c>
      <c r="C162" s="20">
        <v>1.24</v>
      </c>
      <c r="D162" s="20" t="s">
        <v>256</v>
      </c>
      <c r="E162" s="20">
        <v>80.319999999999993</v>
      </c>
      <c r="F162" s="20" t="s">
        <v>616</v>
      </c>
      <c r="G162" s="20">
        <v>9.89</v>
      </c>
      <c r="H162" s="20" t="s">
        <v>617</v>
      </c>
      <c r="I162" s="20">
        <v>10.78</v>
      </c>
      <c r="J162" s="20" t="s">
        <v>618</v>
      </c>
    </row>
    <row r="163" spans="1:10" x14ac:dyDescent="0.15">
      <c r="A163" s="21">
        <v>43210.50371527778</v>
      </c>
      <c r="B163" s="20">
        <v>1499</v>
      </c>
      <c r="C163" s="20">
        <v>1.24</v>
      </c>
      <c r="D163" s="20" t="s">
        <v>256</v>
      </c>
      <c r="E163" s="20">
        <v>80.319999999999993</v>
      </c>
      <c r="F163" s="20" t="s">
        <v>616</v>
      </c>
      <c r="G163" s="20">
        <v>9.89</v>
      </c>
      <c r="H163" s="20" t="s">
        <v>617</v>
      </c>
      <c r="I163" s="20">
        <v>10.78</v>
      </c>
      <c r="J163" s="20" t="s">
        <v>618</v>
      </c>
    </row>
    <row r="164" spans="1:10" x14ac:dyDescent="0.15">
      <c r="A164" s="21">
        <v>43210.50372685185</v>
      </c>
      <c r="B164" s="20">
        <v>1499</v>
      </c>
      <c r="C164" s="20">
        <v>1.26</v>
      </c>
      <c r="D164" s="20" t="s">
        <v>252</v>
      </c>
      <c r="E164" s="20">
        <v>80.3</v>
      </c>
      <c r="F164" s="20" t="s">
        <v>619</v>
      </c>
      <c r="G164" s="20">
        <v>9.9499999999999993</v>
      </c>
      <c r="H164" s="20" t="s">
        <v>620</v>
      </c>
      <c r="I164" s="20">
        <v>10.89</v>
      </c>
      <c r="J164" s="20" t="s">
        <v>491</v>
      </c>
    </row>
    <row r="165" spans="1:10" x14ac:dyDescent="0.15">
      <c r="A165" s="21">
        <v>43210.503750000003</v>
      </c>
      <c r="B165" s="20">
        <v>1497</v>
      </c>
      <c r="C165" s="20">
        <v>1.65</v>
      </c>
      <c r="D165" s="20" t="s">
        <v>339</v>
      </c>
      <c r="E165" s="20">
        <v>80.22</v>
      </c>
      <c r="F165" s="20" t="s">
        <v>621</v>
      </c>
      <c r="G165" s="20">
        <v>10.42</v>
      </c>
      <c r="H165" s="20" t="s">
        <v>622</v>
      </c>
      <c r="I165" s="20">
        <v>10.91</v>
      </c>
      <c r="J165" s="20" t="s">
        <v>623</v>
      </c>
    </row>
    <row r="166" spans="1:10" x14ac:dyDescent="0.15">
      <c r="A166" s="21">
        <v>43210.503761574073</v>
      </c>
      <c r="B166" s="20">
        <v>1480</v>
      </c>
      <c r="C166" s="20">
        <v>1.38</v>
      </c>
      <c r="D166" s="20" t="s">
        <v>624</v>
      </c>
      <c r="E166" s="20">
        <v>77.05</v>
      </c>
      <c r="F166" s="20" t="s">
        <v>625</v>
      </c>
      <c r="G166" s="20">
        <v>8.64</v>
      </c>
      <c r="H166" s="20" t="s">
        <v>626</v>
      </c>
      <c r="I166" s="20">
        <v>12.22</v>
      </c>
      <c r="J166" s="20" t="s">
        <v>627</v>
      </c>
    </row>
    <row r="167" spans="1:10" x14ac:dyDescent="0.15">
      <c r="A167" s="21">
        <v>43210.50377314815</v>
      </c>
      <c r="B167" s="20">
        <v>1463</v>
      </c>
      <c r="C167" s="20">
        <v>1.27</v>
      </c>
      <c r="D167" s="20" t="s">
        <v>256</v>
      </c>
      <c r="E167" s="20">
        <v>72.08</v>
      </c>
      <c r="F167" s="20" t="s">
        <v>628</v>
      </c>
      <c r="G167" s="20">
        <v>7.63</v>
      </c>
      <c r="H167" s="20" t="s">
        <v>629</v>
      </c>
      <c r="I167" s="20">
        <v>12.23</v>
      </c>
      <c r="J167" s="20" t="s">
        <v>630</v>
      </c>
    </row>
    <row r="168" spans="1:10" x14ac:dyDescent="0.15">
      <c r="A168" s="21">
        <v>43210.503784722219</v>
      </c>
      <c r="B168" s="20">
        <v>1446</v>
      </c>
      <c r="C168" s="20">
        <v>1.27</v>
      </c>
      <c r="D168" s="20" t="s">
        <v>242</v>
      </c>
      <c r="E168" s="20">
        <v>65.47</v>
      </c>
      <c r="F168" s="20" t="s">
        <v>631</v>
      </c>
      <c r="G168" s="20">
        <v>7.4</v>
      </c>
      <c r="H168" s="20" t="s">
        <v>632</v>
      </c>
      <c r="I168" s="20">
        <v>12.06</v>
      </c>
      <c r="J168" s="20" t="s">
        <v>633</v>
      </c>
    </row>
    <row r="169" spans="1:10" x14ac:dyDescent="0.15">
      <c r="A169" s="21">
        <v>43210.503796296296</v>
      </c>
      <c r="B169" s="20">
        <v>1430</v>
      </c>
      <c r="C169" s="20">
        <v>1.26</v>
      </c>
      <c r="D169" s="20" t="s">
        <v>242</v>
      </c>
      <c r="E169" s="20">
        <v>59.86</v>
      </c>
      <c r="F169" s="20" t="s">
        <v>634</v>
      </c>
      <c r="G169" s="20">
        <v>7.37</v>
      </c>
      <c r="H169" s="20" t="s">
        <v>635</v>
      </c>
      <c r="I169" s="20">
        <v>13.18</v>
      </c>
      <c r="J169" s="20" t="s">
        <v>241</v>
      </c>
    </row>
    <row r="170" spans="1:10" x14ac:dyDescent="0.15">
      <c r="A170" s="21">
        <v>43210.503807870373</v>
      </c>
      <c r="B170" s="20">
        <v>1415</v>
      </c>
      <c r="C170" s="20">
        <v>1.69</v>
      </c>
      <c r="D170" s="20" t="s">
        <v>365</v>
      </c>
      <c r="E170" s="20">
        <v>54.96</v>
      </c>
      <c r="F170" s="20" t="s">
        <v>636</v>
      </c>
      <c r="G170" s="20">
        <v>7.05</v>
      </c>
      <c r="H170" s="20" t="s">
        <v>637</v>
      </c>
      <c r="I170" s="20">
        <v>12.68</v>
      </c>
      <c r="J170" s="20" t="s">
        <v>638</v>
      </c>
    </row>
    <row r="171" spans="1:10" x14ac:dyDescent="0.15">
      <c r="A171" s="21">
        <v>43210.503819444442</v>
      </c>
      <c r="B171" s="20">
        <v>1400</v>
      </c>
      <c r="C171" s="20">
        <v>1.62</v>
      </c>
      <c r="D171" s="20" t="s">
        <v>321</v>
      </c>
      <c r="E171" s="20">
        <v>50.8</v>
      </c>
      <c r="F171" s="20" t="s">
        <v>639</v>
      </c>
      <c r="G171" s="20">
        <v>8.61</v>
      </c>
      <c r="H171" s="20" t="s">
        <v>640</v>
      </c>
      <c r="I171" s="20">
        <v>12.95</v>
      </c>
      <c r="J171" s="20" t="s">
        <v>641</v>
      </c>
    </row>
    <row r="172" spans="1:10" x14ac:dyDescent="0.15">
      <c r="A172" s="21">
        <v>43210.503831018519</v>
      </c>
      <c r="B172" s="20">
        <v>1385</v>
      </c>
      <c r="C172" s="20">
        <v>1.5</v>
      </c>
      <c r="D172" s="20" t="s">
        <v>390</v>
      </c>
      <c r="E172" s="20">
        <v>45.48</v>
      </c>
      <c r="F172" s="20" t="s">
        <v>642</v>
      </c>
      <c r="G172" s="20">
        <v>11.49</v>
      </c>
      <c r="H172" s="20" t="s">
        <v>643</v>
      </c>
      <c r="I172" s="20">
        <v>12.59</v>
      </c>
      <c r="J172" s="20" t="s">
        <v>644</v>
      </c>
    </row>
    <row r="173" spans="1:10" x14ac:dyDescent="0.15">
      <c r="A173" s="21">
        <v>43210.503842592596</v>
      </c>
      <c r="B173" s="20">
        <v>1370</v>
      </c>
      <c r="C173" s="20">
        <v>1.72</v>
      </c>
      <c r="D173" s="20" t="s">
        <v>397</v>
      </c>
      <c r="E173" s="20">
        <v>48.59</v>
      </c>
      <c r="F173" s="20" t="s">
        <v>645</v>
      </c>
      <c r="G173" s="20">
        <v>14.03</v>
      </c>
      <c r="H173" s="20" t="s">
        <v>646</v>
      </c>
      <c r="I173" s="20">
        <v>11.52</v>
      </c>
      <c r="J173" s="20" t="s">
        <v>647</v>
      </c>
    </row>
    <row r="174" spans="1:10" x14ac:dyDescent="0.15">
      <c r="A174" s="21">
        <v>43210.503854166665</v>
      </c>
      <c r="B174" s="20">
        <v>1356</v>
      </c>
      <c r="C174" s="20">
        <v>1.63</v>
      </c>
      <c r="D174" s="20" t="s">
        <v>321</v>
      </c>
      <c r="E174" s="20">
        <v>56.53</v>
      </c>
      <c r="F174" s="20" t="s">
        <v>648</v>
      </c>
      <c r="G174" s="20">
        <v>13.8</v>
      </c>
      <c r="H174" s="20" t="s">
        <v>649</v>
      </c>
      <c r="I174" s="20">
        <v>11.17</v>
      </c>
      <c r="J174" s="20" t="s">
        <v>650</v>
      </c>
    </row>
    <row r="175" spans="1:10" x14ac:dyDescent="0.15">
      <c r="A175" s="21">
        <v>43210.503865740742</v>
      </c>
      <c r="B175" s="20">
        <v>1342</v>
      </c>
      <c r="C175" s="20">
        <v>1.53</v>
      </c>
      <c r="D175" s="20" t="s">
        <v>651</v>
      </c>
      <c r="E175" s="20">
        <v>48.55</v>
      </c>
      <c r="F175" s="20" t="s">
        <v>652</v>
      </c>
      <c r="G175" s="20">
        <v>7.98</v>
      </c>
      <c r="H175" s="20" t="s">
        <v>653</v>
      </c>
      <c r="I175" s="20">
        <v>9.3000000000000007</v>
      </c>
      <c r="J175" s="20" t="s">
        <v>654</v>
      </c>
    </row>
    <row r="176" spans="1:10" x14ac:dyDescent="0.15">
      <c r="A176" s="21">
        <v>43210.503877314812</v>
      </c>
      <c r="B176" s="20">
        <v>1329</v>
      </c>
      <c r="C176" s="20">
        <v>1.54</v>
      </c>
      <c r="D176" s="20" t="s">
        <v>655</v>
      </c>
      <c r="E176" s="20">
        <v>46.23</v>
      </c>
      <c r="F176" s="20" t="s">
        <v>656</v>
      </c>
      <c r="G176" s="20">
        <v>8.27</v>
      </c>
      <c r="H176" s="20" t="s">
        <v>657</v>
      </c>
      <c r="I176" s="20">
        <v>9.48</v>
      </c>
      <c r="J176" s="20" t="s">
        <v>658</v>
      </c>
    </row>
    <row r="177" spans="1:10" x14ac:dyDescent="0.15">
      <c r="A177" s="21">
        <v>43210.503888888888</v>
      </c>
      <c r="B177" s="20">
        <v>1315</v>
      </c>
      <c r="C177" s="20">
        <v>1.53</v>
      </c>
      <c r="D177" s="20" t="s">
        <v>655</v>
      </c>
      <c r="E177" s="20">
        <v>45.15</v>
      </c>
      <c r="F177" s="20" t="s">
        <v>659</v>
      </c>
      <c r="G177" s="20">
        <v>8.0500000000000007</v>
      </c>
      <c r="H177" s="20" t="s">
        <v>660</v>
      </c>
      <c r="I177" s="20">
        <v>9.48</v>
      </c>
      <c r="J177" s="20" t="s">
        <v>661</v>
      </c>
    </row>
    <row r="178" spans="1:10" x14ac:dyDescent="0.15">
      <c r="A178" s="21">
        <v>43210.503900462965</v>
      </c>
      <c r="B178" s="20">
        <v>1303</v>
      </c>
      <c r="C178" s="20">
        <v>1.54</v>
      </c>
      <c r="D178" s="20" t="s">
        <v>662</v>
      </c>
      <c r="E178" s="20">
        <v>42.71</v>
      </c>
      <c r="F178" s="20" t="s">
        <v>663</v>
      </c>
      <c r="G178" s="20">
        <v>7.51</v>
      </c>
      <c r="H178" s="20" t="s">
        <v>664</v>
      </c>
      <c r="I178" s="20">
        <v>9.59</v>
      </c>
      <c r="J178" s="20" t="s">
        <v>665</v>
      </c>
    </row>
    <row r="179" spans="1:10" x14ac:dyDescent="0.15">
      <c r="A179" s="21">
        <v>43210.503912037035</v>
      </c>
      <c r="B179" s="20">
        <v>1290</v>
      </c>
      <c r="C179" s="20">
        <v>1.54</v>
      </c>
      <c r="D179" s="20" t="s">
        <v>651</v>
      </c>
      <c r="E179" s="20">
        <v>40.799999999999997</v>
      </c>
      <c r="F179" s="20" t="s">
        <v>666</v>
      </c>
      <c r="G179" s="20">
        <v>7.5</v>
      </c>
      <c r="H179" s="20" t="s">
        <v>667</v>
      </c>
      <c r="I179" s="20">
        <v>10.32</v>
      </c>
      <c r="J179" s="20" t="s">
        <v>668</v>
      </c>
    </row>
    <row r="180" spans="1:10" x14ac:dyDescent="0.15">
      <c r="A180" s="21">
        <v>43210.503923611112</v>
      </c>
      <c r="B180" s="20">
        <v>1277</v>
      </c>
      <c r="C180" s="20">
        <v>1.78</v>
      </c>
      <c r="D180" s="20" t="s">
        <v>273</v>
      </c>
      <c r="E180" s="20">
        <v>39.93</v>
      </c>
      <c r="F180" s="20" t="s">
        <v>669</v>
      </c>
      <c r="G180" s="20">
        <v>7.17</v>
      </c>
      <c r="H180" s="20" t="s">
        <v>670</v>
      </c>
      <c r="I180" s="20">
        <v>9.7899999999999991</v>
      </c>
      <c r="J180" s="20" t="s">
        <v>671</v>
      </c>
    </row>
    <row r="181" spans="1:10" x14ac:dyDescent="0.15">
      <c r="A181" s="21">
        <v>43210.503935185188</v>
      </c>
      <c r="B181" s="20">
        <v>1264</v>
      </c>
      <c r="C181" s="20">
        <v>1.62</v>
      </c>
      <c r="D181" s="20" t="s">
        <v>672</v>
      </c>
      <c r="E181" s="20">
        <v>37.11</v>
      </c>
      <c r="F181" s="20" t="s">
        <v>673</v>
      </c>
      <c r="G181" s="20">
        <v>6.6</v>
      </c>
      <c r="H181" s="20" t="s">
        <v>674</v>
      </c>
      <c r="I181" s="20">
        <v>8.9700000000000006</v>
      </c>
      <c r="J181" s="20" t="s">
        <v>675</v>
      </c>
    </row>
    <row r="182" spans="1:10" x14ac:dyDescent="0.15">
      <c r="A182" s="21">
        <v>43210.503946759258</v>
      </c>
      <c r="B182" s="20">
        <v>1252</v>
      </c>
      <c r="C182" s="20">
        <v>1.44</v>
      </c>
      <c r="D182" s="20" t="s">
        <v>238</v>
      </c>
      <c r="E182" s="20">
        <v>35.57</v>
      </c>
      <c r="F182" s="20" t="s">
        <v>676</v>
      </c>
      <c r="G182" s="20">
        <v>6.81</v>
      </c>
      <c r="H182" s="20" t="s">
        <v>677</v>
      </c>
      <c r="I182" s="20">
        <v>8.44</v>
      </c>
      <c r="J182" s="20" t="s">
        <v>678</v>
      </c>
    </row>
    <row r="183" spans="1:10" x14ac:dyDescent="0.15">
      <c r="A183" s="21">
        <v>43210.503958333335</v>
      </c>
      <c r="B183" s="20">
        <v>1240</v>
      </c>
      <c r="C183" s="20">
        <v>1.56</v>
      </c>
      <c r="D183" s="20" t="s">
        <v>679</v>
      </c>
      <c r="E183" s="20">
        <v>33.69</v>
      </c>
      <c r="F183" s="20" t="s">
        <v>680</v>
      </c>
      <c r="G183" s="20">
        <v>6.54</v>
      </c>
      <c r="H183" s="20" t="s">
        <v>681</v>
      </c>
      <c r="I183" s="20">
        <v>8.51</v>
      </c>
      <c r="J183" s="20" t="s">
        <v>682</v>
      </c>
    </row>
    <row r="184" spans="1:10" x14ac:dyDescent="0.15">
      <c r="A184" s="21">
        <v>43210.503969907404</v>
      </c>
      <c r="B184" s="20">
        <v>1228</v>
      </c>
      <c r="C184" s="20">
        <v>0.97</v>
      </c>
      <c r="D184" s="20" t="s">
        <v>358</v>
      </c>
      <c r="E184" s="20">
        <v>34.06</v>
      </c>
      <c r="F184" s="20" t="s">
        <v>683</v>
      </c>
      <c r="G184" s="20">
        <v>6.54</v>
      </c>
      <c r="H184" s="20" t="s">
        <v>681</v>
      </c>
      <c r="I184" s="20">
        <v>8.51</v>
      </c>
      <c r="J184" s="20" t="s">
        <v>682</v>
      </c>
    </row>
    <row r="185" spans="1:10" x14ac:dyDescent="0.15">
      <c r="A185" s="21">
        <v>43210.503981481481</v>
      </c>
      <c r="B185" s="20">
        <v>1228</v>
      </c>
      <c r="C185" s="20">
        <v>0.97</v>
      </c>
      <c r="D185" s="20" t="s">
        <v>358</v>
      </c>
      <c r="E185" s="20">
        <v>34.06</v>
      </c>
      <c r="F185" s="20" t="s">
        <v>683</v>
      </c>
      <c r="G185" s="20">
        <v>6.73</v>
      </c>
      <c r="H185" s="20" t="s">
        <v>684</v>
      </c>
      <c r="I185" s="20">
        <v>7.76</v>
      </c>
      <c r="J185" s="20" t="s">
        <v>685</v>
      </c>
    </row>
    <row r="186" spans="1:10" x14ac:dyDescent="0.15">
      <c r="A186" s="21">
        <v>43210.503993055558</v>
      </c>
      <c r="B186" s="20">
        <v>1216</v>
      </c>
      <c r="C186" s="20">
        <v>1.18</v>
      </c>
      <c r="D186" s="20" t="s">
        <v>686</v>
      </c>
      <c r="E186" s="20">
        <v>31.94</v>
      </c>
      <c r="F186" s="20" t="s">
        <v>687</v>
      </c>
      <c r="G186" s="20">
        <v>6.28</v>
      </c>
      <c r="H186" s="20" t="s">
        <v>688</v>
      </c>
      <c r="I186" s="20">
        <v>7.66</v>
      </c>
      <c r="J186" s="20" t="s">
        <v>689</v>
      </c>
    </row>
    <row r="187" spans="1:10" x14ac:dyDescent="0.15">
      <c r="A187" s="21">
        <v>43210.504004629627</v>
      </c>
      <c r="B187" s="20">
        <v>1205</v>
      </c>
      <c r="C187" s="20">
        <v>1.41</v>
      </c>
      <c r="D187" s="20" t="s">
        <v>324</v>
      </c>
      <c r="E187" s="20">
        <v>32.25</v>
      </c>
      <c r="F187" s="20" t="s">
        <v>690</v>
      </c>
      <c r="G187" s="20">
        <v>6.85</v>
      </c>
      <c r="H187" s="20" t="s">
        <v>691</v>
      </c>
      <c r="I187" s="20">
        <v>7.92</v>
      </c>
      <c r="J187" s="20" t="s">
        <v>692</v>
      </c>
    </row>
    <row r="188" spans="1:10" x14ac:dyDescent="0.15">
      <c r="A188" s="21">
        <v>43210.504016203704</v>
      </c>
      <c r="B188" s="20">
        <v>1194</v>
      </c>
      <c r="C188" s="20">
        <v>1.25</v>
      </c>
      <c r="D188" s="20" t="s">
        <v>693</v>
      </c>
      <c r="E188" s="20">
        <v>32.369999999999997</v>
      </c>
      <c r="F188" s="20" t="s">
        <v>694</v>
      </c>
      <c r="G188" s="20">
        <v>7.1</v>
      </c>
      <c r="H188" s="20" t="s">
        <v>695</v>
      </c>
      <c r="I188" s="20">
        <v>8.1300000000000008</v>
      </c>
      <c r="J188" s="20" t="s">
        <v>696</v>
      </c>
    </row>
    <row r="189" spans="1:10" x14ac:dyDescent="0.15">
      <c r="A189" s="21">
        <v>43210.504027777781</v>
      </c>
      <c r="B189" s="20">
        <v>1183</v>
      </c>
      <c r="C189" s="20">
        <v>1.17</v>
      </c>
      <c r="D189" s="20" t="s">
        <v>697</v>
      </c>
      <c r="E189" s="20">
        <v>32.15</v>
      </c>
      <c r="F189" s="20" t="s">
        <v>698</v>
      </c>
      <c r="G189" s="20">
        <v>7.39</v>
      </c>
      <c r="H189" s="20" t="s">
        <v>699</v>
      </c>
      <c r="I189" s="20">
        <v>8.44</v>
      </c>
      <c r="J189" s="20" t="s">
        <v>700</v>
      </c>
    </row>
    <row r="190" spans="1:10" x14ac:dyDescent="0.15">
      <c r="A190" s="21">
        <v>43210.50403935185</v>
      </c>
      <c r="B190" s="20">
        <v>1172</v>
      </c>
      <c r="C190" s="20">
        <v>1.46</v>
      </c>
      <c r="D190" s="20" t="s">
        <v>701</v>
      </c>
      <c r="E190" s="20">
        <v>31.54</v>
      </c>
      <c r="F190" s="20" t="s">
        <v>702</v>
      </c>
      <c r="G190" s="20">
        <v>7.46</v>
      </c>
      <c r="H190" s="20" t="s">
        <v>703</v>
      </c>
      <c r="I190" s="20">
        <v>8.7799999999999994</v>
      </c>
      <c r="J190" s="20" t="s">
        <v>704</v>
      </c>
    </row>
    <row r="191" spans="1:10" x14ac:dyDescent="0.15">
      <c r="A191" s="21">
        <v>43210.504050925927</v>
      </c>
      <c r="B191" s="20">
        <v>1162</v>
      </c>
      <c r="C191" s="20">
        <v>1.1299999999999999</v>
      </c>
      <c r="D191" s="20" t="s">
        <v>705</v>
      </c>
      <c r="E191" s="20">
        <v>30.14</v>
      </c>
      <c r="F191" s="20" t="s">
        <v>706</v>
      </c>
      <c r="G191" s="20">
        <v>8.02</v>
      </c>
      <c r="H191" s="20" t="s">
        <v>707</v>
      </c>
      <c r="I191" s="20">
        <v>9.11</v>
      </c>
      <c r="J191" s="20" t="s">
        <v>708</v>
      </c>
    </row>
    <row r="192" spans="1:10" x14ac:dyDescent="0.15">
      <c r="A192" s="21">
        <v>43210.504074074073</v>
      </c>
      <c r="B192" s="20">
        <v>1142</v>
      </c>
      <c r="C192" s="20">
        <v>1.61</v>
      </c>
      <c r="D192" s="20" t="s">
        <v>709</v>
      </c>
      <c r="E192" s="20">
        <v>31.56</v>
      </c>
      <c r="F192" s="20" t="s">
        <v>710</v>
      </c>
      <c r="G192" s="20">
        <v>9.43</v>
      </c>
      <c r="H192" s="20" t="s">
        <v>711</v>
      </c>
      <c r="I192" s="20">
        <v>9.7899999999999991</v>
      </c>
      <c r="J192" s="20" t="s">
        <v>712</v>
      </c>
    </row>
    <row r="193" spans="1:10" x14ac:dyDescent="0.15">
      <c r="A193" s="21">
        <v>43210.50408564815</v>
      </c>
      <c r="B193" s="20">
        <v>1129</v>
      </c>
      <c r="C193" s="20">
        <v>1.75</v>
      </c>
      <c r="D193" s="20" t="s">
        <v>713</v>
      </c>
      <c r="E193" s="20">
        <v>31.29</v>
      </c>
      <c r="F193" s="20" t="s">
        <v>714</v>
      </c>
      <c r="G193" s="20">
        <v>8.89</v>
      </c>
      <c r="H193" s="20" t="s">
        <v>715</v>
      </c>
      <c r="I193" s="20">
        <v>9.69</v>
      </c>
      <c r="J193" s="20" t="s">
        <v>716</v>
      </c>
    </row>
    <row r="194" spans="1:10" x14ac:dyDescent="0.15">
      <c r="A194" s="21">
        <v>43210.504108796296</v>
      </c>
      <c r="B194" s="20">
        <v>1116</v>
      </c>
      <c r="C194" s="20">
        <v>1.85</v>
      </c>
      <c r="D194" s="20" t="s">
        <v>717</v>
      </c>
      <c r="E194" s="20">
        <v>35.94</v>
      </c>
      <c r="F194" s="20" t="s">
        <v>718</v>
      </c>
      <c r="G194" s="20">
        <v>10.28</v>
      </c>
      <c r="H194" s="20" t="s">
        <v>719</v>
      </c>
      <c r="I194" s="20">
        <v>11.72</v>
      </c>
      <c r="J194" s="20" t="s">
        <v>720</v>
      </c>
    </row>
    <row r="195" spans="1:10" x14ac:dyDescent="0.15">
      <c r="A195" s="21">
        <v>43210.504120370373</v>
      </c>
      <c r="B195" s="20">
        <v>1104</v>
      </c>
      <c r="C195" s="20">
        <v>2.15</v>
      </c>
      <c r="D195" s="20" t="s">
        <v>721</v>
      </c>
      <c r="E195" s="20">
        <v>31.66</v>
      </c>
      <c r="F195" s="20" t="s">
        <v>722</v>
      </c>
      <c r="G195" s="20">
        <v>11.58</v>
      </c>
      <c r="H195" s="20" t="s">
        <v>723</v>
      </c>
      <c r="I195" s="20">
        <v>13.33</v>
      </c>
      <c r="J195" s="20" t="s">
        <v>724</v>
      </c>
    </row>
    <row r="196" spans="1:10" x14ac:dyDescent="0.15">
      <c r="A196" s="21">
        <v>43210.504131944443</v>
      </c>
      <c r="B196" s="20">
        <v>1092</v>
      </c>
      <c r="C196" s="20">
        <v>1.77</v>
      </c>
      <c r="D196" s="20" t="s">
        <v>725</v>
      </c>
      <c r="E196" s="20">
        <v>33.08</v>
      </c>
      <c r="F196" s="20" t="s">
        <v>726</v>
      </c>
      <c r="G196" s="20">
        <v>13.69</v>
      </c>
      <c r="H196" s="20" t="s">
        <v>727</v>
      </c>
      <c r="I196" s="20">
        <v>16.72</v>
      </c>
      <c r="J196" s="20" t="s">
        <v>728</v>
      </c>
    </row>
    <row r="197" spans="1:10" x14ac:dyDescent="0.15">
      <c r="A197" s="21">
        <v>43210.504155092596</v>
      </c>
      <c r="B197" s="20">
        <v>1080</v>
      </c>
      <c r="C197" s="20">
        <v>1.69</v>
      </c>
      <c r="D197" s="20" t="s">
        <v>729</v>
      </c>
      <c r="E197" s="20">
        <v>31.03</v>
      </c>
      <c r="F197" s="20" t="s">
        <v>730</v>
      </c>
      <c r="G197" s="20">
        <v>13.86</v>
      </c>
      <c r="H197" s="20" t="s">
        <v>731</v>
      </c>
      <c r="I197" s="20">
        <v>17.190000000000001</v>
      </c>
      <c r="J197" s="20" t="s">
        <v>732</v>
      </c>
    </row>
    <row r="198" spans="1:10" x14ac:dyDescent="0.15">
      <c r="A198" s="21">
        <v>43210.504166666666</v>
      </c>
      <c r="B198" s="20">
        <v>1069</v>
      </c>
      <c r="C198" s="20">
        <v>1.66</v>
      </c>
      <c r="D198" s="20" t="s">
        <v>733</v>
      </c>
      <c r="E198" s="20">
        <v>33.18</v>
      </c>
      <c r="F198" s="20" t="s">
        <v>734</v>
      </c>
      <c r="G198" s="20">
        <v>15.74</v>
      </c>
      <c r="H198" s="20" t="s">
        <v>735</v>
      </c>
      <c r="I198" s="20">
        <v>19.989999999999998</v>
      </c>
      <c r="J198" s="20" t="s">
        <v>736</v>
      </c>
    </row>
    <row r="199" spans="1:10" x14ac:dyDescent="0.15">
      <c r="A199" s="21">
        <v>43210.504178240742</v>
      </c>
      <c r="B199" s="20">
        <v>1057</v>
      </c>
      <c r="C199" s="20">
        <v>1.66</v>
      </c>
      <c r="D199" s="20" t="s">
        <v>737</v>
      </c>
      <c r="E199" s="20">
        <v>32</v>
      </c>
      <c r="F199" s="20" t="s">
        <v>738</v>
      </c>
      <c r="G199" s="20">
        <v>16.2</v>
      </c>
      <c r="H199" s="20" t="s">
        <v>739</v>
      </c>
      <c r="I199" s="20">
        <v>19.55</v>
      </c>
      <c r="J199" s="20" t="s">
        <v>740</v>
      </c>
    </row>
    <row r="200" spans="1:10" x14ac:dyDescent="0.15">
      <c r="A200" s="21">
        <v>43210.504201388889</v>
      </c>
      <c r="B200" s="20">
        <v>1046</v>
      </c>
      <c r="C200" s="20">
        <v>2.2999999999999998</v>
      </c>
      <c r="D200" s="20" t="s">
        <v>741</v>
      </c>
      <c r="E200" s="20">
        <v>32.39</v>
      </c>
      <c r="F200" s="20" t="s">
        <v>742</v>
      </c>
      <c r="G200" s="20">
        <v>15.04</v>
      </c>
      <c r="H200" s="20" t="s">
        <v>743</v>
      </c>
      <c r="I200" s="20">
        <v>16.600000000000001</v>
      </c>
      <c r="J200" s="20" t="s">
        <v>744</v>
      </c>
    </row>
    <row r="201" spans="1:10" x14ac:dyDescent="0.15">
      <c r="A201" s="21">
        <v>43210.504212962966</v>
      </c>
      <c r="B201" s="20">
        <v>1035</v>
      </c>
      <c r="C201" s="20">
        <v>2.1800000000000002</v>
      </c>
      <c r="D201" s="20" t="s">
        <v>745</v>
      </c>
      <c r="E201" s="20">
        <v>33.159999999999997</v>
      </c>
      <c r="F201" s="20" t="s">
        <v>746</v>
      </c>
      <c r="G201" s="20">
        <v>13.71</v>
      </c>
      <c r="H201" s="20" t="s">
        <v>747</v>
      </c>
      <c r="I201" s="20">
        <v>14.98</v>
      </c>
      <c r="J201" s="20" t="s">
        <v>748</v>
      </c>
    </row>
    <row r="202" spans="1:10" x14ac:dyDescent="0.15">
      <c r="A202" s="21">
        <v>43210.504224537035</v>
      </c>
      <c r="B202" s="20">
        <v>1025</v>
      </c>
      <c r="C202" s="20">
        <v>2.0499999999999998</v>
      </c>
      <c r="D202" s="20" t="s">
        <v>737</v>
      </c>
      <c r="E202" s="20">
        <v>35.35</v>
      </c>
      <c r="F202" s="20" t="s">
        <v>749</v>
      </c>
      <c r="G202" s="20">
        <v>12.9</v>
      </c>
      <c r="H202" s="20" t="s">
        <v>750</v>
      </c>
      <c r="I202" s="20">
        <v>13.61</v>
      </c>
      <c r="J202" s="20" t="s">
        <v>751</v>
      </c>
    </row>
    <row r="203" spans="1:10" x14ac:dyDescent="0.15">
      <c r="A203" s="21">
        <v>43210.504247685189</v>
      </c>
      <c r="B203" s="20">
        <v>1014</v>
      </c>
      <c r="C203" s="20">
        <v>2.42</v>
      </c>
      <c r="D203" s="20" t="s">
        <v>717</v>
      </c>
      <c r="E203" s="20">
        <v>35.11</v>
      </c>
      <c r="F203" s="20" t="s">
        <v>752</v>
      </c>
      <c r="G203" s="20">
        <v>12.05</v>
      </c>
      <c r="H203" s="20" t="s">
        <v>753</v>
      </c>
      <c r="I203" s="20">
        <v>12.17</v>
      </c>
      <c r="J203" s="20" t="s">
        <v>754</v>
      </c>
    </row>
    <row r="204" spans="1:10" x14ac:dyDescent="0.15">
      <c r="A204" s="21">
        <v>43210.504259259258</v>
      </c>
      <c r="B204" s="20">
        <v>1004</v>
      </c>
      <c r="C204" s="20">
        <v>2.4700000000000002</v>
      </c>
      <c r="D204" s="20" t="s">
        <v>755</v>
      </c>
      <c r="E204" s="20">
        <v>35.17</v>
      </c>
      <c r="F204" s="20" t="s">
        <v>756</v>
      </c>
      <c r="G204" s="20">
        <v>11.56</v>
      </c>
      <c r="H204" s="20" t="s">
        <v>757</v>
      </c>
      <c r="I204" s="20">
        <v>11.77</v>
      </c>
      <c r="J204" s="20" t="s">
        <v>758</v>
      </c>
    </row>
    <row r="205" spans="1:10" x14ac:dyDescent="0.15">
      <c r="A205" s="21">
        <v>43210.504270833335</v>
      </c>
      <c r="B205" s="20">
        <v>993.5</v>
      </c>
      <c r="C205" s="20">
        <v>2.1800000000000002</v>
      </c>
      <c r="D205" s="20" t="s">
        <v>759</v>
      </c>
      <c r="E205" s="20">
        <v>38.61</v>
      </c>
      <c r="F205" s="20" t="s">
        <v>760</v>
      </c>
      <c r="G205" s="20">
        <v>11.03</v>
      </c>
      <c r="H205" s="20" t="s">
        <v>761</v>
      </c>
      <c r="I205" s="20">
        <v>11.36</v>
      </c>
      <c r="J205" s="20" t="s">
        <v>762</v>
      </c>
    </row>
    <row r="206" spans="1:10" x14ac:dyDescent="0.15">
      <c r="A206" s="21">
        <v>43210.504305555558</v>
      </c>
      <c r="B206" s="20">
        <v>974.5</v>
      </c>
      <c r="C206" s="20">
        <v>1.91</v>
      </c>
      <c r="D206" s="20" t="s">
        <v>763</v>
      </c>
      <c r="E206" s="20">
        <v>40.61</v>
      </c>
      <c r="F206" s="20" t="s">
        <v>764</v>
      </c>
      <c r="G206" s="20">
        <v>11.14</v>
      </c>
      <c r="H206" s="20" t="s">
        <v>753</v>
      </c>
      <c r="I206" s="20">
        <v>11.53</v>
      </c>
      <c r="J206" s="20" t="s">
        <v>765</v>
      </c>
    </row>
    <row r="207" spans="1:10" x14ac:dyDescent="0.15">
      <c r="A207" s="21">
        <v>43210.504328703704</v>
      </c>
      <c r="B207" s="20">
        <v>956.3</v>
      </c>
      <c r="C207" s="20">
        <v>2.5299999999999998</v>
      </c>
      <c r="D207" s="20" t="s">
        <v>766</v>
      </c>
      <c r="E207" s="20">
        <v>37.92</v>
      </c>
      <c r="F207" s="20" t="s">
        <v>767</v>
      </c>
      <c r="G207" s="20">
        <v>7.47</v>
      </c>
      <c r="H207" s="20" t="s">
        <v>768</v>
      </c>
      <c r="I207" s="20">
        <v>8.09</v>
      </c>
      <c r="J207" s="20" t="s">
        <v>769</v>
      </c>
    </row>
    <row r="208" spans="1:10" x14ac:dyDescent="0.15">
      <c r="A208" s="21">
        <v>43210.504363425927</v>
      </c>
      <c r="B208" s="20">
        <v>937.5</v>
      </c>
      <c r="C208" s="20">
        <v>2.56</v>
      </c>
      <c r="D208" s="20" t="s">
        <v>770</v>
      </c>
      <c r="E208" s="20">
        <v>43.9</v>
      </c>
      <c r="F208" s="20" t="s">
        <v>771</v>
      </c>
      <c r="G208" s="20">
        <v>7.64</v>
      </c>
      <c r="H208" s="20" t="s">
        <v>772</v>
      </c>
      <c r="I208" s="20">
        <v>7.69</v>
      </c>
      <c r="J208" s="20" t="s">
        <v>773</v>
      </c>
    </row>
    <row r="209" spans="1:10" x14ac:dyDescent="0.15">
      <c r="A209" s="21">
        <v>43210.504386574074</v>
      </c>
      <c r="B209" s="20">
        <v>923.1</v>
      </c>
      <c r="C209" s="20">
        <v>2.67</v>
      </c>
      <c r="D209" s="20" t="s">
        <v>774</v>
      </c>
      <c r="E209" s="20">
        <v>10.97</v>
      </c>
      <c r="F209" s="20" t="s">
        <v>775</v>
      </c>
      <c r="G209" s="20">
        <v>4.6500000000000004</v>
      </c>
      <c r="H209" s="20" t="s">
        <v>776</v>
      </c>
      <c r="I209" s="20">
        <v>4.68</v>
      </c>
      <c r="J209" s="20" t="s">
        <v>777</v>
      </c>
    </row>
    <row r="210" spans="1:10" x14ac:dyDescent="0.15">
      <c r="A210" s="21">
        <v>43210.50440972222</v>
      </c>
      <c r="B210" s="20">
        <v>913</v>
      </c>
      <c r="C210" s="20">
        <v>2.27</v>
      </c>
      <c r="D210" s="20" t="s">
        <v>778</v>
      </c>
      <c r="E210" s="20">
        <v>7.41</v>
      </c>
      <c r="F210" s="20" t="s">
        <v>779</v>
      </c>
      <c r="G210" s="20">
        <v>4.74</v>
      </c>
      <c r="H210" s="20" t="s">
        <v>780</v>
      </c>
      <c r="I210" s="20">
        <v>4.24</v>
      </c>
      <c r="J210" s="20" t="s">
        <v>781</v>
      </c>
    </row>
    <row r="211" spans="1:10" x14ac:dyDescent="0.15">
      <c r="A211" s="21">
        <v>43210.504444444443</v>
      </c>
      <c r="B211" s="20">
        <v>893.4</v>
      </c>
      <c r="C211" s="20">
        <v>2.4300000000000002</v>
      </c>
      <c r="D211" s="20" t="s">
        <v>782</v>
      </c>
      <c r="E211" s="20">
        <v>8.4</v>
      </c>
      <c r="F211" s="20" t="s">
        <v>783</v>
      </c>
      <c r="G211" s="20">
        <v>4.45</v>
      </c>
      <c r="H211" s="20" t="s">
        <v>784</v>
      </c>
      <c r="I211" s="20">
        <v>4.13</v>
      </c>
      <c r="J211" s="20" t="s">
        <v>785</v>
      </c>
    </row>
    <row r="212" spans="1:10" x14ac:dyDescent="0.15">
      <c r="A212" s="21">
        <v>43210.504479166666</v>
      </c>
      <c r="B212" s="20">
        <v>874.6</v>
      </c>
      <c r="C212" s="20">
        <v>2.2400000000000002</v>
      </c>
      <c r="D212" s="20" t="s">
        <v>786</v>
      </c>
      <c r="E212" s="20">
        <v>9.93</v>
      </c>
      <c r="F212" s="20" t="s">
        <v>787</v>
      </c>
      <c r="G212" s="20">
        <v>4.34</v>
      </c>
      <c r="H212" s="20" t="s">
        <v>788</v>
      </c>
      <c r="I212" s="20">
        <v>4.32</v>
      </c>
      <c r="J212" s="20" t="s">
        <v>789</v>
      </c>
    </row>
    <row r="213" spans="1:10" x14ac:dyDescent="0.15">
      <c r="A213" s="21">
        <v>43210.504513888889</v>
      </c>
      <c r="B213" s="20">
        <v>856.6</v>
      </c>
      <c r="C213" s="20">
        <v>2.5</v>
      </c>
      <c r="D213" s="20" t="s">
        <v>790</v>
      </c>
      <c r="E213" s="20">
        <v>11.14</v>
      </c>
      <c r="F213" s="20" t="s">
        <v>791</v>
      </c>
      <c r="G213" s="20">
        <v>4.21</v>
      </c>
      <c r="H213" s="20" t="s">
        <v>792</v>
      </c>
      <c r="I213" s="20">
        <v>3.79</v>
      </c>
      <c r="J213" s="20" t="s">
        <v>793</v>
      </c>
    </row>
    <row r="214" spans="1:10" x14ac:dyDescent="0.15">
      <c r="A214" s="21">
        <v>43210.504548611112</v>
      </c>
      <c r="B214" s="20">
        <v>839</v>
      </c>
      <c r="C214" s="20">
        <v>2.83</v>
      </c>
      <c r="D214" s="20" t="s">
        <v>794</v>
      </c>
      <c r="E214" s="20">
        <v>10.47</v>
      </c>
      <c r="F214" s="20" t="s">
        <v>795</v>
      </c>
      <c r="G214" s="20">
        <v>4.18</v>
      </c>
      <c r="H214" s="20" t="s">
        <v>796</v>
      </c>
      <c r="I214" s="20">
        <v>3.87</v>
      </c>
      <c r="J214" s="20" t="s">
        <v>797</v>
      </c>
    </row>
    <row r="215" spans="1:10" x14ac:dyDescent="0.15">
      <c r="A215" s="21">
        <v>43210.504583333335</v>
      </c>
      <c r="B215" s="20">
        <v>822.3</v>
      </c>
      <c r="C215" s="20">
        <v>2.7</v>
      </c>
      <c r="D215" s="20" t="s">
        <v>798</v>
      </c>
      <c r="E215" s="20">
        <v>8.19</v>
      </c>
      <c r="F215" s="20" t="s">
        <v>799</v>
      </c>
      <c r="G215" s="20">
        <v>3.63</v>
      </c>
      <c r="H215" s="20" t="s">
        <v>800</v>
      </c>
      <c r="I215" s="20">
        <v>3.66</v>
      </c>
      <c r="J215" s="20" t="s">
        <v>801</v>
      </c>
    </row>
  </sheetData>
  <mergeCells count="1">
    <mergeCell ref="B1:B2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87B5F-C44D-453C-8AFF-94F3CEB23B2C}">
  <sheetPr codeName="Sheet8"/>
  <dimension ref="A1:F53"/>
  <sheetViews>
    <sheetView workbookViewId="0">
      <selection activeCell="C3" sqref="C3:D3"/>
    </sheetView>
  </sheetViews>
  <sheetFormatPr defaultRowHeight="13.5" x14ac:dyDescent="0.15"/>
  <cols>
    <col min="1" max="1" width="17.25" bestFit="1" customWidth="1"/>
    <col min="3" max="3" width="13" bestFit="1" customWidth="1"/>
    <col min="4" max="4" width="14.75" bestFit="1" customWidth="1"/>
    <col min="5" max="5" width="13" bestFit="1" customWidth="1"/>
    <col min="6" max="6" width="13.625" bestFit="1" customWidth="1"/>
  </cols>
  <sheetData>
    <row r="1" spans="1:6" x14ac:dyDescent="0.15">
      <c r="A1" s="44" t="s">
        <v>76</v>
      </c>
      <c r="B1" s="44" t="s">
        <v>77</v>
      </c>
      <c r="C1" s="19" t="s">
        <v>78</v>
      </c>
      <c r="D1" s="19"/>
      <c r="E1" s="19" t="s">
        <v>79</v>
      </c>
      <c r="F1" s="19"/>
    </row>
    <row r="2" spans="1:6" x14ac:dyDescent="0.15">
      <c r="A2" s="44"/>
      <c r="B2" s="44"/>
      <c r="C2" s="17" t="s">
        <v>80</v>
      </c>
      <c r="D2" s="17" t="s">
        <v>81</v>
      </c>
      <c r="E2" s="17" t="s">
        <v>80</v>
      </c>
      <c r="F2" s="17" t="s">
        <v>81</v>
      </c>
    </row>
    <row r="3" spans="1:6" s="17" customFormat="1" x14ac:dyDescent="0.15">
      <c r="B3" s="17">
        <f>AVERAGE(B4:B53)</f>
        <v>1499.44</v>
      </c>
      <c r="C3" s="12">
        <f>AVERAGE(C4:C53)</f>
        <v>30.385200000000001</v>
      </c>
      <c r="D3" s="17" t="str">
        <f>VecAverage(D4:D53,200)</f>
        <v>14.7∠346.2°</v>
      </c>
      <c r="E3" s="12">
        <f>AVERAGE(E4:E53)</f>
        <v>73.025600000000011</v>
      </c>
      <c r="F3" s="17" t="str">
        <f>VecAverage(F20:F53)</f>
        <v>59.5∠70.3°</v>
      </c>
    </row>
    <row r="4" spans="1:6" x14ac:dyDescent="0.15">
      <c r="A4" s="18">
        <v>43209.789537037039</v>
      </c>
      <c r="B4" s="17">
        <v>1499</v>
      </c>
      <c r="C4" s="17">
        <v>12.99</v>
      </c>
      <c r="D4" s="17" t="s">
        <v>183</v>
      </c>
      <c r="E4" s="17">
        <v>117.3</v>
      </c>
      <c r="F4" s="17" t="s">
        <v>82</v>
      </c>
    </row>
    <row r="5" spans="1:6" x14ac:dyDescent="0.15">
      <c r="A5" s="18">
        <v>43209.789664351854</v>
      </c>
      <c r="B5" s="17">
        <v>1499</v>
      </c>
      <c r="C5" s="17">
        <v>3.73</v>
      </c>
      <c r="D5" s="17" t="s">
        <v>83</v>
      </c>
      <c r="E5" s="17">
        <v>112.1</v>
      </c>
      <c r="F5" s="17" t="s">
        <v>84</v>
      </c>
    </row>
    <row r="6" spans="1:6" x14ac:dyDescent="0.15">
      <c r="A6" s="18">
        <v>43209.78979166667</v>
      </c>
      <c r="B6" s="17">
        <v>1500</v>
      </c>
      <c r="C6" s="17">
        <v>6.36</v>
      </c>
      <c r="D6" s="17" t="s">
        <v>85</v>
      </c>
      <c r="E6" s="17">
        <v>105.6</v>
      </c>
      <c r="F6" s="17" t="s">
        <v>86</v>
      </c>
    </row>
    <row r="7" spans="1:6" x14ac:dyDescent="0.15">
      <c r="A7" s="18">
        <v>43209.789918981478</v>
      </c>
      <c r="B7" s="17">
        <v>1499</v>
      </c>
      <c r="C7" s="17">
        <v>23.66</v>
      </c>
      <c r="D7" s="17" t="s">
        <v>87</v>
      </c>
      <c r="E7" s="17">
        <v>103.6</v>
      </c>
      <c r="F7" s="17" t="s">
        <v>88</v>
      </c>
    </row>
    <row r="8" spans="1:6" x14ac:dyDescent="0.15">
      <c r="A8" s="18">
        <v>43209.790034722224</v>
      </c>
      <c r="B8" s="17">
        <v>1500</v>
      </c>
      <c r="C8" s="17">
        <v>21.59</v>
      </c>
      <c r="D8" s="17" t="s">
        <v>89</v>
      </c>
      <c r="E8" s="17">
        <v>99.46</v>
      </c>
      <c r="F8" s="17" t="s">
        <v>90</v>
      </c>
    </row>
    <row r="9" spans="1:6" x14ac:dyDescent="0.15">
      <c r="A9" s="18">
        <v>43209.790162037039</v>
      </c>
      <c r="B9" s="17">
        <v>1500</v>
      </c>
      <c r="C9" s="17">
        <v>25.95</v>
      </c>
      <c r="D9" s="17" t="s">
        <v>91</v>
      </c>
      <c r="E9" s="17">
        <v>93.86</v>
      </c>
      <c r="F9" s="17" t="s">
        <v>92</v>
      </c>
    </row>
    <row r="10" spans="1:6" x14ac:dyDescent="0.15">
      <c r="A10" s="18">
        <v>43209.790289351855</v>
      </c>
      <c r="B10" s="17">
        <v>1499</v>
      </c>
      <c r="C10" s="17">
        <v>13.42</v>
      </c>
      <c r="D10" s="17" t="s">
        <v>93</v>
      </c>
      <c r="E10" s="17">
        <v>91.87</v>
      </c>
      <c r="F10" s="17" t="s">
        <v>94</v>
      </c>
    </row>
    <row r="11" spans="1:6" x14ac:dyDescent="0.15">
      <c r="A11" s="18">
        <v>43209.790416666663</v>
      </c>
      <c r="B11" s="17">
        <v>1499</v>
      </c>
      <c r="C11" s="17">
        <v>39.19</v>
      </c>
      <c r="D11" s="17" t="s">
        <v>95</v>
      </c>
      <c r="E11" s="17">
        <v>88.47</v>
      </c>
      <c r="F11" s="17" t="s">
        <v>96</v>
      </c>
    </row>
    <row r="12" spans="1:6" x14ac:dyDescent="0.15">
      <c r="A12" s="18">
        <v>43209.790532407409</v>
      </c>
      <c r="B12" s="17">
        <v>1499</v>
      </c>
      <c r="C12" s="17">
        <v>20.100000000000001</v>
      </c>
      <c r="D12" s="17" t="s">
        <v>97</v>
      </c>
      <c r="E12" s="17">
        <v>85.55</v>
      </c>
      <c r="F12" s="17" t="s">
        <v>98</v>
      </c>
    </row>
    <row r="13" spans="1:6" x14ac:dyDescent="0.15">
      <c r="A13" s="18">
        <v>43209.790659722225</v>
      </c>
      <c r="B13" s="17">
        <v>1499</v>
      </c>
      <c r="C13" s="17">
        <v>54.67</v>
      </c>
      <c r="D13" s="17" t="s">
        <v>99</v>
      </c>
      <c r="E13" s="17">
        <v>84.82</v>
      </c>
      <c r="F13" s="17" t="s">
        <v>100</v>
      </c>
    </row>
    <row r="14" spans="1:6" x14ac:dyDescent="0.15">
      <c r="A14" s="18">
        <v>43209.79078703704</v>
      </c>
      <c r="B14" s="17">
        <v>1499</v>
      </c>
      <c r="C14" s="17">
        <v>25.98</v>
      </c>
      <c r="D14" s="17" t="s">
        <v>101</v>
      </c>
      <c r="E14" s="17">
        <v>83.22</v>
      </c>
      <c r="F14" s="17" t="s">
        <v>102</v>
      </c>
    </row>
    <row r="15" spans="1:6" x14ac:dyDescent="0.15">
      <c r="A15" s="18">
        <v>43209.790914351855</v>
      </c>
      <c r="B15" s="17">
        <v>1500</v>
      </c>
      <c r="C15" s="17">
        <v>36.880000000000003</v>
      </c>
      <c r="D15" s="17" t="s">
        <v>103</v>
      </c>
      <c r="E15" s="17">
        <v>81.680000000000007</v>
      </c>
      <c r="F15" s="17" t="s">
        <v>104</v>
      </c>
    </row>
    <row r="16" spans="1:6" x14ac:dyDescent="0.15">
      <c r="A16" s="18">
        <v>43209.791041666664</v>
      </c>
      <c r="B16" s="17">
        <v>1500</v>
      </c>
      <c r="C16" s="17">
        <v>32.1</v>
      </c>
      <c r="D16" s="17" t="s">
        <v>105</v>
      </c>
      <c r="E16" s="17">
        <v>79.61</v>
      </c>
      <c r="F16" s="17" t="s">
        <v>106</v>
      </c>
    </row>
    <row r="17" spans="1:6" x14ac:dyDescent="0.15">
      <c r="A17" s="18">
        <v>43209.79115740741</v>
      </c>
      <c r="B17" s="17">
        <v>1501</v>
      </c>
      <c r="C17" s="17">
        <v>56.12</v>
      </c>
      <c r="D17" s="17" t="s">
        <v>107</v>
      </c>
      <c r="E17" s="17">
        <v>78.650000000000006</v>
      </c>
      <c r="F17" s="17" t="s">
        <v>108</v>
      </c>
    </row>
    <row r="18" spans="1:6" x14ac:dyDescent="0.15">
      <c r="A18" s="18">
        <v>43209.791284722225</v>
      </c>
      <c r="B18" s="17">
        <v>1501</v>
      </c>
      <c r="C18" s="17">
        <v>41.38</v>
      </c>
      <c r="D18" s="17" t="s">
        <v>109</v>
      </c>
      <c r="E18" s="17">
        <v>76.09</v>
      </c>
      <c r="F18" s="17" t="s">
        <v>110</v>
      </c>
    </row>
    <row r="19" spans="1:6" x14ac:dyDescent="0.15">
      <c r="A19" s="18">
        <v>43209.791412037041</v>
      </c>
      <c r="B19" s="17">
        <v>1501</v>
      </c>
      <c r="C19" s="17">
        <v>18.329999999999998</v>
      </c>
      <c r="D19" s="17" t="s">
        <v>111</v>
      </c>
      <c r="E19" s="17">
        <v>75.19</v>
      </c>
      <c r="F19" s="17" t="s">
        <v>112</v>
      </c>
    </row>
    <row r="20" spans="1:6" x14ac:dyDescent="0.15">
      <c r="A20" s="18">
        <v>43209.791539351849</v>
      </c>
      <c r="B20" s="17">
        <v>1500</v>
      </c>
      <c r="C20" s="17">
        <v>32.28</v>
      </c>
      <c r="D20" s="17" t="s">
        <v>113</v>
      </c>
      <c r="E20" s="17">
        <v>75.47</v>
      </c>
      <c r="F20" s="17" t="s">
        <v>114</v>
      </c>
    </row>
    <row r="21" spans="1:6" x14ac:dyDescent="0.15">
      <c r="A21" s="18">
        <v>43209.791655092595</v>
      </c>
      <c r="B21" s="17">
        <v>1500</v>
      </c>
      <c r="C21" s="17">
        <v>45.15</v>
      </c>
      <c r="D21" s="17" t="s">
        <v>115</v>
      </c>
      <c r="E21" s="17">
        <v>73.099999999999994</v>
      </c>
      <c r="F21" s="17" t="s">
        <v>116</v>
      </c>
    </row>
    <row r="22" spans="1:6" x14ac:dyDescent="0.15">
      <c r="A22" s="18">
        <v>43209.79178240741</v>
      </c>
      <c r="B22" s="17">
        <v>1499</v>
      </c>
      <c r="C22" s="17">
        <v>21.15</v>
      </c>
      <c r="D22" s="17" t="s">
        <v>117</v>
      </c>
      <c r="E22" s="17">
        <v>73.06</v>
      </c>
      <c r="F22" s="17" t="s">
        <v>118</v>
      </c>
    </row>
    <row r="23" spans="1:6" x14ac:dyDescent="0.15">
      <c r="A23" s="18">
        <v>43209.79277777778</v>
      </c>
      <c r="B23" s="17">
        <v>1500</v>
      </c>
      <c r="C23" s="17">
        <v>43.1</v>
      </c>
      <c r="D23" s="17" t="s">
        <v>119</v>
      </c>
      <c r="E23" s="17">
        <v>67.260000000000005</v>
      </c>
      <c r="F23" s="17" t="s">
        <v>120</v>
      </c>
    </row>
    <row r="24" spans="1:6" x14ac:dyDescent="0.15">
      <c r="A24" s="18">
        <v>43209.792905092596</v>
      </c>
      <c r="B24" s="17">
        <v>1500</v>
      </c>
      <c r="C24" s="17">
        <v>48.33</v>
      </c>
      <c r="D24" s="17" t="s">
        <v>121</v>
      </c>
      <c r="E24" s="17">
        <v>66.459999999999994</v>
      </c>
      <c r="F24" s="17" t="s">
        <v>122</v>
      </c>
    </row>
    <row r="25" spans="1:6" x14ac:dyDescent="0.15">
      <c r="A25" s="18">
        <v>43209.793032407404</v>
      </c>
      <c r="B25" s="17">
        <v>1500</v>
      </c>
      <c r="C25" s="17">
        <v>20.92</v>
      </c>
      <c r="D25" s="17" t="s">
        <v>123</v>
      </c>
      <c r="E25" s="17">
        <v>66.81</v>
      </c>
      <c r="F25" s="17" t="s">
        <v>124</v>
      </c>
    </row>
    <row r="26" spans="1:6" x14ac:dyDescent="0.15">
      <c r="A26" s="18">
        <v>43209.79314814815</v>
      </c>
      <c r="B26" s="17">
        <v>1500</v>
      </c>
      <c r="C26" s="17">
        <v>12.13</v>
      </c>
      <c r="D26" s="17" t="s">
        <v>125</v>
      </c>
      <c r="E26" s="17">
        <v>65.62</v>
      </c>
      <c r="F26" s="17" t="s">
        <v>126</v>
      </c>
    </row>
    <row r="27" spans="1:6" x14ac:dyDescent="0.15">
      <c r="A27" s="18">
        <v>43209.793275462966</v>
      </c>
      <c r="B27" s="17">
        <v>1501</v>
      </c>
      <c r="C27" s="17">
        <v>32.83</v>
      </c>
      <c r="D27" s="17" t="s">
        <v>127</v>
      </c>
      <c r="E27" s="17">
        <v>67.319999999999993</v>
      </c>
      <c r="F27" s="17" t="s">
        <v>128</v>
      </c>
    </row>
    <row r="28" spans="1:6" x14ac:dyDescent="0.15">
      <c r="A28" s="18">
        <v>43209.793402777781</v>
      </c>
      <c r="B28" s="17">
        <v>1500</v>
      </c>
      <c r="C28" s="17">
        <v>28.15</v>
      </c>
      <c r="D28" s="17" t="s">
        <v>129</v>
      </c>
      <c r="E28" s="17">
        <v>64.989999999999995</v>
      </c>
      <c r="F28" s="17" t="s">
        <v>130</v>
      </c>
    </row>
    <row r="29" spans="1:6" x14ac:dyDescent="0.15">
      <c r="A29" s="18">
        <v>43209.793530092589</v>
      </c>
      <c r="B29" s="17">
        <v>1499</v>
      </c>
      <c r="C29" s="17">
        <v>22.86</v>
      </c>
      <c r="D29" s="17" t="s">
        <v>131</v>
      </c>
      <c r="E29" s="17">
        <v>66.28</v>
      </c>
      <c r="F29" s="17" t="s">
        <v>132</v>
      </c>
    </row>
    <row r="30" spans="1:6" x14ac:dyDescent="0.15">
      <c r="A30" s="18">
        <v>43209.793645833335</v>
      </c>
      <c r="B30" s="17">
        <v>1499</v>
      </c>
      <c r="C30" s="17">
        <v>50.05</v>
      </c>
      <c r="D30" s="17" t="s">
        <v>133</v>
      </c>
      <c r="E30" s="17">
        <v>63.99</v>
      </c>
      <c r="F30" s="17" t="s">
        <v>134</v>
      </c>
    </row>
    <row r="31" spans="1:6" x14ac:dyDescent="0.15">
      <c r="A31" s="18">
        <v>43209.793773148151</v>
      </c>
      <c r="B31" s="17">
        <v>1499</v>
      </c>
      <c r="C31" s="17">
        <v>22.22</v>
      </c>
      <c r="D31" s="17" t="s">
        <v>135</v>
      </c>
      <c r="E31" s="17">
        <v>65.67</v>
      </c>
      <c r="F31" s="17" t="s">
        <v>136</v>
      </c>
    </row>
    <row r="32" spans="1:6" x14ac:dyDescent="0.15">
      <c r="A32" s="18">
        <v>43209.793900462966</v>
      </c>
      <c r="B32" s="17">
        <v>1499</v>
      </c>
      <c r="C32" s="17">
        <v>15.17</v>
      </c>
      <c r="D32" s="17" t="s">
        <v>137</v>
      </c>
      <c r="E32" s="17">
        <v>64.06</v>
      </c>
      <c r="F32" s="17" t="s">
        <v>138</v>
      </c>
    </row>
    <row r="33" spans="1:6" x14ac:dyDescent="0.15">
      <c r="A33" s="18">
        <v>43209.794027777774</v>
      </c>
      <c r="B33" s="17">
        <v>1499</v>
      </c>
      <c r="C33" s="17">
        <v>22.88</v>
      </c>
      <c r="D33" s="17" t="s">
        <v>139</v>
      </c>
      <c r="E33" s="17">
        <v>65.510000000000005</v>
      </c>
      <c r="F33" s="17" t="s">
        <v>140</v>
      </c>
    </row>
    <row r="34" spans="1:6" x14ac:dyDescent="0.15">
      <c r="A34" s="18">
        <v>43209.79414351852</v>
      </c>
      <c r="B34" s="17">
        <v>1499</v>
      </c>
      <c r="C34" s="17">
        <v>12.73</v>
      </c>
      <c r="D34" s="17" t="s">
        <v>141</v>
      </c>
      <c r="E34" s="17">
        <v>63.17</v>
      </c>
      <c r="F34" s="17" t="s">
        <v>142</v>
      </c>
    </row>
    <row r="35" spans="1:6" x14ac:dyDescent="0.15">
      <c r="A35" s="18">
        <v>43209.794270833336</v>
      </c>
      <c r="B35" s="17">
        <v>1500</v>
      </c>
      <c r="C35" s="17">
        <v>31.22</v>
      </c>
      <c r="D35" s="17" t="s">
        <v>143</v>
      </c>
      <c r="E35" s="17">
        <v>63.86</v>
      </c>
      <c r="F35" s="17" t="s">
        <v>144</v>
      </c>
    </row>
    <row r="36" spans="1:6" x14ac:dyDescent="0.15">
      <c r="A36" s="18">
        <v>43209.794398148151</v>
      </c>
      <c r="B36" s="17">
        <v>1499</v>
      </c>
      <c r="C36" s="17">
        <v>32.57</v>
      </c>
      <c r="D36" s="17" t="s">
        <v>145</v>
      </c>
      <c r="E36" s="17">
        <v>63.42</v>
      </c>
      <c r="F36" s="17" t="s">
        <v>146</v>
      </c>
    </row>
    <row r="37" spans="1:6" x14ac:dyDescent="0.15">
      <c r="A37" s="18">
        <v>43209.794525462959</v>
      </c>
      <c r="B37" s="17">
        <v>1499</v>
      </c>
      <c r="C37" s="17">
        <v>52.56</v>
      </c>
      <c r="D37" s="17" t="s">
        <v>147</v>
      </c>
      <c r="E37" s="17">
        <v>64.040000000000006</v>
      </c>
      <c r="F37" s="17" t="s">
        <v>148</v>
      </c>
    </row>
    <row r="38" spans="1:6" x14ac:dyDescent="0.15">
      <c r="A38" s="18">
        <v>43209.795335648145</v>
      </c>
      <c r="B38" s="17">
        <v>1500</v>
      </c>
      <c r="C38" s="17">
        <v>37.33</v>
      </c>
      <c r="D38" s="17" t="s">
        <v>149</v>
      </c>
      <c r="E38" s="17">
        <v>63.62</v>
      </c>
      <c r="F38" s="17" t="s">
        <v>150</v>
      </c>
    </row>
    <row r="39" spans="1:6" x14ac:dyDescent="0.15">
      <c r="A39" s="18">
        <v>43209.795451388891</v>
      </c>
      <c r="B39" s="17">
        <v>1499</v>
      </c>
      <c r="C39" s="17">
        <v>54.64</v>
      </c>
      <c r="D39" s="17" t="s">
        <v>151</v>
      </c>
      <c r="E39" s="17">
        <v>61.14</v>
      </c>
      <c r="F39" s="17" t="s">
        <v>152</v>
      </c>
    </row>
    <row r="40" spans="1:6" x14ac:dyDescent="0.15">
      <c r="A40" s="18">
        <v>43209.795578703706</v>
      </c>
      <c r="B40" s="17">
        <v>1499</v>
      </c>
      <c r="C40" s="17">
        <v>26.92</v>
      </c>
      <c r="D40" s="17" t="s">
        <v>153</v>
      </c>
      <c r="E40" s="17">
        <v>63.11</v>
      </c>
      <c r="F40" s="17" t="s">
        <v>154</v>
      </c>
    </row>
    <row r="41" spans="1:6" x14ac:dyDescent="0.15">
      <c r="A41" s="18">
        <v>43209.795706018522</v>
      </c>
      <c r="B41" s="17">
        <v>1499</v>
      </c>
      <c r="C41" s="17">
        <v>23.25</v>
      </c>
      <c r="D41" s="17" t="s">
        <v>155</v>
      </c>
      <c r="E41" s="17">
        <v>62.17</v>
      </c>
      <c r="F41" s="17" t="s">
        <v>156</v>
      </c>
    </row>
    <row r="42" spans="1:6" x14ac:dyDescent="0.15">
      <c r="A42" s="18">
        <v>43209.79583333333</v>
      </c>
      <c r="B42" s="17">
        <v>1499</v>
      </c>
      <c r="C42" s="17">
        <v>11.52</v>
      </c>
      <c r="D42" s="17" t="s">
        <v>157</v>
      </c>
      <c r="E42" s="17">
        <v>63.3</v>
      </c>
      <c r="F42" s="17" t="s">
        <v>158</v>
      </c>
    </row>
    <row r="43" spans="1:6" x14ac:dyDescent="0.15">
      <c r="A43" s="18">
        <v>43209.795949074076</v>
      </c>
      <c r="B43" s="17">
        <v>1499</v>
      </c>
      <c r="C43" s="17">
        <v>11.6</v>
      </c>
      <c r="D43" s="17" t="s">
        <v>159</v>
      </c>
      <c r="E43" s="17">
        <v>61.9</v>
      </c>
      <c r="F43" s="17" t="s">
        <v>160</v>
      </c>
    </row>
    <row r="44" spans="1:6" x14ac:dyDescent="0.15">
      <c r="A44" s="18">
        <v>43209.796076388891</v>
      </c>
      <c r="B44" s="17">
        <v>1499</v>
      </c>
      <c r="C44" s="17">
        <v>43.57</v>
      </c>
      <c r="D44" s="17" t="s">
        <v>161</v>
      </c>
      <c r="E44" s="17">
        <v>63.37</v>
      </c>
      <c r="F44" s="17" t="s">
        <v>162</v>
      </c>
    </row>
    <row r="45" spans="1:6" x14ac:dyDescent="0.15">
      <c r="A45" s="18">
        <v>43209.796203703707</v>
      </c>
      <c r="B45" s="17">
        <v>1499</v>
      </c>
      <c r="C45" s="17">
        <v>51.06</v>
      </c>
      <c r="D45" s="17" t="s">
        <v>163</v>
      </c>
      <c r="E45" s="17">
        <v>61.66</v>
      </c>
      <c r="F45" s="17" t="s">
        <v>164</v>
      </c>
    </row>
    <row r="46" spans="1:6" x14ac:dyDescent="0.15">
      <c r="A46" s="18">
        <v>43209.796331018515</v>
      </c>
      <c r="B46" s="17">
        <v>1499</v>
      </c>
      <c r="C46" s="17">
        <v>33.76</v>
      </c>
      <c r="D46" s="17" t="s">
        <v>165</v>
      </c>
      <c r="E46" s="17">
        <v>62.54</v>
      </c>
      <c r="F46" s="17" t="s">
        <v>166</v>
      </c>
    </row>
    <row r="47" spans="1:6" x14ac:dyDescent="0.15">
      <c r="A47" s="18">
        <v>43209.796446759261</v>
      </c>
      <c r="B47" s="17">
        <v>1499</v>
      </c>
      <c r="C47" s="17">
        <v>37.07</v>
      </c>
      <c r="D47" s="17" t="s">
        <v>167</v>
      </c>
      <c r="E47" s="17">
        <v>61.83</v>
      </c>
      <c r="F47" s="17" t="s">
        <v>168</v>
      </c>
    </row>
    <row r="48" spans="1:6" x14ac:dyDescent="0.15">
      <c r="A48" s="18">
        <v>43209.796574074076</v>
      </c>
      <c r="B48" s="17">
        <v>1499</v>
      </c>
      <c r="C48" s="17">
        <v>47.68</v>
      </c>
      <c r="D48" s="17" t="s">
        <v>169</v>
      </c>
      <c r="E48" s="17">
        <v>62.51</v>
      </c>
      <c r="F48" s="17" t="s">
        <v>170</v>
      </c>
    </row>
    <row r="49" spans="1:6" x14ac:dyDescent="0.15">
      <c r="A49" s="18">
        <v>43209.796701388892</v>
      </c>
      <c r="B49" s="17">
        <v>1499</v>
      </c>
      <c r="C49" s="17">
        <v>42.72</v>
      </c>
      <c r="D49" s="17" t="s">
        <v>171</v>
      </c>
      <c r="E49" s="17">
        <v>61.1</v>
      </c>
      <c r="F49" s="17" t="s">
        <v>172</v>
      </c>
    </row>
    <row r="50" spans="1:6" x14ac:dyDescent="0.15">
      <c r="A50" s="18">
        <v>43209.7968287037</v>
      </c>
      <c r="B50" s="17">
        <v>1499</v>
      </c>
      <c r="C50" s="17">
        <v>24.38</v>
      </c>
      <c r="D50" s="17" t="s">
        <v>173</v>
      </c>
      <c r="E50" s="17">
        <v>60.8</v>
      </c>
      <c r="F50" s="17" t="s">
        <v>174</v>
      </c>
    </row>
    <row r="51" spans="1:6" x14ac:dyDescent="0.15">
      <c r="A51" s="18">
        <v>43209.796944444446</v>
      </c>
      <c r="B51" s="17">
        <v>1499</v>
      </c>
      <c r="C51" s="17">
        <v>24.18</v>
      </c>
      <c r="D51" s="17" t="s">
        <v>175</v>
      </c>
      <c r="E51" s="17">
        <v>63.28</v>
      </c>
      <c r="F51" s="17" t="s">
        <v>176</v>
      </c>
    </row>
    <row r="52" spans="1:6" x14ac:dyDescent="0.15">
      <c r="A52" s="18">
        <v>43209.797071759262</v>
      </c>
      <c r="B52" s="17">
        <v>1499</v>
      </c>
      <c r="C52" s="17">
        <v>41.99</v>
      </c>
      <c r="D52" s="17" t="s">
        <v>177</v>
      </c>
      <c r="E52" s="17">
        <v>60.7</v>
      </c>
      <c r="F52" s="17" t="s">
        <v>178</v>
      </c>
    </row>
    <row r="53" spans="1:6" x14ac:dyDescent="0.15">
      <c r="A53" s="18">
        <v>43209.797199074077</v>
      </c>
      <c r="B53" s="17">
        <v>1499</v>
      </c>
      <c r="C53" s="17">
        <v>28.84</v>
      </c>
      <c r="D53" s="17" t="s">
        <v>179</v>
      </c>
      <c r="E53" s="17">
        <v>61.09</v>
      </c>
      <c r="F53" s="17" t="s">
        <v>180</v>
      </c>
    </row>
  </sheetData>
  <mergeCells count="2">
    <mergeCell ref="A1:A2"/>
    <mergeCell ref="B1:B2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试加重示意图</vt:lpstr>
      <vt:lpstr>双面平衡影响系数</vt:lpstr>
      <vt:lpstr>单平面影响系数法</vt:lpstr>
      <vt:lpstr>第五次</vt:lpstr>
      <vt:lpstr>加重过程</vt:lpstr>
      <vt:lpstr>第四次启动</vt:lpstr>
      <vt:lpstr>第三次启动数据</vt:lpstr>
      <vt:lpstr>第二次启动数据</vt:lpstr>
      <vt:lpstr>第一次启动数据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2017-02-20T08:34:23Z</dcterms:created>
  <dcterms:modified xsi:type="dcterms:W3CDTF">2018-04-21T10:26:39Z</dcterms:modified>
</cp:coreProperties>
</file>