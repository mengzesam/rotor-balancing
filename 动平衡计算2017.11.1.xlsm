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35" windowWidth="19395" windowHeight="7605" activeTab="1"/>
  </bookViews>
  <sheets>
    <sheet name="动平衡计算" sheetId="6" r:id="rId1"/>
    <sheet name="试加重示意" sheetId="7" r:id="rId2"/>
  </sheets>
  <functionGroups builtInGroupCount="17"/>
  <calcPr calcId="144525" iterate="1" calcOnSave="0" concurrentManualCount="11"/>
</workbook>
</file>

<file path=xl/calcChain.xml><?xml version="1.0" encoding="utf-8"?>
<calcChain xmlns="http://schemas.openxmlformats.org/spreadsheetml/2006/main">
  <c r="M23" i="7" l="1"/>
  <c r="M21" i="7"/>
  <c r="M17" i="7"/>
  <c r="M19" i="7"/>
  <c r="H4" i="7" s="1"/>
  <c r="G4" i="7" l="1"/>
  <c r="K4" i="7"/>
  <c r="J4" i="7"/>
  <c r="E72" i="6"/>
  <c r="C72" i="6"/>
  <c r="E71" i="6"/>
  <c r="C71" i="6"/>
  <c r="E78" i="6"/>
  <c r="C78" i="6"/>
  <c r="O22" i="7" l="1"/>
  <c r="O23" i="7" s="1"/>
  <c r="O24" i="7" s="1"/>
  <c r="M14" i="7"/>
  <c r="M1" i="7"/>
  <c r="E6" i="7" s="1"/>
  <c r="L22" i="7"/>
  <c r="L21" i="7"/>
  <c r="L20" i="7"/>
  <c r="L17" i="7"/>
  <c r="L16" i="7"/>
  <c r="L15" i="7"/>
  <c r="M12" i="7"/>
  <c r="K207" i="7" s="1"/>
  <c r="J208" i="7" s="1"/>
  <c r="L24" i="7" s="1"/>
  <c r="M11" i="7"/>
  <c r="L11" i="7"/>
  <c r="M4" i="7"/>
  <c r="M8" i="7"/>
  <c r="H207" i="7" s="1"/>
  <c r="M7" i="7"/>
  <c r="L7" i="7"/>
  <c r="M3" i="7"/>
  <c r="M2" i="7"/>
  <c r="I2" i="7" s="1"/>
  <c r="I4" i="7" s="1"/>
  <c r="E113" i="7"/>
  <c r="D113" i="7"/>
  <c r="E107" i="7"/>
  <c r="D107" i="7"/>
  <c r="E5" i="7" l="1"/>
  <c r="E108" i="7"/>
  <c r="E110" i="7" s="1"/>
  <c r="E111" i="7" s="1"/>
  <c r="F2" i="7"/>
  <c r="F4" i="7" s="1"/>
  <c r="J207" i="7"/>
  <c r="D114" i="7"/>
  <c r="D116" i="7" s="1"/>
  <c r="D117" i="7" s="1"/>
  <c r="G207" i="7"/>
  <c r="E114" i="7"/>
  <c r="E116" i="7" s="1"/>
  <c r="E117" i="7" s="1"/>
  <c r="E112" i="7"/>
  <c r="D118" i="7"/>
  <c r="D112" i="7"/>
  <c r="E118" i="7"/>
  <c r="D108" i="7"/>
  <c r="D110" i="7" s="1"/>
  <c r="D109" i="7" s="1"/>
  <c r="J2" i="7"/>
  <c r="I207" i="7" s="1"/>
  <c r="I209" i="7" s="1"/>
  <c r="E90" i="7"/>
  <c r="E91" i="7" s="1"/>
  <c r="D90" i="7"/>
  <c r="D91" i="7" s="1"/>
  <c r="E99" i="7"/>
  <c r="D99" i="7"/>
  <c r="E93" i="7"/>
  <c r="D93" i="7"/>
  <c r="E65" i="7"/>
  <c r="E74" i="7" s="1"/>
  <c r="E83" i="7" s="1"/>
  <c r="E63" i="7"/>
  <c r="E72" i="7" s="1"/>
  <c r="E81" i="7" s="1"/>
  <c r="E73" i="7"/>
  <c r="D75" i="7" s="1"/>
  <c r="D78" i="7" s="1"/>
  <c r="E66" i="7"/>
  <c r="E69" i="7" s="1"/>
  <c r="D66" i="7"/>
  <c r="D69" i="7" s="1"/>
  <c r="E61" i="7"/>
  <c r="D61" i="7"/>
  <c r="C1" i="7"/>
  <c r="B1" i="7"/>
  <c r="A2" i="7"/>
  <c r="K209" i="7" l="1"/>
  <c r="J209" i="7"/>
  <c r="D115" i="7"/>
  <c r="E109" i="7"/>
  <c r="D111" i="7"/>
  <c r="E115" i="7"/>
  <c r="I210" i="7"/>
  <c r="K2" i="7"/>
  <c r="O17" i="7" s="1"/>
  <c r="D98" i="7"/>
  <c r="G2" i="7"/>
  <c r="E98" i="7"/>
  <c r="E104" i="7"/>
  <c r="D104" i="7"/>
  <c r="D100" i="7"/>
  <c r="D102" i="7" s="1"/>
  <c r="D101" i="7" s="1"/>
  <c r="E100" i="7"/>
  <c r="E102" i="7" s="1"/>
  <c r="E101" i="7" s="1"/>
  <c r="E75" i="7"/>
  <c r="E78" i="7" s="1"/>
  <c r="E79" i="7" s="1"/>
  <c r="D94" i="7"/>
  <c r="D96" i="7" s="1"/>
  <c r="D97" i="7" s="1"/>
  <c r="E94" i="7"/>
  <c r="E96" i="7" s="1"/>
  <c r="D67" i="7"/>
  <c r="E67" i="7"/>
  <c r="E76" i="7"/>
  <c r="E82" i="7"/>
  <c r="D85" i="7" s="1"/>
  <c r="A3" i="7"/>
  <c r="D12" i="7" s="1"/>
  <c r="B2" i="7"/>
  <c r="C2" i="7"/>
  <c r="D76" i="7"/>
  <c r="D79" i="7"/>
  <c r="D77" i="7"/>
  <c r="D70" i="7"/>
  <c r="D68" i="7"/>
  <c r="E70" i="7"/>
  <c r="E68" i="7"/>
  <c r="E11" i="7"/>
  <c r="E10" i="7"/>
  <c r="D11" i="7"/>
  <c r="D10" i="7"/>
  <c r="F49" i="6"/>
  <c r="F50" i="6"/>
  <c r="F51" i="6"/>
  <c r="F52" i="6"/>
  <c r="F53" i="6"/>
  <c r="F48" i="6"/>
  <c r="F25" i="6"/>
  <c r="F26" i="6"/>
  <c r="F27" i="6"/>
  <c r="F28" i="6"/>
  <c r="F29" i="6"/>
  <c r="F30" i="6"/>
  <c r="F31" i="6"/>
  <c r="F32" i="6"/>
  <c r="F24" i="6"/>
  <c r="F3" i="6"/>
  <c r="F4" i="6"/>
  <c r="F6" i="6"/>
  <c r="F7" i="6"/>
  <c r="F9" i="6"/>
  <c r="F10" i="6"/>
  <c r="F11" i="6"/>
  <c r="F12" i="6"/>
  <c r="F14" i="6"/>
  <c r="F16" i="6"/>
  <c r="F2" i="6"/>
  <c r="C54" i="6"/>
  <c r="C59" i="6"/>
  <c r="C55" i="6"/>
  <c r="C57" i="6"/>
  <c r="C61" i="6" s="1"/>
  <c r="F55" i="6"/>
  <c r="C36" i="6"/>
  <c r="F57" i="6"/>
  <c r="C58" i="6"/>
  <c r="F61" i="6"/>
  <c r="C63" i="6"/>
  <c r="F54" i="6"/>
  <c r="C35" i="6"/>
  <c r="C56" i="6"/>
  <c r="K210" i="7" l="1"/>
  <c r="J210" i="7"/>
  <c r="J3" i="7"/>
  <c r="L23" i="7" s="1"/>
  <c r="I211" i="7"/>
  <c r="I5" i="7"/>
  <c r="H2" i="7"/>
  <c r="F207" i="7"/>
  <c r="A4" i="7"/>
  <c r="D13" i="7" s="1"/>
  <c r="D103" i="7"/>
  <c r="E103" i="7"/>
  <c r="E77" i="7"/>
  <c r="D95" i="7"/>
  <c r="E97" i="7"/>
  <c r="E95" i="7"/>
  <c r="E12" i="7"/>
  <c r="E85" i="7"/>
  <c r="E84" i="7"/>
  <c r="E87" i="7" s="1"/>
  <c r="D84" i="7"/>
  <c r="D87" i="7" s="1"/>
  <c r="C3" i="7"/>
  <c r="B3" i="7"/>
  <c r="C39" i="6"/>
  <c r="C37" i="6"/>
  <c r="C13" i="6"/>
  <c r="F13" i="6" s="1"/>
  <c r="C5" i="6"/>
  <c r="F63" i="6"/>
  <c r="F35" i="6"/>
  <c r="F58" i="6"/>
  <c r="C34" i="6"/>
  <c r="F59" i="6"/>
  <c r="F37" i="6"/>
  <c r="F39" i="6"/>
  <c r="F56" i="6"/>
  <c r="C33" i="6"/>
  <c r="F33" i="6" s="1"/>
  <c r="C60" i="6"/>
  <c r="F36" i="6"/>
  <c r="C62" i="6"/>
  <c r="C64" i="6"/>
  <c r="C65" i="6"/>
  <c r="K5" i="7" l="1"/>
  <c r="J5" i="7"/>
  <c r="J211" i="7"/>
  <c r="K211" i="7"/>
  <c r="C8" i="6"/>
  <c r="F5" i="6"/>
  <c r="F5" i="7"/>
  <c r="O16" i="7"/>
  <c r="I212" i="7"/>
  <c r="I6" i="7"/>
  <c r="F209" i="7"/>
  <c r="G3" i="7"/>
  <c r="L18" i="7" s="1"/>
  <c r="E13" i="7"/>
  <c r="A5" i="7"/>
  <c r="D14" i="7" s="1"/>
  <c r="C4" i="7"/>
  <c r="B4" i="7"/>
  <c r="D88" i="7"/>
  <c r="D86" i="7"/>
  <c r="E88" i="7"/>
  <c r="E86" i="7"/>
  <c r="C40" i="6"/>
  <c r="C38" i="6"/>
  <c r="F64" i="6"/>
  <c r="F65" i="6"/>
  <c r="F34" i="6"/>
  <c r="F38" i="6"/>
  <c r="F62" i="6"/>
  <c r="C41" i="6"/>
  <c r="C43" i="6"/>
  <c r="F40" i="6"/>
  <c r="C42" i="6"/>
  <c r="F60" i="6"/>
  <c r="C45" i="6"/>
  <c r="H209" i="7" l="1"/>
  <c r="G209" i="7"/>
  <c r="J6" i="7"/>
  <c r="K6" i="7"/>
  <c r="J212" i="7"/>
  <c r="K212" i="7"/>
  <c r="F6" i="7"/>
  <c r="G5" i="7"/>
  <c r="H5" i="7"/>
  <c r="C15" i="6"/>
  <c r="F8" i="6"/>
  <c r="E14" i="7"/>
  <c r="B5" i="7"/>
  <c r="I213" i="7"/>
  <c r="A6" i="7"/>
  <c r="E15" i="7" s="1"/>
  <c r="C5" i="7"/>
  <c r="I7" i="7"/>
  <c r="F210" i="7"/>
  <c r="C17" i="6"/>
  <c r="F45" i="6"/>
  <c r="F41" i="6"/>
  <c r="F17" i="6"/>
  <c r="F43" i="6"/>
  <c r="F42" i="6"/>
  <c r="C44" i="6"/>
  <c r="F44" i="6" s="1"/>
  <c r="C18" i="6"/>
  <c r="C19" i="6"/>
  <c r="F20" i="6"/>
  <c r="F18" i="6"/>
  <c r="F21" i="6"/>
  <c r="F19" i="6"/>
  <c r="H210" i="7" l="1"/>
  <c r="G210" i="7"/>
  <c r="F7" i="7"/>
  <c r="G6" i="7"/>
  <c r="H6" i="7"/>
  <c r="J7" i="7"/>
  <c r="K7" i="7"/>
  <c r="J213" i="7"/>
  <c r="K213" i="7"/>
  <c r="F15" i="6"/>
  <c r="A7" i="7"/>
  <c r="D16" i="7" s="1"/>
  <c r="D15" i="7"/>
  <c r="C6" i="7"/>
  <c r="B6" i="7"/>
  <c r="I214" i="7"/>
  <c r="I8" i="7"/>
  <c r="F211" i="7"/>
  <c r="G211" i="7" l="1"/>
  <c r="H211" i="7"/>
  <c r="J8" i="7"/>
  <c r="K8" i="7"/>
  <c r="J214" i="7"/>
  <c r="K214" i="7"/>
  <c r="F8" i="7"/>
  <c r="G7" i="7"/>
  <c r="H7" i="7"/>
  <c r="B7" i="7"/>
  <c r="A8" i="7"/>
  <c r="E17" i="7" s="1"/>
  <c r="C7" i="7"/>
  <c r="E16" i="7"/>
  <c r="I215" i="7"/>
  <c r="I9" i="7"/>
  <c r="F212" i="7"/>
  <c r="F9" i="7" l="1"/>
  <c r="G8" i="7"/>
  <c r="H8" i="7"/>
  <c r="G212" i="7"/>
  <c r="H212" i="7"/>
  <c r="I10" i="7"/>
  <c r="J9" i="7"/>
  <c r="K9" i="7"/>
  <c r="J215" i="7"/>
  <c r="K215" i="7"/>
  <c r="C8" i="7"/>
  <c r="A9" i="7"/>
  <c r="E18" i="7" s="1"/>
  <c r="B8" i="7"/>
  <c r="D17" i="7"/>
  <c r="I216" i="7"/>
  <c r="F213" i="7"/>
  <c r="B9" i="7"/>
  <c r="D18" i="7"/>
  <c r="J10" i="7" l="1"/>
  <c r="K10" i="7"/>
  <c r="K216" i="7"/>
  <c r="J216" i="7"/>
  <c r="H213" i="7"/>
  <c r="G213" i="7"/>
  <c r="I11" i="7"/>
  <c r="H9" i="7"/>
  <c r="G9" i="7"/>
  <c r="F10" i="7"/>
  <c r="A10" i="7"/>
  <c r="C10" i="7" s="1"/>
  <c r="C9" i="7"/>
  <c r="I217" i="7"/>
  <c r="F214" i="7"/>
  <c r="G10" i="7" l="1"/>
  <c r="H10" i="7"/>
  <c r="F11" i="7"/>
  <c r="K11" i="7"/>
  <c r="J11" i="7"/>
  <c r="G214" i="7"/>
  <c r="H214" i="7"/>
  <c r="I12" i="7"/>
  <c r="J217" i="7"/>
  <c r="K217" i="7"/>
  <c r="A11" i="7"/>
  <c r="C11" i="7" s="1"/>
  <c r="D19" i="7"/>
  <c r="B10" i="7"/>
  <c r="E19" i="7"/>
  <c r="I218" i="7"/>
  <c r="F215" i="7"/>
  <c r="K12" i="7" l="1"/>
  <c r="J12" i="7"/>
  <c r="H215" i="7"/>
  <c r="G215" i="7"/>
  <c r="I13" i="7"/>
  <c r="I14" i="7" s="1"/>
  <c r="K218" i="7"/>
  <c r="J218" i="7"/>
  <c r="H11" i="7"/>
  <c r="G11" i="7"/>
  <c r="F12" i="7"/>
  <c r="E20" i="7"/>
  <c r="A12" i="7"/>
  <c r="B12" i="7" s="1"/>
  <c r="D20" i="7"/>
  <c r="B11" i="7"/>
  <c r="I219" i="7"/>
  <c r="F216" i="7"/>
  <c r="H216" i="7" l="1"/>
  <c r="G216" i="7"/>
  <c r="J14" i="7"/>
  <c r="K14" i="7"/>
  <c r="J13" i="7"/>
  <c r="K13" i="7"/>
  <c r="J219" i="7"/>
  <c r="K219" i="7"/>
  <c r="H12" i="7"/>
  <c r="G12" i="7"/>
  <c r="F13" i="7"/>
  <c r="A13" i="7"/>
  <c r="C13" i="7" s="1"/>
  <c r="D21" i="7"/>
  <c r="E21" i="7"/>
  <c r="C12" i="7"/>
  <c r="I220" i="7"/>
  <c r="I15" i="7"/>
  <c r="F217" i="7"/>
  <c r="G13" i="7" l="1"/>
  <c r="H13" i="7"/>
  <c r="F14" i="7"/>
  <c r="G217" i="7"/>
  <c r="H217" i="7"/>
  <c r="K15" i="7"/>
  <c r="J15" i="7"/>
  <c r="K220" i="7"/>
  <c r="J220" i="7"/>
  <c r="A14" i="7"/>
  <c r="B14" i="7" s="1"/>
  <c r="D22" i="7"/>
  <c r="E22" i="7"/>
  <c r="B13" i="7"/>
  <c r="I221" i="7"/>
  <c r="I16" i="7"/>
  <c r="F218" i="7"/>
  <c r="H218" i="7" l="1"/>
  <c r="G218" i="7"/>
  <c r="J16" i="7"/>
  <c r="K16" i="7"/>
  <c r="J221" i="7"/>
  <c r="K221" i="7"/>
  <c r="G14" i="7"/>
  <c r="H14" i="7"/>
  <c r="F15" i="7"/>
  <c r="A15" i="7"/>
  <c r="C15" i="7" s="1"/>
  <c r="D23" i="7"/>
  <c r="E23" i="7"/>
  <c r="C14" i="7"/>
  <c r="I222" i="7"/>
  <c r="I17" i="7"/>
  <c r="F219" i="7"/>
  <c r="G208" i="7"/>
  <c r="L19" i="7" s="1"/>
  <c r="H219" i="7" l="1"/>
  <c r="G219" i="7"/>
  <c r="J17" i="7"/>
  <c r="K17" i="7"/>
  <c r="J222" i="7"/>
  <c r="K222" i="7"/>
  <c r="H15" i="7"/>
  <c r="G15" i="7"/>
  <c r="F16" i="7"/>
  <c r="A16" i="7"/>
  <c r="B16" i="7" s="1"/>
  <c r="D24" i="7"/>
  <c r="E24" i="7"/>
  <c r="B15" i="7"/>
  <c r="I223" i="7"/>
  <c r="I18" i="7"/>
  <c r="F220" i="7"/>
  <c r="G220" i="7" l="1"/>
  <c r="H220" i="7"/>
  <c r="K18" i="7"/>
  <c r="J18" i="7"/>
  <c r="G16" i="7"/>
  <c r="H16" i="7"/>
  <c r="F17" i="7"/>
  <c r="J223" i="7"/>
  <c r="K223" i="7"/>
  <c r="A17" i="7"/>
  <c r="E26" i="7" s="1"/>
  <c r="D25" i="7"/>
  <c r="E25" i="7"/>
  <c r="C16" i="7"/>
  <c r="I224" i="7"/>
  <c r="I19" i="7"/>
  <c r="F221" i="7"/>
  <c r="G221" i="7" l="1"/>
  <c r="H221" i="7"/>
  <c r="J19" i="7"/>
  <c r="K19" i="7"/>
  <c r="K224" i="7"/>
  <c r="J224" i="7"/>
  <c r="G17" i="7"/>
  <c r="H17" i="7"/>
  <c r="F18" i="7"/>
  <c r="A18" i="7"/>
  <c r="C18" i="7" s="1"/>
  <c r="D26" i="7"/>
  <c r="B17" i="7"/>
  <c r="C17" i="7"/>
  <c r="I225" i="7"/>
  <c r="I20" i="7"/>
  <c r="F222" i="7"/>
  <c r="G18" i="7" l="1"/>
  <c r="H18" i="7"/>
  <c r="F19" i="7"/>
  <c r="J225" i="7"/>
  <c r="K225" i="7"/>
  <c r="G222" i="7"/>
  <c r="H222" i="7"/>
  <c r="J20" i="7"/>
  <c r="K20" i="7"/>
  <c r="A19" i="7"/>
  <c r="E28" i="7" s="1"/>
  <c r="D27" i="7"/>
  <c r="B18" i="7"/>
  <c r="E27" i="7"/>
  <c r="I226" i="7"/>
  <c r="I21" i="7"/>
  <c r="F223" i="7"/>
  <c r="H223" i="7" l="1"/>
  <c r="G223" i="7"/>
  <c r="J21" i="7"/>
  <c r="K21" i="7"/>
  <c r="J226" i="7"/>
  <c r="K226" i="7"/>
  <c r="G19" i="7"/>
  <c r="H19" i="7"/>
  <c r="F20" i="7"/>
  <c r="D28" i="7"/>
  <c r="B19" i="7"/>
  <c r="C19" i="7"/>
  <c r="A20" i="7"/>
  <c r="I227" i="7"/>
  <c r="I22" i="7"/>
  <c r="F224" i="7"/>
  <c r="B20" i="7"/>
  <c r="C20" i="7"/>
  <c r="E29" i="7"/>
  <c r="D29" i="7"/>
  <c r="A21" i="7"/>
  <c r="H20" i="7" l="1"/>
  <c r="G20" i="7"/>
  <c r="F21" i="7"/>
  <c r="H224" i="7"/>
  <c r="G224" i="7"/>
  <c r="K22" i="7"/>
  <c r="J22" i="7"/>
  <c r="K227" i="7"/>
  <c r="J227" i="7"/>
  <c r="I228" i="7"/>
  <c r="I23" i="7"/>
  <c r="F225" i="7"/>
  <c r="C21" i="7"/>
  <c r="B21" i="7"/>
  <c r="E30" i="7"/>
  <c r="D30" i="7"/>
  <c r="A22" i="7"/>
  <c r="J23" i="7" l="1"/>
  <c r="K23" i="7"/>
  <c r="H21" i="7"/>
  <c r="G21" i="7"/>
  <c r="F22" i="7"/>
  <c r="J228" i="7"/>
  <c r="K228" i="7"/>
  <c r="G225" i="7"/>
  <c r="H225" i="7"/>
  <c r="I229" i="7"/>
  <c r="I24" i="7"/>
  <c r="F226" i="7"/>
  <c r="B22" i="7"/>
  <c r="C22" i="7"/>
  <c r="D31" i="7"/>
  <c r="E31" i="7"/>
  <c r="A23" i="7"/>
  <c r="G226" i="7" l="1"/>
  <c r="H226" i="7"/>
  <c r="K24" i="7"/>
  <c r="J24" i="7"/>
  <c r="J229" i="7"/>
  <c r="K229" i="7"/>
  <c r="H22" i="7"/>
  <c r="G22" i="7"/>
  <c r="F23" i="7"/>
  <c r="I230" i="7"/>
  <c r="I25" i="7"/>
  <c r="F227" i="7"/>
  <c r="C23" i="7"/>
  <c r="B23" i="7"/>
  <c r="D32" i="7"/>
  <c r="E32" i="7"/>
  <c r="A24" i="7"/>
  <c r="G23" i="7" l="1"/>
  <c r="H23" i="7"/>
  <c r="F24" i="7"/>
  <c r="J25" i="7"/>
  <c r="K25" i="7"/>
  <c r="J230" i="7"/>
  <c r="K230" i="7"/>
  <c r="G227" i="7"/>
  <c r="H227" i="7"/>
  <c r="I231" i="7"/>
  <c r="I26" i="7"/>
  <c r="F228" i="7"/>
  <c r="B24" i="7"/>
  <c r="C24" i="7"/>
  <c r="E33" i="7"/>
  <c r="D33" i="7"/>
  <c r="A25" i="7"/>
  <c r="G228" i="7" l="1"/>
  <c r="H228" i="7"/>
  <c r="J26" i="7"/>
  <c r="K26" i="7"/>
  <c r="K231" i="7"/>
  <c r="J231" i="7"/>
  <c r="H24" i="7"/>
  <c r="G24" i="7"/>
  <c r="F25" i="7"/>
  <c r="I232" i="7"/>
  <c r="I27" i="7"/>
  <c r="F229" i="7"/>
  <c r="C25" i="7"/>
  <c r="B25" i="7"/>
  <c r="D34" i="7"/>
  <c r="E34" i="7"/>
  <c r="A26" i="7"/>
  <c r="K27" i="7" l="1"/>
  <c r="J27" i="7"/>
  <c r="J232" i="7"/>
  <c r="K232" i="7"/>
  <c r="G25" i="7"/>
  <c r="H25" i="7"/>
  <c r="F26" i="7"/>
  <c r="G229" i="7"/>
  <c r="H229" i="7"/>
  <c r="I233" i="7"/>
  <c r="I28" i="7"/>
  <c r="F230" i="7"/>
  <c r="B26" i="7"/>
  <c r="C26" i="7"/>
  <c r="D35" i="7"/>
  <c r="E35" i="7"/>
  <c r="A27" i="7"/>
  <c r="H230" i="7" l="1"/>
  <c r="G230" i="7"/>
  <c r="J28" i="7"/>
  <c r="K28" i="7"/>
  <c r="J233" i="7"/>
  <c r="K233" i="7"/>
  <c r="H26" i="7"/>
  <c r="G26" i="7"/>
  <c r="F27" i="7"/>
  <c r="I234" i="7"/>
  <c r="I29" i="7"/>
  <c r="F231" i="7"/>
  <c r="C27" i="7"/>
  <c r="B27" i="7"/>
  <c r="E36" i="7"/>
  <c r="D36" i="7"/>
  <c r="A28" i="7"/>
  <c r="J234" i="7" l="1"/>
  <c r="K234" i="7"/>
  <c r="H27" i="7"/>
  <c r="G27" i="7"/>
  <c r="F28" i="7"/>
  <c r="J29" i="7"/>
  <c r="K29" i="7"/>
  <c r="G231" i="7"/>
  <c r="H231" i="7"/>
  <c r="I235" i="7"/>
  <c r="I30" i="7"/>
  <c r="F232" i="7"/>
  <c r="B28" i="7"/>
  <c r="C28" i="7"/>
  <c r="D37" i="7"/>
  <c r="E37" i="7"/>
  <c r="A29" i="7"/>
  <c r="K30" i="7" l="1"/>
  <c r="J30" i="7"/>
  <c r="K235" i="7"/>
  <c r="J235" i="7"/>
  <c r="G28" i="7"/>
  <c r="H28" i="7"/>
  <c r="F29" i="7"/>
  <c r="G232" i="7"/>
  <c r="H232" i="7"/>
  <c r="I236" i="7"/>
  <c r="I31" i="7"/>
  <c r="F233" i="7"/>
  <c r="C29" i="7"/>
  <c r="B29" i="7"/>
  <c r="E38" i="7"/>
  <c r="D38" i="7"/>
  <c r="A30" i="7"/>
  <c r="J31" i="7" l="1"/>
  <c r="K31" i="7"/>
  <c r="K236" i="7"/>
  <c r="J236" i="7"/>
  <c r="G29" i="7"/>
  <c r="H29" i="7"/>
  <c r="F30" i="7"/>
  <c r="G233" i="7"/>
  <c r="H233" i="7"/>
  <c r="I237" i="7"/>
  <c r="I32" i="7"/>
  <c r="F234" i="7"/>
  <c r="B30" i="7"/>
  <c r="C30" i="7"/>
  <c r="E39" i="7"/>
  <c r="D39" i="7"/>
  <c r="A31" i="7"/>
  <c r="K32" i="7" l="1"/>
  <c r="J32" i="7"/>
  <c r="J237" i="7"/>
  <c r="K237" i="7"/>
  <c r="G30" i="7"/>
  <c r="H30" i="7"/>
  <c r="F31" i="7"/>
  <c r="G234" i="7"/>
  <c r="H234" i="7"/>
  <c r="I238" i="7"/>
  <c r="I33" i="7"/>
  <c r="F235" i="7"/>
  <c r="C31" i="7"/>
  <c r="B31" i="7"/>
  <c r="E40" i="7"/>
  <c r="D40" i="7"/>
  <c r="A32" i="7"/>
  <c r="A33" i="7" s="1"/>
  <c r="K238" i="7" l="1"/>
  <c r="J238" i="7"/>
  <c r="K33" i="7"/>
  <c r="J33" i="7"/>
  <c r="H31" i="7"/>
  <c r="G31" i="7"/>
  <c r="F32" i="7"/>
  <c r="H235" i="7"/>
  <c r="G235" i="7"/>
  <c r="I239" i="7"/>
  <c r="I34" i="7"/>
  <c r="F236" i="7"/>
  <c r="C33" i="7"/>
  <c r="B33" i="7"/>
  <c r="D42" i="7"/>
  <c r="E42" i="7"/>
  <c r="B32" i="7"/>
  <c r="C32" i="7"/>
  <c r="E41" i="7"/>
  <c r="D41" i="7"/>
  <c r="A34" i="7"/>
  <c r="J239" i="7" l="1"/>
  <c r="K239" i="7"/>
  <c r="J34" i="7"/>
  <c r="K34" i="7"/>
  <c r="G32" i="7"/>
  <c r="H32" i="7"/>
  <c r="F33" i="7"/>
  <c r="G236" i="7"/>
  <c r="H236" i="7"/>
  <c r="I240" i="7"/>
  <c r="I35" i="7"/>
  <c r="F237" i="7"/>
  <c r="B34" i="7"/>
  <c r="C34" i="7"/>
  <c r="E43" i="7"/>
  <c r="D43" i="7"/>
  <c r="A35" i="7"/>
  <c r="K35" i="7" l="1"/>
  <c r="J35" i="7"/>
  <c r="J240" i="7"/>
  <c r="K240" i="7"/>
  <c r="H33" i="7"/>
  <c r="G33" i="7"/>
  <c r="F34" i="7"/>
  <c r="G237" i="7"/>
  <c r="H237" i="7"/>
  <c r="I241" i="7"/>
  <c r="I36" i="7"/>
  <c r="F238" i="7"/>
  <c r="C35" i="7"/>
  <c r="B35" i="7"/>
  <c r="E44" i="7"/>
  <c r="D44" i="7"/>
  <c r="A36" i="7"/>
  <c r="J241" i="7" l="1"/>
  <c r="K241" i="7"/>
  <c r="K36" i="7"/>
  <c r="J36" i="7"/>
  <c r="G34" i="7"/>
  <c r="H34" i="7"/>
  <c r="F35" i="7"/>
  <c r="H238" i="7"/>
  <c r="G238" i="7"/>
  <c r="I242" i="7"/>
  <c r="I37" i="7"/>
  <c r="F239" i="7"/>
  <c r="B36" i="7"/>
  <c r="C36" i="7"/>
  <c r="D45" i="7"/>
  <c r="E45" i="7"/>
  <c r="A37" i="7"/>
  <c r="J242" i="7" l="1"/>
  <c r="K242" i="7"/>
  <c r="G35" i="7"/>
  <c r="H35" i="7"/>
  <c r="F36" i="7"/>
  <c r="J37" i="7"/>
  <c r="K37" i="7"/>
  <c r="G239" i="7"/>
  <c r="H239" i="7"/>
  <c r="I243" i="7"/>
  <c r="I38" i="7"/>
  <c r="F240" i="7"/>
  <c r="C37" i="7"/>
  <c r="B37" i="7"/>
  <c r="E46" i="7"/>
  <c r="D46" i="7"/>
  <c r="A38" i="7"/>
  <c r="K38" i="7" l="1"/>
  <c r="J38" i="7"/>
  <c r="J243" i="7"/>
  <c r="K243" i="7"/>
  <c r="H36" i="7"/>
  <c r="G36" i="7"/>
  <c r="F37" i="7"/>
  <c r="G240" i="7"/>
  <c r="H240" i="7"/>
  <c r="I244" i="7"/>
  <c r="I39" i="7"/>
  <c r="F241" i="7"/>
  <c r="B38" i="7"/>
  <c r="C38" i="7"/>
  <c r="E47" i="7"/>
  <c r="D47" i="7"/>
  <c r="A39" i="7"/>
  <c r="J244" i="7" l="1"/>
  <c r="K244" i="7"/>
  <c r="G37" i="7"/>
  <c r="H37" i="7"/>
  <c r="F38" i="7"/>
  <c r="J39" i="7"/>
  <c r="K39" i="7"/>
  <c r="H241" i="7"/>
  <c r="G241" i="7"/>
  <c r="I245" i="7"/>
  <c r="I40" i="7"/>
  <c r="F242" i="7"/>
  <c r="C39" i="7"/>
  <c r="B39" i="7"/>
  <c r="E48" i="7"/>
  <c r="D48" i="7"/>
  <c r="A40" i="7"/>
  <c r="K245" i="7" l="1"/>
  <c r="J245" i="7"/>
  <c r="J40" i="7"/>
  <c r="K40" i="7"/>
  <c r="H38" i="7"/>
  <c r="G38" i="7"/>
  <c r="F39" i="7"/>
  <c r="G242" i="7"/>
  <c r="H242" i="7"/>
  <c r="I246" i="7"/>
  <c r="I41" i="7"/>
  <c r="F243" i="7"/>
  <c r="B40" i="7"/>
  <c r="C40" i="7"/>
  <c r="E49" i="7"/>
  <c r="D49" i="7"/>
  <c r="A41" i="7"/>
  <c r="J41" i="7" l="1"/>
  <c r="K41" i="7"/>
  <c r="J246" i="7"/>
  <c r="K246" i="7"/>
  <c r="G39" i="7"/>
  <c r="H39" i="7"/>
  <c r="F40" i="7"/>
  <c r="G243" i="7"/>
  <c r="H243" i="7"/>
  <c r="I247" i="7"/>
  <c r="I42" i="7"/>
  <c r="F244" i="7"/>
  <c r="C41" i="7"/>
  <c r="B41" i="7"/>
  <c r="D50" i="7"/>
  <c r="E50" i="7"/>
  <c r="A42" i="7"/>
  <c r="K42" i="7" l="1"/>
  <c r="J42" i="7"/>
  <c r="J247" i="7"/>
  <c r="K247" i="7"/>
  <c r="G40" i="7"/>
  <c r="H40" i="7"/>
  <c r="F41" i="7"/>
  <c r="G244" i="7"/>
  <c r="H244" i="7"/>
  <c r="I248" i="7"/>
  <c r="I43" i="7"/>
  <c r="F245" i="7"/>
  <c r="B42" i="7"/>
  <c r="C42" i="7"/>
  <c r="D51" i="7"/>
  <c r="E51" i="7"/>
  <c r="A43" i="7"/>
  <c r="J248" i="7" l="1"/>
  <c r="K248" i="7"/>
  <c r="H41" i="7"/>
  <c r="G41" i="7"/>
  <c r="F42" i="7"/>
  <c r="J43" i="7"/>
  <c r="K43" i="7"/>
  <c r="H245" i="7"/>
  <c r="G245" i="7"/>
  <c r="I249" i="7"/>
  <c r="I44" i="7"/>
  <c r="F246" i="7"/>
  <c r="C43" i="7"/>
  <c r="B43" i="7"/>
  <c r="E52" i="7"/>
  <c r="D52" i="7"/>
  <c r="A44" i="7"/>
  <c r="K44" i="7" l="1"/>
  <c r="J44" i="7"/>
  <c r="K249" i="7"/>
  <c r="J249" i="7"/>
  <c r="G42" i="7"/>
  <c r="H42" i="7"/>
  <c r="F43" i="7"/>
  <c r="G246" i="7"/>
  <c r="H246" i="7"/>
  <c r="I250" i="7"/>
  <c r="I45" i="7"/>
  <c r="F247" i="7"/>
  <c r="B44" i="7"/>
  <c r="C44" i="7"/>
  <c r="D53" i="7"/>
  <c r="E53" i="7"/>
  <c r="A45" i="7"/>
  <c r="J250" i="7" l="1"/>
  <c r="K250" i="7"/>
  <c r="H43" i="7"/>
  <c r="G43" i="7"/>
  <c r="F44" i="7"/>
  <c r="K45" i="7"/>
  <c r="J45" i="7"/>
  <c r="G247" i="7"/>
  <c r="H247" i="7"/>
  <c r="I251" i="7"/>
  <c r="I46" i="7"/>
  <c r="F248" i="7"/>
  <c r="C45" i="7"/>
  <c r="B45" i="7"/>
  <c r="E54" i="7"/>
  <c r="D54" i="7"/>
  <c r="A46" i="7"/>
  <c r="J46" i="7" l="1"/>
  <c r="K46" i="7"/>
  <c r="J251" i="7"/>
  <c r="K251" i="7"/>
  <c r="H44" i="7"/>
  <c r="G44" i="7"/>
  <c r="F45" i="7"/>
  <c r="G248" i="7"/>
  <c r="H248" i="7"/>
  <c r="I252" i="7"/>
  <c r="I47" i="7"/>
  <c r="F249" i="7"/>
  <c r="B46" i="7"/>
  <c r="C46" i="7"/>
  <c r="E55" i="7"/>
  <c r="E56" i="7" s="1"/>
  <c r="D55" i="7"/>
  <c r="D56" i="7" s="1"/>
  <c r="A47" i="7"/>
  <c r="J252" i="7" l="1"/>
  <c r="K252" i="7"/>
  <c r="G45" i="7"/>
  <c r="H45" i="7"/>
  <c r="F46" i="7"/>
  <c r="J47" i="7"/>
  <c r="K47" i="7"/>
  <c r="G249" i="7"/>
  <c r="H249" i="7"/>
  <c r="I253" i="7"/>
  <c r="I48" i="7"/>
  <c r="F250" i="7"/>
  <c r="E57" i="7"/>
  <c r="E59" i="7"/>
  <c r="E58" i="7"/>
  <c r="D57" i="7"/>
  <c r="D58" i="7"/>
  <c r="D59" i="7"/>
  <c r="C47" i="7"/>
  <c r="B47" i="7"/>
  <c r="A48" i="7"/>
  <c r="K48" i="7" l="1"/>
  <c r="J48" i="7"/>
  <c r="K253" i="7"/>
  <c r="J253" i="7"/>
  <c r="G46" i="7"/>
  <c r="H46" i="7"/>
  <c r="F47" i="7"/>
  <c r="G250" i="7"/>
  <c r="H250" i="7"/>
  <c r="I254" i="7"/>
  <c r="I49" i="7"/>
  <c r="F251" i="7"/>
  <c r="B48" i="7"/>
  <c r="C48" i="7"/>
  <c r="A49" i="7"/>
  <c r="J254" i="7" l="1"/>
  <c r="K254" i="7"/>
  <c r="G47" i="7"/>
  <c r="H47" i="7"/>
  <c r="F48" i="7"/>
  <c r="J49" i="7"/>
  <c r="K49" i="7"/>
  <c r="G251" i="7"/>
  <c r="H251" i="7"/>
  <c r="I255" i="7"/>
  <c r="I50" i="7"/>
  <c r="F252" i="7"/>
  <c r="C49" i="7"/>
  <c r="B49" i="7"/>
  <c r="A50" i="7"/>
  <c r="J50" i="7" l="1"/>
  <c r="K50" i="7"/>
  <c r="J255" i="7"/>
  <c r="K255" i="7"/>
  <c r="G48" i="7"/>
  <c r="H48" i="7"/>
  <c r="F49" i="7"/>
  <c r="H252" i="7"/>
  <c r="G252" i="7"/>
  <c r="I256" i="7"/>
  <c r="I51" i="7"/>
  <c r="F253" i="7"/>
  <c r="B50" i="7"/>
  <c r="C50" i="7"/>
  <c r="A51" i="7"/>
  <c r="J256" i="7" l="1"/>
  <c r="K256" i="7"/>
  <c r="G49" i="7"/>
  <c r="H49" i="7"/>
  <c r="F50" i="7"/>
  <c r="K51" i="7"/>
  <c r="J51" i="7"/>
  <c r="H253" i="7"/>
  <c r="G253" i="7"/>
  <c r="I257" i="7"/>
  <c r="I52" i="7"/>
  <c r="F254" i="7"/>
  <c r="C51" i="7"/>
  <c r="B51" i="7"/>
  <c r="A52" i="7"/>
  <c r="J52" i="7" l="1"/>
  <c r="K52" i="7"/>
  <c r="J257" i="7"/>
  <c r="K257" i="7"/>
  <c r="G50" i="7"/>
  <c r="H50" i="7"/>
  <c r="F51" i="7"/>
  <c r="G254" i="7"/>
  <c r="H254" i="7"/>
  <c r="I258" i="7"/>
  <c r="I53" i="7"/>
  <c r="F255" i="7"/>
  <c r="B52" i="7"/>
  <c r="C52" i="7"/>
  <c r="A53" i="7"/>
  <c r="K258" i="7" l="1"/>
  <c r="J258" i="7"/>
  <c r="H51" i="7"/>
  <c r="G51" i="7"/>
  <c r="F52" i="7"/>
  <c r="J53" i="7"/>
  <c r="K53" i="7"/>
  <c r="G255" i="7"/>
  <c r="H255" i="7"/>
  <c r="I259" i="7"/>
  <c r="I54" i="7"/>
  <c r="F256" i="7"/>
  <c r="C53" i="7"/>
  <c r="B53" i="7"/>
  <c r="A54" i="7"/>
  <c r="K54" i="7" l="1"/>
  <c r="J54" i="7"/>
  <c r="J259" i="7"/>
  <c r="K259" i="7"/>
  <c r="H52" i="7"/>
  <c r="G52" i="7"/>
  <c r="F53" i="7"/>
  <c r="G256" i="7"/>
  <c r="H256" i="7"/>
  <c r="I260" i="7"/>
  <c r="I55" i="7"/>
  <c r="F257" i="7"/>
  <c r="B54" i="7"/>
  <c r="C54" i="7"/>
  <c r="A55" i="7"/>
  <c r="K55" i="7" l="1"/>
  <c r="J55" i="7"/>
  <c r="K260" i="7"/>
  <c r="J260" i="7"/>
  <c r="H53" i="7"/>
  <c r="G53" i="7"/>
  <c r="F54" i="7"/>
  <c r="G257" i="7"/>
  <c r="H257" i="7"/>
  <c r="I261" i="7"/>
  <c r="I56" i="7"/>
  <c r="F258" i="7"/>
  <c r="C55" i="7"/>
  <c r="B55" i="7"/>
  <c r="A56" i="7"/>
  <c r="J56" i="7" l="1"/>
  <c r="K56" i="7"/>
  <c r="G54" i="7"/>
  <c r="H54" i="7"/>
  <c r="F55" i="7"/>
  <c r="J261" i="7"/>
  <c r="K261" i="7"/>
  <c r="G258" i="7"/>
  <c r="H258" i="7"/>
  <c r="I262" i="7"/>
  <c r="I57" i="7"/>
  <c r="F259" i="7"/>
  <c r="B56" i="7"/>
  <c r="C56" i="7"/>
  <c r="A57" i="7"/>
  <c r="J57" i="7" l="1"/>
  <c r="K57" i="7"/>
  <c r="J262" i="7"/>
  <c r="K262" i="7"/>
  <c r="H55" i="7"/>
  <c r="G55" i="7"/>
  <c r="F56" i="7"/>
  <c r="H259" i="7"/>
  <c r="G259" i="7"/>
  <c r="I263" i="7"/>
  <c r="I58" i="7"/>
  <c r="F260" i="7"/>
  <c r="C57" i="7"/>
  <c r="B57" i="7"/>
  <c r="A58" i="7"/>
  <c r="J263" i="7" l="1"/>
  <c r="K263" i="7"/>
  <c r="G56" i="7"/>
  <c r="H56" i="7"/>
  <c r="F57" i="7"/>
  <c r="J58" i="7"/>
  <c r="K58" i="7"/>
  <c r="H260" i="7"/>
  <c r="G260" i="7"/>
  <c r="I264" i="7"/>
  <c r="I59" i="7"/>
  <c r="F261" i="7"/>
  <c r="B58" i="7"/>
  <c r="C58" i="7"/>
  <c r="A59" i="7"/>
  <c r="K59" i="7" l="1"/>
  <c r="J59" i="7"/>
  <c r="J264" i="7"/>
  <c r="K264" i="7"/>
  <c r="G57" i="7"/>
  <c r="H57" i="7"/>
  <c r="F58" i="7"/>
  <c r="G261" i="7"/>
  <c r="H261" i="7"/>
  <c r="I265" i="7"/>
  <c r="I60" i="7"/>
  <c r="F262" i="7"/>
  <c r="C59" i="7"/>
  <c r="B59" i="7"/>
  <c r="A60" i="7"/>
  <c r="J265" i="7" l="1"/>
  <c r="K265" i="7"/>
  <c r="H58" i="7"/>
  <c r="G58" i="7"/>
  <c r="F59" i="7"/>
  <c r="K60" i="7"/>
  <c r="J60" i="7"/>
  <c r="G262" i="7"/>
  <c r="H262" i="7"/>
  <c r="I266" i="7"/>
  <c r="I61" i="7"/>
  <c r="F263" i="7"/>
  <c r="B60" i="7"/>
  <c r="C60" i="7"/>
  <c r="A61" i="7"/>
  <c r="J61" i="7" l="1"/>
  <c r="K61" i="7"/>
  <c r="J266" i="7"/>
  <c r="K266" i="7"/>
  <c r="G59" i="7"/>
  <c r="H59" i="7"/>
  <c r="F60" i="7"/>
  <c r="H263" i="7"/>
  <c r="G263" i="7"/>
  <c r="I267" i="7"/>
  <c r="I62" i="7"/>
  <c r="F264" i="7"/>
  <c r="C61" i="7"/>
  <c r="B61" i="7"/>
  <c r="A62" i="7"/>
  <c r="J267" i="7" l="1"/>
  <c r="K267" i="7"/>
  <c r="G60" i="7"/>
  <c r="H60" i="7"/>
  <c r="F61" i="7"/>
  <c r="K62" i="7"/>
  <c r="J62" i="7"/>
  <c r="G264" i="7"/>
  <c r="H264" i="7"/>
  <c r="I268" i="7"/>
  <c r="I63" i="7"/>
  <c r="F265" i="7"/>
  <c r="B62" i="7"/>
  <c r="C62" i="7"/>
  <c r="A63" i="7"/>
  <c r="J63" i="7" l="1"/>
  <c r="K63" i="7"/>
  <c r="J268" i="7"/>
  <c r="K268" i="7"/>
  <c r="G61" i="7"/>
  <c r="H61" i="7"/>
  <c r="F62" i="7"/>
  <c r="H265" i="7"/>
  <c r="G265" i="7"/>
  <c r="I269" i="7"/>
  <c r="I64" i="7"/>
  <c r="F266" i="7"/>
  <c r="C63" i="7"/>
  <c r="B63" i="7"/>
  <c r="A64" i="7"/>
  <c r="K269" i="7" l="1"/>
  <c r="J269" i="7"/>
  <c r="G62" i="7"/>
  <c r="H62" i="7"/>
  <c r="F63" i="7"/>
  <c r="J64" i="7"/>
  <c r="K64" i="7"/>
  <c r="G266" i="7"/>
  <c r="H266" i="7"/>
  <c r="I270" i="7"/>
  <c r="I65" i="7"/>
  <c r="F267" i="7"/>
  <c r="B64" i="7"/>
  <c r="C64" i="7"/>
  <c r="A65" i="7"/>
  <c r="J65" i="7" l="1"/>
  <c r="K65" i="7"/>
  <c r="J270" i="7"/>
  <c r="K270" i="7"/>
  <c r="G63" i="7"/>
  <c r="H63" i="7"/>
  <c r="F64" i="7"/>
  <c r="G267" i="7"/>
  <c r="H267" i="7"/>
  <c r="I271" i="7"/>
  <c r="I66" i="7"/>
  <c r="F268" i="7"/>
  <c r="C65" i="7"/>
  <c r="B65" i="7"/>
  <c r="A66" i="7"/>
  <c r="K271" i="7" l="1"/>
  <c r="J271" i="7"/>
  <c r="H64" i="7"/>
  <c r="G64" i="7"/>
  <c r="F65" i="7"/>
  <c r="K66" i="7"/>
  <c r="J66" i="7"/>
  <c r="H268" i="7"/>
  <c r="G268" i="7"/>
  <c r="I272" i="7"/>
  <c r="I67" i="7"/>
  <c r="F269" i="7"/>
  <c r="B66" i="7"/>
  <c r="C66" i="7"/>
  <c r="A67" i="7"/>
  <c r="J272" i="7" l="1"/>
  <c r="K272" i="7"/>
  <c r="J67" i="7"/>
  <c r="K67" i="7"/>
  <c r="H65" i="7"/>
  <c r="G65" i="7"/>
  <c r="F66" i="7"/>
  <c r="G269" i="7"/>
  <c r="H269" i="7"/>
  <c r="I273" i="7"/>
  <c r="I68" i="7"/>
  <c r="F270" i="7"/>
  <c r="C67" i="7"/>
  <c r="B67" i="7"/>
  <c r="A68" i="7"/>
  <c r="J273" i="7" l="1"/>
  <c r="K273" i="7"/>
  <c r="H66" i="7"/>
  <c r="G66" i="7"/>
  <c r="F67" i="7"/>
  <c r="J68" i="7"/>
  <c r="K68" i="7"/>
  <c r="G270" i="7"/>
  <c r="H270" i="7"/>
  <c r="I274" i="7"/>
  <c r="I69" i="7"/>
  <c r="F271" i="7"/>
  <c r="B68" i="7"/>
  <c r="C68" i="7"/>
  <c r="A69" i="7"/>
  <c r="J274" i="7" l="1"/>
  <c r="K274" i="7"/>
  <c r="K69" i="7"/>
  <c r="J69" i="7"/>
  <c r="G67" i="7"/>
  <c r="H67" i="7"/>
  <c r="F68" i="7"/>
  <c r="G271" i="7"/>
  <c r="H271" i="7"/>
  <c r="I275" i="7"/>
  <c r="I70" i="7"/>
  <c r="F272" i="7"/>
  <c r="C69" i="7"/>
  <c r="B69" i="7"/>
  <c r="A70" i="7"/>
  <c r="J70" i="7" l="1"/>
  <c r="K70" i="7"/>
  <c r="K275" i="7"/>
  <c r="J275" i="7"/>
  <c r="H68" i="7"/>
  <c r="G68" i="7"/>
  <c r="F69" i="7"/>
  <c r="G272" i="7"/>
  <c r="H272" i="7"/>
  <c r="I276" i="7"/>
  <c r="I71" i="7"/>
  <c r="F273" i="7"/>
  <c r="B70" i="7"/>
  <c r="C70" i="7"/>
  <c r="A71" i="7"/>
  <c r="K276" i="7" l="1"/>
  <c r="J276" i="7"/>
  <c r="G69" i="7"/>
  <c r="H69" i="7"/>
  <c r="F70" i="7"/>
  <c r="K71" i="7"/>
  <c r="J71" i="7"/>
  <c r="G273" i="7"/>
  <c r="H273" i="7"/>
  <c r="I277" i="7"/>
  <c r="I72" i="7"/>
  <c r="F274" i="7"/>
  <c r="C71" i="7"/>
  <c r="B71" i="7"/>
  <c r="A72" i="7"/>
  <c r="K72" i="7" l="1"/>
  <c r="J72" i="7"/>
  <c r="J277" i="7"/>
  <c r="K277" i="7"/>
  <c r="H70" i="7"/>
  <c r="G70" i="7"/>
  <c r="F71" i="7"/>
  <c r="H274" i="7"/>
  <c r="G274" i="7"/>
  <c r="I278" i="7"/>
  <c r="I73" i="7"/>
  <c r="F275" i="7"/>
  <c r="B72" i="7"/>
  <c r="C72" i="7"/>
  <c r="A73" i="7"/>
  <c r="J278" i="7" l="1"/>
  <c r="K278" i="7"/>
  <c r="G71" i="7"/>
  <c r="H71" i="7"/>
  <c r="F72" i="7"/>
  <c r="J73" i="7"/>
  <c r="K73" i="7"/>
  <c r="H275" i="7"/>
  <c r="G275" i="7"/>
  <c r="I279" i="7"/>
  <c r="I74" i="7"/>
  <c r="F276" i="7"/>
  <c r="C73" i="7"/>
  <c r="B73" i="7"/>
  <c r="A74" i="7"/>
  <c r="K74" i="7" l="1"/>
  <c r="J74" i="7"/>
  <c r="J279" i="7"/>
  <c r="K279" i="7"/>
  <c r="G72" i="7"/>
  <c r="H72" i="7"/>
  <c r="F73" i="7"/>
  <c r="G276" i="7"/>
  <c r="H276" i="7"/>
  <c r="I280" i="7"/>
  <c r="I75" i="7"/>
  <c r="F277" i="7"/>
  <c r="B74" i="7"/>
  <c r="C74" i="7"/>
  <c r="A75" i="7"/>
  <c r="J75" i="7" l="1"/>
  <c r="K75" i="7"/>
  <c r="J280" i="7"/>
  <c r="K280" i="7"/>
  <c r="H73" i="7"/>
  <c r="G73" i="7"/>
  <c r="F74" i="7"/>
  <c r="G277" i="7"/>
  <c r="H277" i="7"/>
  <c r="I281" i="7"/>
  <c r="I76" i="7"/>
  <c r="F278" i="7"/>
  <c r="C75" i="7"/>
  <c r="B75" i="7"/>
  <c r="A76" i="7"/>
  <c r="K281" i="7" l="1"/>
  <c r="J281" i="7"/>
  <c r="G74" i="7"/>
  <c r="H74" i="7"/>
  <c r="F75" i="7"/>
  <c r="J76" i="7"/>
  <c r="K76" i="7"/>
  <c r="G278" i="7"/>
  <c r="H278" i="7"/>
  <c r="I282" i="7"/>
  <c r="I77" i="7"/>
  <c r="F279" i="7"/>
  <c r="B76" i="7"/>
  <c r="C76" i="7"/>
  <c r="A77" i="7"/>
  <c r="K77" i="7" l="1"/>
  <c r="J77" i="7"/>
  <c r="K282" i="7"/>
  <c r="J282" i="7"/>
  <c r="H75" i="7"/>
  <c r="G75" i="7"/>
  <c r="F76" i="7"/>
  <c r="G279" i="7"/>
  <c r="H279" i="7"/>
  <c r="I283" i="7"/>
  <c r="I78" i="7"/>
  <c r="F280" i="7"/>
  <c r="C77" i="7"/>
  <c r="B77" i="7"/>
  <c r="A78" i="7"/>
  <c r="J283" i="7" l="1"/>
  <c r="K283" i="7"/>
  <c r="J78" i="7"/>
  <c r="K78" i="7"/>
  <c r="H76" i="7"/>
  <c r="G76" i="7"/>
  <c r="F77" i="7"/>
  <c r="G280" i="7"/>
  <c r="H280" i="7"/>
  <c r="I284" i="7"/>
  <c r="I79" i="7"/>
  <c r="F281" i="7"/>
  <c r="B78" i="7"/>
  <c r="C78" i="7"/>
  <c r="A79" i="7"/>
  <c r="G281" i="7" l="1"/>
  <c r="H281" i="7"/>
  <c r="J79" i="7"/>
  <c r="K79" i="7"/>
  <c r="K284" i="7"/>
  <c r="J284" i="7"/>
  <c r="H77" i="7"/>
  <c r="G77" i="7"/>
  <c r="F78" i="7"/>
  <c r="I285" i="7"/>
  <c r="I80" i="7"/>
  <c r="F282" i="7"/>
  <c r="C79" i="7"/>
  <c r="B79" i="7"/>
  <c r="A80" i="7"/>
  <c r="K285" i="7" l="1"/>
  <c r="J285" i="7"/>
  <c r="K80" i="7"/>
  <c r="J80" i="7"/>
  <c r="H78" i="7"/>
  <c r="G78" i="7"/>
  <c r="F79" i="7"/>
  <c r="G282" i="7"/>
  <c r="H282" i="7"/>
  <c r="I286" i="7"/>
  <c r="I81" i="7"/>
  <c r="F283" i="7"/>
  <c r="B80" i="7"/>
  <c r="C80" i="7"/>
  <c r="A81" i="7"/>
  <c r="J286" i="7" l="1"/>
  <c r="K286" i="7"/>
  <c r="H79" i="7"/>
  <c r="G79" i="7"/>
  <c r="F80" i="7"/>
  <c r="J81" i="7"/>
  <c r="K81" i="7"/>
  <c r="G283" i="7"/>
  <c r="H283" i="7"/>
  <c r="I287" i="7"/>
  <c r="I82" i="7"/>
  <c r="F284" i="7"/>
  <c r="C81" i="7"/>
  <c r="B81" i="7"/>
  <c r="A82" i="7"/>
  <c r="K82" i="7" l="1"/>
  <c r="J82" i="7"/>
  <c r="J287" i="7"/>
  <c r="K287" i="7"/>
  <c r="G80" i="7"/>
  <c r="H80" i="7"/>
  <c r="F81" i="7"/>
  <c r="G284" i="7"/>
  <c r="H284" i="7"/>
  <c r="I288" i="7"/>
  <c r="I83" i="7"/>
  <c r="F285" i="7"/>
  <c r="B82" i="7"/>
  <c r="C82" i="7"/>
  <c r="A83" i="7"/>
  <c r="J288" i="7" l="1"/>
  <c r="K288" i="7"/>
  <c r="H81" i="7"/>
  <c r="G81" i="7"/>
  <c r="F82" i="7"/>
  <c r="K83" i="7"/>
  <c r="J83" i="7"/>
  <c r="H285" i="7"/>
  <c r="G285" i="7"/>
  <c r="I289" i="7"/>
  <c r="I84" i="7"/>
  <c r="F286" i="7"/>
  <c r="C83" i="7"/>
  <c r="B83" i="7"/>
  <c r="A84" i="7"/>
  <c r="J84" i="7" l="1"/>
  <c r="K84" i="7"/>
  <c r="J289" i="7"/>
  <c r="K289" i="7"/>
  <c r="H82" i="7"/>
  <c r="G82" i="7"/>
  <c r="F83" i="7"/>
  <c r="G286" i="7"/>
  <c r="H286" i="7"/>
  <c r="I290" i="7"/>
  <c r="I85" i="7"/>
  <c r="F287" i="7"/>
  <c r="B84" i="7"/>
  <c r="C84" i="7"/>
  <c r="A85" i="7"/>
  <c r="J290" i="7" l="1"/>
  <c r="K290" i="7"/>
  <c r="G83" i="7"/>
  <c r="H83" i="7"/>
  <c r="F84" i="7"/>
  <c r="K85" i="7"/>
  <c r="J85" i="7"/>
  <c r="H287" i="7"/>
  <c r="G287" i="7"/>
  <c r="I291" i="7"/>
  <c r="I86" i="7"/>
  <c r="F288" i="7"/>
  <c r="C85" i="7"/>
  <c r="B85" i="7"/>
  <c r="A86" i="7"/>
  <c r="J86" i="7" l="1"/>
  <c r="K86" i="7"/>
  <c r="K291" i="7"/>
  <c r="J291" i="7"/>
  <c r="G84" i="7"/>
  <c r="H84" i="7"/>
  <c r="F85" i="7"/>
  <c r="G288" i="7"/>
  <c r="H288" i="7"/>
  <c r="I292" i="7"/>
  <c r="I87" i="7"/>
  <c r="F289" i="7"/>
  <c r="B86" i="7"/>
  <c r="C86" i="7"/>
  <c r="A87" i="7"/>
  <c r="J292" i="7" l="1"/>
  <c r="K292" i="7"/>
  <c r="G85" i="7"/>
  <c r="H85" i="7"/>
  <c r="F86" i="7"/>
  <c r="K87" i="7"/>
  <c r="J87" i="7"/>
  <c r="G289" i="7"/>
  <c r="H289" i="7"/>
  <c r="I293" i="7"/>
  <c r="I88" i="7"/>
  <c r="F290" i="7"/>
  <c r="C87" i="7"/>
  <c r="B87" i="7"/>
  <c r="A88" i="7"/>
  <c r="J88" i="7" l="1"/>
  <c r="K88" i="7"/>
  <c r="K293" i="7"/>
  <c r="J293" i="7"/>
  <c r="H86" i="7"/>
  <c r="G86" i="7"/>
  <c r="F87" i="7"/>
  <c r="G290" i="7"/>
  <c r="H290" i="7"/>
  <c r="I294" i="7"/>
  <c r="I89" i="7"/>
  <c r="F291" i="7"/>
  <c r="B88" i="7"/>
  <c r="C88" i="7"/>
  <c r="A89" i="7"/>
  <c r="J89" i="7" l="1"/>
  <c r="K89" i="7"/>
  <c r="G87" i="7"/>
  <c r="H87" i="7"/>
  <c r="F88" i="7"/>
  <c r="J294" i="7"/>
  <c r="K294" i="7"/>
  <c r="G291" i="7"/>
  <c r="H291" i="7"/>
  <c r="I295" i="7"/>
  <c r="I90" i="7"/>
  <c r="F292" i="7"/>
  <c r="C89" i="7"/>
  <c r="B89" i="7"/>
  <c r="A90" i="7"/>
  <c r="J90" i="7" l="1"/>
  <c r="K90" i="7"/>
  <c r="J295" i="7"/>
  <c r="K295" i="7"/>
  <c r="H88" i="7"/>
  <c r="G88" i="7"/>
  <c r="F89" i="7"/>
  <c r="G292" i="7"/>
  <c r="H292" i="7"/>
  <c r="I296" i="7"/>
  <c r="I91" i="7"/>
  <c r="F293" i="7"/>
  <c r="B90" i="7"/>
  <c r="C90" i="7"/>
  <c r="A91" i="7"/>
  <c r="J91" i="7" l="1"/>
  <c r="K91" i="7"/>
  <c r="J296" i="7"/>
  <c r="K296" i="7"/>
  <c r="G89" i="7"/>
  <c r="H89" i="7"/>
  <c r="F90" i="7"/>
  <c r="G293" i="7"/>
  <c r="H293" i="7"/>
  <c r="I297" i="7"/>
  <c r="I92" i="7"/>
  <c r="F294" i="7"/>
  <c r="C91" i="7"/>
  <c r="B91" i="7"/>
  <c r="A92" i="7"/>
  <c r="J297" i="7" l="1"/>
  <c r="K297" i="7"/>
  <c r="G90" i="7"/>
  <c r="H90" i="7"/>
  <c r="F91" i="7"/>
  <c r="J92" i="7"/>
  <c r="K92" i="7"/>
  <c r="G294" i="7"/>
  <c r="H294" i="7"/>
  <c r="I298" i="7"/>
  <c r="I93" i="7"/>
  <c r="F295" i="7"/>
  <c r="B92" i="7"/>
  <c r="C92" i="7"/>
  <c r="A93" i="7"/>
  <c r="K93" i="7" l="1"/>
  <c r="J93" i="7"/>
  <c r="K298" i="7"/>
  <c r="J298" i="7"/>
  <c r="G91" i="7"/>
  <c r="H91" i="7"/>
  <c r="F92" i="7"/>
  <c r="G295" i="7"/>
  <c r="H295" i="7"/>
  <c r="I299" i="7"/>
  <c r="I94" i="7"/>
  <c r="F296" i="7"/>
  <c r="C93" i="7"/>
  <c r="B93" i="7"/>
  <c r="A94" i="7"/>
  <c r="K94" i="7" l="1"/>
  <c r="J94" i="7"/>
  <c r="J299" i="7"/>
  <c r="K299" i="7"/>
  <c r="G92" i="7"/>
  <c r="H92" i="7"/>
  <c r="F93" i="7"/>
  <c r="H296" i="7"/>
  <c r="G296" i="7"/>
  <c r="I300" i="7"/>
  <c r="I95" i="7"/>
  <c r="F297" i="7"/>
  <c r="B94" i="7"/>
  <c r="C94" i="7"/>
  <c r="A95" i="7"/>
  <c r="J95" i="7" l="1"/>
  <c r="K95" i="7"/>
  <c r="J300" i="7"/>
  <c r="K300" i="7"/>
  <c r="G93" i="7"/>
  <c r="H93" i="7"/>
  <c r="F94" i="7"/>
  <c r="H297" i="7"/>
  <c r="G297" i="7"/>
  <c r="I301" i="7"/>
  <c r="I96" i="7"/>
  <c r="F298" i="7"/>
  <c r="C95" i="7"/>
  <c r="B95" i="7"/>
  <c r="A96" i="7"/>
  <c r="K301" i="7" l="1"/>
  <c r="J301" i="7"/>
  <c r="G94" i="7"/>
  <c r="H94" i="7"/>
  <c r="F95" i="7"/>
  <c r="K96" i="7"/>
  <c r="J96" i="7"/>
  <c r="G298" i="7"/>
  <c r="H298" i="7"/>
  <c r="I302" i="7"/>
  <c r="I97" i="7"/>
  <c r="F299" i="7"/>
  <c r="B96" i="7"/>
  <c r="C96" i="7"/>
  <c r="A97" i="7"/>
  <c r="K302" i="7" l="1"/>
  <c r="J302" i="7"/>
  <c r="J97" i="7"/>
  <c r="K97" i="7"/>
  <c r="G95" i="7"/>
  <c r="H95" i="7"/>
  <c r="F96" i="7"/>
  <c r="G299" i="7"/>
  <c r="H299" i="7"/>
  <c r="I303" i="7"/>
  <c r="I98" i="7"/>
  <c r="F300" i="7"/>
  <c r="C97" i="7"/>
  <c r="B97" i="7"/>
  <c r="A98" i="7"/>
  <c r="J303" i="7" l="1"/>
  <c r="K303" i="7"/>
  <c r="G96" i="7"/>
  <c r="H96" i="7"/>
  <c r="F97" i="7"/>
  <c r="J98" i="7"/>
  <c r="K98" i="7"/>
  <c r="G300" i="7"/>
  <c r="H300" i="7"/>
  <c r="I304" i="7"/>
  <c r="I99" i="7"/>
  <c r="F301" i="7"/>
  <c r="B98" i="7"/>
  <c r="C98" i="7"/>
  <c r="A99" i="7"/>
  <c r="J99" i="7" l="1"/>
  <c r="K99" i="7"/>
  <c r="K304" i="7"/>
  <c r="J304" i="7"/>
  <c r="H97" i="7"/>
  <c r="G97" i="7"/>
  <c r="F98" i="7"/>
  <c r="G301" i="7"/>
  <c r="H301" i="7"/>
  <c r="I305" i="7"/>
  <c r="I100" i="7"/>
  <c r="F302" i="7"/>
  <c r="C99" i="7"/>
  <c r="B99" i="7"/>
  <c r="A100" i="7"/>
  <c r="J100" i="7" l="1"/>
  <c r="K100" i="7"/>
  <c r="J305" i="7"/>
  <c r="K305" i="7"/>
  <c r="G98" i="7"/>
  <c r="H98" i="7"/>
  <c r="F99" i="7"/>
  <c r="G302" i="7"/>
  <c r="H302" i="7"/>
  <c r="I306" i="7"/>
  <c r="I101" i="7"/>
  <c r="F303" i="7"/>
  <c r="B100" i="7"/>
  <c r="C100" i="7"/>
  <c r="A101" i="7"/>
  <c r="J101" i="7" l="1"/>
  <c r="K101" i="7"/>
  <c r="J306" i="7"/>
  <c r="K306" i="7"/>
  <c r="H99" i="7"/>
  <c r="G99" i="7"/>
  <c r="F100" i="7"/>
  <c r="H303" i="7"/>
  <c r="G303" i="7"/>
  <c r="I307" i="7"/>
  <c r="I102" i="7"/>
  <c r="F304" i="7"/>
  <c r="C101" i="7"/>
  <c r="B101" i="7"/>
  <c r="A102" i="7"/>
  <c r="J102" i="7" l="1"/>
  <c r="K102" i="7"/>
  <c r="J307" i="7"/>
  <c r="K307" i="7"/>
  <c r="G100" i="7"/>
  <c r="H100" i="7"/>
  <c r="F101" i="7"/>
  <c r="G304" i="7"/>
  <c r="H304" i="7"/>
  <c r="I308" i="7"/>
  <c r="I103" i="7"/>
  <c r="F305" i="7"/>
  <c r="B102" i="7"/>
  <c r="C102" i="7"/>
  <c r="A103" i="7"/>
  <c r="J308" i="7" l="1"/>
  <c r="K308" i="7"/>
  <c r="G101" i="7"/>
  <c r="H101" i="7"/>
  <c r="F102" i="7"/>
  <c r="J103" i="7"/>
  <c r="J206" i="7" s="1"/>
  <c r="K103" i="7"/>
  <c r="H305" i="7"/>
  <c r="G305" i="7"/>
  <c r="I309" i="7"/>
  <c r="K206" i="7"/>
  <c r="I104" i="7"/>
  <c r="F306" i="7"/>
  <c r="C103" i="7"/>
  <c r="B103" i="7"/>
  <c r="A104" i="7"/>
  <c r="J309" i="7" l="1"/>
  <c r="J411" i="7" s="1"/>
  <c r="K309" i="7"/>
  <c r="K411" i="7" s="1"/>
  <c r="G102" i="7"/>
  <c r="H102" i="7"/>
  <c r="F103" i="7"/>
  <c r="G306" i="7"/>
  <c r="H306" i="7"/>
  <c r="K104" i="7"/>
  <c r="J104" i="7"/>
  <c r="I310" i="7"/>
  <c r="I105" i="7"/>
  <c r="F307" i="7"/>
  <c r="B104" i="7"/>
  <c r="C104" i="7"/>
  <c r="A105" i="7"/>
  <c r="H103" i="7" l="1"/>
  <c r="H206" i="7" s="1"/>
  <c r="G103" i="7"/>
  <c r="G206" i="7" s="1"/>
  <c r="F104" i="7"/>
  <c r="H307" i="7"/>
  <c r="G307" i="7"/>
  <c r="K105" i="7"/>
  <c r="J105" i="7"/>
  <c r="J310" i="7"/>
  <c r="K310" i="7"/>
  <c r="I311" i="7"/>
  <c r="I106" i="7"/>
  <c r="F308" i="7"/>
  <c r="C105" i="7"/>
  <c r="B105" i="7"/>
  <c r="A106" i="7"/>
  <c r="J311" i="7" l="1"/>
  <c r="K311" i="7"/>
  <c r="J106" i="7"/>
  <c r="K106" i="7"/>
  <c r="H104" i="7"/>
  <c r="G104" i="7"/>
  <c r="F105" i="7"/>
  <c r="G308" i="7"/>
  <c r="H308" i="7"/>
  <c r="I312" i="7"/>
  <c r="I107" i="7"/>
  <c r="F309" i="7"/>
  <c r="B106" i="7"/>
  <c r="C106" i="7"/>
  <c r="A107" i="7"/>
  <c r="K312" i="7" l="1"/>
  <c r="J312" i="7"/>
  <c r="G105" i="7"/>
  <c r="H105" i="7"/>
  <c r="F106" i="7"/>
  <c r="J107" i="7"/>
  <c r="K107" i="7"/>
  <c r="H309" i="7"/>
  <c r="H411" i="7" s="1"/>
  <c r="G309" i="7"/>
  <c r="G411" i="7" s="1"/>
  <c r="I313" i="7"/>
  <c r="I108" i="7"/>
  <c r="F310" i="7"/>
  <c r="C107" i="7"/>
  <c r="B107" i="7"/>
  <c r="A108" i="7"/>
  <c r="J313" i="7" l="1"/>
  <c r="K313" i="7"/>
  <c r="J108" i="7"/>
  <c r="K108" i="7"/>
  <c r="H106" i="7"/>
  <c r="G106" i="7"/>
  <c r="F107" i="7"/>
  <c r="G310" i="7"/>
  <c r="H310" i="7"/>
  <c r="I314" i="7"/>
  <c r="I109" i="7"/>
  <c r="F311" i="7"/>
  <c r="B108" i="7"/>
  <c r="C108" i="7"/>
  <c r="A109" i="7"/>
  <c r="J314" i="7" l="1"/>
  <c r="K314" i="7"/>
  <c r="G107" i="7"/>
  <c r="H107" i="7"/>
  <c r="F108" i="7"/>
  <c r="K109" i="7"/>
  <c r="J109" i="7"/>
  <c r="G311" i="7"/>
  <c r="H311" i="7"/>
  <c r="I315" i="7"/>
  <c r="I110" i="7"/>
  <c r="F312" i="7"/>
  <c r="C109" i="7"/>
  <c r="B109" i="7"/>
  <c r="A110" i="7"/>
  <c r="J110" i="7" l="1"/>
  <c r="K110" i="7"/>
  <c r="K315" i="7"/>
  <c r="J315" i="7"/>
  <c r="H108" i="7"/>
  <c r="G108" i="7"/>
  <c r="F109" i="7"/>
  <c r="H312" i="7"/>
  <c r="G312" i="7"/>
  <c r="I316" i="7"/>
  <c r="I111" i="7"/>
  <c r="F313" i="7"/>
  <c r="B110" i="7"/>
  <c r="C110" i="7"/>
  <c r="A111" i="7"/>
  <c r="J111" i="7" l="1"/>
  <c r="K111" i="7"/>
  <c r="J316" i="7"/>
  <c r="K316" i="7"/>
  <c r="G109" i="7"/>
  <c r="H109" i="7"/>
  <c r="F110" i="7"/>
  <c r="G313" i="7"/>
  <c r="H313" i="7"/>
  <c r="I317" i="7"/>
  <c r="I112" i="7"/>
  <c r="F314" i="7"/>
  <c r="C111" i="7"/>
  <c r="B111" i="7"/>
  <c r="A112" i="7"/>
  <c r="J112" i="7" l="1"/>
  <c r="K112" i="7"/>
  <c r="J317" i="7"/>
  <c r="K317" i="7"/>
  <c r="H110" i="7"/>
  <c r="G110" i="7"/>
  <c r="F111" i="7"/>
  <c r="G314" i="7"/>
  <c r="H314" i="7"/>
  <c r="I318" i="7"/>
  <c r="I113" i="7"/>
  <c r="F315" i="7"/>
  <c r="B112" i="7"/>
  <c r="C112" i="7"/>
  <c r="A113" i="7"/>
  <c r="K113" i="7" l="1"/>
  <c r="J113" i="7"/>
  <c r="H111" i="7"/>
  <c r="G111" i="7"/>
  <c r="F112" i="7"/>
  <c r="K318" i="7"/>
  <c r="J318" i="7"/>
  <c r="H315" i="7"/>
  <c r="G315" i="7"/>
  <c r="I319" i="7"/>
  <c r="I114" i="7"/>
  <c r="F316" i="7"/>
  <c r="C113" i="7"/>
  <c r="B113" i="7"/>
  <c r="A114" i="7"/>
  <c r="J319" i="7" l="1"/>
  <c r="K319" i="7"/>
  <c r="J114" i="7"/>
  <c r="K114" i="7"/>
  <c r="G112" i="7"/>
  <c r="H112" i="7"/>
  <c r="F113" i="7"/>
  <c r="G316" i="7"/>
  <c r="H316" i="7"/>
  <c r="I320" i="7"/>
  <c r="I115" i="7"/>
  <c r="F317" i="7"/>
  <c r="B114" i="7"/>
  <c r="C114" i="7"/>
  <c r="A115" i="7"/>
  <c r="J320" i="7" l="1"/>
  <c r="K320" i="7"/>
  <c r="G113" i="7"/>
  <c r="H113" i="7"/>
  <c r="F114" i="7"/>
  <c r="K115" i="7"/>
  <c r="J115" i="7"/>
  <c r="H317" i="7"/>
  <c r="G317" i="7"/>
  <c r="I321" i="7"/>
  <c r="I116" i="7"/>
  <c r="F318" i="7"/>
  <c r="C115" i="7"/>
  <c r="B115" i="7"/>
  <c r="A116" i="7"/>
  <c r="K116" i="7" l="1"/>
  <c r="J116" i="7"/>
  <c r="J321" i="7"/>
  <c r="K321" i="7"/>
  <c r="G114" i="7"/>
  <c r="H114" i="7"/>
  <c r="F115" i="7"/>
  <c r="H318" i="7"/>
  <c r="G318" i="7"/>
  <c r="I322" i="7"/>
  <c r="I117" i="7"/>
  <c r="F319" i="7"/>
  <c r="B116" i="7"/>
  <c r="C116" i="7"/>
  <c r="A117" i="7"/>
  <c r="J117" i="7" l="1"/>
  <c r="K117" i="7"/>
  <c r="K322" i="7"/>
  <c r="J322" i="7"/>
  <c r="G115" i="7"/>
  <c r="H115" i="7"/>
  <c r="F116" i="7"/>
  <c r="G319" i="7"/>
  <c r="H319" i="7"/>
  <c r="I323" i="7"/>
  <c r="I118" i="7"/>
  <c r="F320" i="7"/>
  <c r="C117" i="7"/>
  <c r="B117" i="7"/>
  <c r="A118" i="7"/>
  <c r="K323" i="7" l="1"/>
  <c r="J323" i="7"/>
  <c r="G116" i="7"/>
  <c r="H116" i="7"/>
  <c r="F117" i="7"/>
  <c r="K118" i="7"/>
  <c r="J118" i="7"/>
  <c r="G320" i="7"/>
  <c r="H320" i="7"/>
  <c r="I324" i="7"/>
  <c r="I119" i="7"/>
  <c r="F321" i="7"/>
  <c r="B118" i="7"/>
  <c r="C118" i="7"/>
  <c r="A119" i="7"/>
  <c r="J119" i="7" l="1"/>
  <c r="K119" i="7"/>
  <c r="J324" i="7"/>
  <c r="K324" i="7"/>
  <c r="H117" i="7"/>
  <c r="G117" i="7"/>
  <c r="F118" i="7"/>
  <c r="H321" i="7"/>
  <c r="G321" i="7"/>
  <c r="I325" i="7"/>
  <c r="I120" i="7"/>
  <c r="F322" i="7"/>
  <c r="C119" i="7"/>
  <c r="B119" i="7"/>
  <c r="A120" i="7"/>
  <c r="K120" i="7" l="1"/>
  <c r="J120" i="7"/>
  <c r="G118" i="7"/>
  <c r="H118" i="7"/>
  <c r="F119" i="7"/>
  <c r="K325" i="7"/>
  <c r="J325" i="7"/>
  <c r="G322" i="7"/>
  <c r="H322" i="7"/>
  <c r="I326" i="7"/>
  <c r="I121" i="7"/>
  <c r="F323" i="7"/>
  <c r="B120" i="7"/>
  <c r="C120" i="7"/>
  <c r="A121" i="7"/>
  <c r="J121" i="7" l="1"/>
  <c r="K121" i="7"/>
  <c r="K326" i="7"/>
  <c r="J326" i="7"/>
  <c r="G119" i="7"/>
  <c r="H119" i="7"/>
  <c r="F120" i="7"/>
  <c r="G323" i="7"/>
  <c r="H323" i="7"/>
  <c r="I327" i="7"/>
  <c r="I122" i="7"/>
  <c r="F324" i="7"/>
  <c r="C121" i="7"/>
  <c r="B121" i="7"/>
  <c r="A122" i="7"/>
  <c r="J327" i="7" l="1"/>
  <c r="K327" i="7"/>
  <c r="G120" i="7"/>
  <c r="H120" i="7"/>
  <c r="F121" i="7"/>
  <c r="J122" i="7"/>
  <c r="K122" i="7"/>
  <c r="G324" i="7"/>
  <c r="H324" i="7"/>
  <c r="I328" i="7"/>
  <c r="I123" i="7"/>
  <c r="F325" i="7"/>
  <c r="B122" i="7"/>
  <c r="C122" i="7"/>
  <c r="A123" i="7"/>
  <c r="K123" i="7" l="1"/>
  <c r="J123" i="7"/>
  <c r="J328" i="7"/>
  <c r="K328" i="7"/>
  <c r="H121" i="7"/>
  <c r="G121" i="7"/>
  <c r="F122" i="7"/>
  <c r="G325" i="7"/>
  <c r="H325" i="7"/>
  <c r="I329" i="7"/>
  <c r="I124" i="7"/>
  <c r="F326" i="7"/>
  <c r="C123" i="7"/>
  <c r="B123" i="7"/>
  <c r="A124" i="7"/>
  <c r="J329" i="7" l="1"/>
  <c r="K329" i="7"/>
  <c r="G122" i="7"/>
  <c r="H122" i="7"/>
  <c r="F123" i="7"/>
  <c r="J124" i="7"/>
  <c r="K124" i="7"/>
  <c r="H326" i="7"/>
  <c r="G326" i="7"/>
  <c r="I330" i="7"/>
  <c r="I125" i="7"/>
  <c r="F327" i="7"/>
  <c r="B124" i="7"/>
  <c r="C124" i="7"/>
  <c r="A125" i="7"/>
  <c r="K125" i="7" l="1"/>
  <c r="J125" i="7"/>
  <c r="J330" i="7"/>
  <c r="K330" i="7"/>
  <c r="H123" i="7"/>
  <c r="G123" i="7"/>
  <c r="F124" i="7"/>
  <c r="H327" i="7"/>
  <c r="G327" i="7"/>
  <c r="I331" i="7"/>
  <c r="I126" i="7"/>
  <c r="F328" i="7"/>
  <c r="C125" i="7"/>
  <c r="B125" i="7"/>
  <c r="A126" i="7"/>
  <c r="H124" i="7" l="1"/>
  <c r="G124" i="7"/>
  <c r="F125" i="7"/>
  <c r="K126" i="7"/>
  <c r="J126" i="7"/>
  <c r="J331" i="7"/>
  <c r="K331" i="7"/>
  <c r="G328" i="7"/>
  <c r="H328" i="7"/>
  <c r="I332" i="7"/>
  <c r="I127" i="7"/>
  <c r="F329" i="7"/>
  <c r="B126" i="7"/>
  <c r="C126" i="7"/>
  <c r="A127" i="7"/>
  <c r="K127" i="7" l="1"/>
  <c r="J127" i="7"/>
  <c r="J332" i="7"/>
  <c r="K332" i="7"/>
  <c r="G125" i="7"/>
  <c r="H125" i="7"/>
  <c r="F126" i="7"/>
  <c r="H329" i="7"/>
  <c r="G329" i="7"/>
  <c r="I333" i="7"/>
  <c r="I128" i="7"/>
  <c r="F330" i="7"/>
  <c r="C127" i="7"/>
  <c r="B127" i="7"/>
  <c r="A128" i="7"/>
  <c r="J128" i="7" l="1"/>
  <c r="K128" i="7"/>
  <c r="J333" i="7"/>
  <c r="K333" i="7"/>
  <c r="H126" i="7"/>
  <c r="G126" i="7"/>
  <c r="F127" i="7"/>
  <c r="G330" i="7"/>
  <c r="H330" i="7"/>
  <c r="I334" i="7"/>
  <c r="I129" i="7"/>
  <c r="F331" i="7"/>
  <c r="B128" i="7"/>
  <c r="C128" i="7"/>
  <c r="A129" i="7"/>
  <c r="K129" i="7" l="1"/>
  <c r="J129" i="7"/>
  <c r="G127" i="7"/>
  <c r="H127" i="7"/>
  <c r="F128" i="7"/>
  <c r="J334" i="7"/>
  <c r="K334" i="7"/>
  <c r="G331" i="7"/>
  <c r="H331" i="7"/>
  <c r="I335" i="7"/>
  <c r="I130" i="7"/>
  <c r="F332" i="7"/>
  <c r="C129" i="7"/>
  <c r="B129" i="7"/>
  <c r="A130" i="7"/>
  <c r="J130" i="7" l="1"/>
  <c r="K130" i="7"/>
  <c r="K335" i="7"/>
  <c r="J335" i="7"/>
  <c r="H128" i="7"/>
  <c r="G128" i="7"/>
  <c r="F129" i="7"/>
  <c r="G332" i="7"/>
  <c r="H332" i="7"/>
  <c r="I336" i="7"/>
  <c r="I131" i="7"/>
  <c r="F333" i="7"/>
  <c r="B130" i="7"/>
  <c r="C130" i="7"/>
  <c r="A131" i="7"/>
  <c r="J336" i="7" l="1"/>
  <c r="K336" i="7"/>
  <c r="G129" i="7"/>
  <c r="H129" i="7"/>
  <c r="F130" i="7"/>
  <c r="J131" i="7"/>
  <c r="K131" i="7"/>
  <c r="H333" i="7"/>
  <c r="G333" i="7"/>
  <c r="I337" i="7"/>
  <c r="I132" i="7"/>
  <c r="F334" i="7"/>
  <c r="C131" i="7"/>
  <c r="B131" i="7"/>
  <c r="A132" i="7"/>
  <c r="J132" i="7" l="1"/>
  <c r="K132" i="7"/>
  <c r="K337" i="7"/>
  <c r="J337" i="7"/>
  <c r="G130" i="7"/>
  <c r="H130" i="7"/>
  <c r="F131" i="7"/>
  <c r="G334" i="7"/>
  <c r="H334" i="7"/>
  <c r="I338" i="7"/>
  <c r="I133" i="7"/>
  <c r="F335" i="7"/>
  <c r="B132" i="7"/>
  <c r="C132" i="7"/>
  <c r="A133" i="7"/>
  <c r="J338" i="7" l="1"/>
  <c r="K338" i="7"/>
  <c r="G131" i="7"/>
  <c r="H131" i="7"/>
  <c r="F132" i="7"/>
  <c r="K133" i="7"/>
  <c r="J133" i="7"/>
  <c r="G335" i="7"/>
  <c r="H335" i="7"/>
  <c r="I339" i="7"/>
  <c r="I134" i="7"/>
  <c r="F336" i="7"/>
  <c r="C133" i="7"/>
  <c r="B133" i="7"/>
  <c r="A134" i="7"/>
  <c r="K134" i="7" l="1"/>
  <c r="J134" i="7"/>
  <c r="K339" i="7"/>
  <c r="J339" i="7"/>
  <c r="H132" i="7"/>
  <c r="G132" i="7"/>
  <c r="F133" i="7"/>
  <c r="G336" i="7"/>
  <c r="H336" i="7"/>
  <c r="I340" i="7"/>
  <c r="I135" i="7"/>
  <c r="F337" i="7"/>
  <c r="B134" i="7"/>
  <c r="C134" i="7"/>
  <c r="A135" i="7"/>
  <c r="J135" i="7" l="1"/>
  <c r="K135" i="7"/>
  <c r="H133" i="7"/>
  <c r="G133" i="7"/>
  <c r="F134" i="7"/>
  <c r="J340" i="7"/>
  <c r="K340" i="7"/>
  <c r="G337" i="7"/>
  <c r="H337" i="7"/>
  <c r="I341" i="7"/>
  <c r="I136" i="7"/>
  <c r="F338" i="7"/>
  <c r="C135" i="7"/>
  <c r="B135" i="7"/>
  <c r="A136" i="7"/>
  <c r="J136" i="7" l="1"/>
  <c r="K136" i="7"/>
  <c r="J341" i="7"/>
  <c r="K341" i="7"/>
  <c r="G134" i="7"/>
  <c r="H134" i="7"/>
  <c r="F135" i="7"/>
  <c r="G338" i="7"/>
  <c r="H338" i="7"/>
  <c r="I342" i="7"/>
  <c r="I137" i="7"/>
  <c r="F339" i="7"/>
  <c r="B136" i="7"/>
  <c r="C136" i="7"/>
  <c r="A137" i="7"/>
  <c r="J342" i="7" l="1"/>
  <c r="K342" i="7"/>
  <c r="G135" i="7"/>
  <c r="H135" i="7"/>
  <c r="F136" i="7"/>
  <c r="J137" i="7"/>
  <c r="K137" i="7"/>
  <c r="H339" i="7"/>
  <c r="G339" i="7"/>
  <c r="I343" i="7"/>
  <c r="I138" i="7"/>
  <c r="F340" i="7"/>
  <c r="C137" i="7"/>
  <c r="B137" i="7"/>
  <c r="A138" i="7"/>
  <c r="J138" i="7" l="1"/>
  <c r="K138" i="7"/>
  <c r="J343" i="7"/>
  <c r="K343" i="7"/>
  <c r="H136" i="7"/>
  <c r="G136" i="7"/>
  <c r="F137" i="7"/>
  <c r="H340" i="7"/>
  <c r="G340" i="7"/>
  <c r="I344" i="7"/>
  <c r="I139" i="7"/>
  <c r="F341" i="7"/>
  <c r="B138" i="7"/>
  <c r="C138" i="7"/>
  <c r="A139" i="7"/>
  <c r="J139" i="7" l="1"/>
  <c r="K139" i="7"/>
  <c r="J344" i="7"/>
  <c r="K344" i="7"/>
  <c r="G137" i="7"/>
  <c r="H137" i="7"/>
  <c r="F138" i="7"/>
  <c r="G341" i="7"/>
  <c r="H341" i="7"/>
  <c r="I345" i="7"/>
  <c r="I140" i="7"/>
  <c r="F342" i="7"/>
  <c r="C139" i="7"/>
  <c r="B139" i="7"/>
  <c r="A140" i="7"/>
  <c r="K140" i="7" l="1"/>
  <c r="J140" i="7"/>
  <c r="J345" i="7"/>
  <c r="K345" i="7"/>
  <c r="G138" i="7"/>
  <c r="H138" i="7"/>
  <c r="F139" i="7"/>
  <c r="H342" i="7"/>
  <c r="G342" i="7"/>
  <c r="I346" i="7"/>
  <c r="I141" i="7"/>
  <c r="F343" i="7"/>
  <c r="B140" i="7"/>
  <c r="C140" i="7"/>
  <c r="A141" i="7"/>
  <c r="K141" i="7" l="1"/>
  <c r="J141" i="7"/>
  <c r="J346" i="7"/>
  <c r="K346" i="7"/>
  <c r="G139" i="7"/>
  <c r="H139" i="7"/>
  <c r="F140" i="7"/>
  <c r="G343" i="7"/>
  <c r="H343" i="7"/>
  <c r="I347" i="7"/>
  <c r="I142" i="7"/>
  <c r="F344" i="7"/>
  <c r="C141" i="7"/>
  <c r="B141" i="7"/>
  <c r="A142" i="7"/>
  <c r="J142" i="7" l="1"/>
  <c r="K142" i="7"/>
  <c r="J347" i="7"/>
  <c r="K347" i="7"/>
  <c r="G140" i="7"/>
  <c r="H140" i="7"/>
  <c r="F141" i="7"/>
  <c r="G344" i="7"/>
  <c r="H344" i="7"/>
  <c r="I348" i="7"/>
  <c r="I143" i="7"/>
  <c r="F345" i="7"/>
  <c r="B142" i="7"/>
  <c r="C142" i="7"/>
  <c r="A143" i="7"/>
  <c r="K348" i="7" l="1"/>
  <c r="J348" i="7"/>
  <c r="H141" i="7"/>
  <c r="G141" i="7"/>
  <c r="F142" i="7"/>
  <c r="J143" i="7"/>
  <c r="K143" i="7"/>
  <c r="H345" i="7"/>
  <c r="G345" i="7"/>
  <c r="I349" i="7"/>
  <c r="I144" i="7"/>
  <c r="F346" i="7"/>
  <c r="C143" i="7"/>
  <c r="B143" i="7"/>
  <c r="A144" i="7"/>
  <c r="K144" i="7" l="1"/>
  <c r="J144" i="7"/>
  <c r="J349" i="7"/>
  <c r="K349" i="7"/>
  <c r="G142" i="7"/>
  <c r="H142" i="7"/>
  <c r="F143" i="7"/>
  <c r="G346" i="7"/>
  <c r="H346" i="7"/>
  <c r="I350" i="7"/>
  <c r="I145" i="7"/>
  <c r="F347" i="7"/>
  <c r="B144" i="7"/>
  <c r="C144" i="7"/>
  <c r="A145" i="7"/>
  <c r="J145" i="7" l="1"/>
  <c r="K145" i="7"/>
  <c r="J350" i="7"/>
  <c r="K350" i="7"/>
  <c r="H143" i="7"/>
  <c r="G143" i="7"/>
  <c r="F144" i="7"/>
  <c r="G347" i="7"/>
  <c r="H347" i="7"/>
  <c r="I351" i="7"/>
  <c r="I146" i="7"/>
  <c r="F348" i="7"/>
  <c r="C145" i="7"/>
  <c r="B145" i="7"/>
  <c r="A146" i="7"/>
  <c r="K351" i="7" l="1"/>
  <c r="J351" i="7"/>
  <c r="G144" i="7"/>
  <c r="H144" i="7"/>
  <c r="F145" i="7"/>
  <c r="J146" i="7"/>
  <c r="K146" i="7"/>
  <c r="G348" i="7"/>
  <c r="H348" i="7"/>
  <c r="I352" i="7"/>
  <c r="I147" i="7"/>
  <c r="F349" i="7"/>
  <c r="B146" i="7"/>
  <c r="C146" i="7"/>
  <c r="A147" i="7"/>
  <c r="J147" i="7" l="1"/>
  <c r="K147" i="7"/>
  <c r="K352" i="7"/>
  <c r="J352" i="7"/>
  <c r="G145" i="7"/>
  <c r="H145" i="7"/>
  <c r="F146" i="7"/>
  <c r="H349" i="7"/>
  <c r="G349" i="7"/>
  <c r="I353" i="7"/>
  <c r="I148" i="7"/>
  <c r="F350" i="7"/>
  <c r="C147" i="7"/>
  <c r="B147" i="7"/>
  <c r="A148" i="7"/>
  <c r="J148" i="7" l="1"/>
  <c r="K148" i="7"/>
  <c r="J353" i="7"/>
  <c r="K353" i="7"/>
  <c r="H146" i="7"/>
  <c r="G146" i="7"/>
  <c r="F147" i="7"/>
  <c r="G350" i="7"/>
  <c r="H350" i="7"/>
  <c r="I354" i="7"/>
  <c r="I149" i="7"/>
  <c r="F351" i="7"/>
  <c r="B148" i="7"/>
  <c r="C148" i="7"/>
  <c r="A149" i="7"/>
  <c r="G147" i="7" l="1"/>
  <c r="H147" i="7"/>
  <c r="F148" i="7"/>
  <c r="K149" i="7"/>
  <c r="J149" i="7"/>
  <c r="J354" i="7"/>
  <c r="K354" i="7"/>
  <c r="H351" i="7"/>
  <c r="G351" i="7"/>
  <c r="I355" i="7"/>
  <c r="I150" i="7"/>
  <c r="F352" i="7"/>
  <c r="C149" i="7"/>
  <c r="B149" i="7"/>
  <c r="A150" i="7"/>
  <c r="J150" i="7" l="1"/>
  <c r="K150" i="7"/>
  <c r="J355" i="7"/>
  <c r="K355" i="7"/>
  <c r="G148" i="7"/>
  <c r="H148" i="7"/>
  <c r="F149" i="7"/>
  <c r="G352" i="7"/>
  <c r="H352" i="7"/>
  <c r="I356" i="7"/>
  <c r="I151" i="7"/>
  <c r="F353" i="7"/>
  <c r="B150" i="7"/>
  <c r="C150" i="7"/>
  <c r="A151" i="7"/>
  <c r="J356" i="7" l="1"/>
  <c r="K356" i="7"/>
  <c r="G149" i="7"/>
  <c r="H149" i="7"/>
  <c r="F150" i="7"/>
  <c r="K151" i="7"/>
  <c r="J151" i="7"/>
  <c r="G353" i="7"/>
  <c r="H353" i="7"/>
  <c r="I357" i="7"/>
  <c r="I152" i="7"/>
  <c r="F354" i="7"/>
  <c r="C151" i="7"/>
  <c r="B151" i="7"/>
  <c r="A152" i="7"/>
  <c r="J152" i="7" l="1"/>
  <c r="K152" i="7"/>
  <c r="K357" i="7"/>
  <c r="J357" i="7"/>
  <c r="G150" i="7"/>
  <c r="H150" i="7"/>
  <c r="F151" i="7"/>
  <c r="G354" i="7"/>
  <c r="H354" i="7"/>
  <c r="I358" i="7"/>
  <c r="I153" i="7"/>
  <c r="F355" i="7"/>
  <c r="B152" i="7"/>
  <c r="C152" i="7"/>
  <c r="A153" i="7"/>
  <c r="J153" i="7" l="1"/>
  <c r="K153" i="7"/>
  <c r="K358" i="7"/>
  <c r="J358" i="7"/>
  <c r="H151" i="7"/>
  <c r="G151" i="7"/>
  <c r="F152" i="7"/>
  <c r="G355" i="7"/>
  <c r="H355" i="7"/>
  <c r="I359" i="7"/>
  <c r="I154" i="7"/>
  <c r="F356" i="7"/>
  <c r="C153" i="7"/>
  <c r="B153" i="7"/>
  <c r="A154" i="7"/>
  <c r="J154" i="7" l="1"/>
  <c r="K154" i="7"/>
  <c r="K359" i="7"/>
  <c r="J359" i="7"/>
  <c r="G152" i="7"/>
  <c r="H152" i="7"/>
  <c r="F153" i="7"/>
  <c r="H356" i="7"/>
  <c r="G356" i="7"/>
  <c r="I360" i="7"/>
  <c r="I155" i="7"/>
  <c r="F357" i="7"/>
  <c r="B154" i="7"/>
  <c r="C154" i="7"/>
  <c r="A155" i="7"/>
  <c r="K155" i="7" l="1"/>
  <c r="J155" i="7"/>
  <c r="J360" i="7"/>
  <c r="K360" i="7"/>
  <c r="G153" i="7"/>
  <c r="H153" i="7"/>
  <c r="F154" i="7"/>
  <c r="G357" i="7"/>
  <c r="H357" i="7"/>
  <c r="I361" i="7"/>
  <c r="I156" i="7"/>
  <c r="F358" i="7"/>
  <c r="C155" i="7"/>
  <c r="B155" i="7"/>
  <c r="A156" i="7"/>
  <c r="J156" i="7" l="1"/>
  <c r="K156" i="7"/>
  <c r="J361" i="7"/>
  <c r="K361" i="7"/>
  <c r="H154" i="7"/>
  <c r="G154" i="7"/>
  <c r="F155" i="7"/>
  <c r="G358" i="7"/>
  <c r="H358" i="7"/>
  <c r="I362" i="7"/>
  <c r="I157" i="7"/>
  <c r="F359" i="7"/>
  <c r="B156" i="7"/>
  <c r="C156" i="7"/>
  <c r="A157" i="7"/>
  <c r="J157" i="7" l="1"/>
  <c r="K157" i="7"/>
  <c r="J362" i="7"/>
  <c r="K362" i="7"/>
  <c r="H155" i="7"/>
  <c r="G155" i="7"/>
  <c r="F156" i="7"/>
  <c r="G359" i="7"/>
  <c r="H359" i="7"/>
  <c r="I363" i="7"/>
  <c r="I158" i="7"/>
  <c r="F360" i="7"/>
  <c r="C157" i="7"/>
  <c r="B157" i="7"/>
  <c r="A158" i="7"/>
  <c r="J158" i="7" l="1"/>
  <c r="K158" i="7"/>
  <c r="K363" i="7"/>
  <c r="J363" i="7"/>
  <c r="G156" i="7"/>
  <c r="H156" i="7"/>
  <c r="F157" i="7"/>
  <c r="G360" i="7"/>
  <c r="H360" i="7"/>
  <c r="I364" i="7"/>
  <c r="I159" i="7"/>
  <c r="F361" i="7"/>
  <c r="B158" i="7"/>
  <c r="C158" i="7"/>
  <c r="A159" i="7"/>
  <c r="J364" i="7" l="1"/>
  <c r="K364" i="7"/>
  <c r="H157" i="7"/>
  <c r="G157" i="7"/>
  <c r="F158" i="7"/>
  <c r="J159" i="7"/>
  <c r="K159" i="7"/>
  <c r="G361" i="7"/>
  <c r="H361" i="7"/>
  <c r="I365" i="7"/>
  <c r="I160" i="7"/>
  <c r="F362" i="7"/>
  <c r="C159" i="7"/>
  <c r="B159" i="7"/>
  <c r="A160" i="7"/>
  <c r="J160" i="7" l="1"/>
  <c r="K160" i="7"/>
  <c r="J365" i="7"/>
  <c r="K365" i="7"/>
  <c r="H158" i="7"/>
  <c r="G158" i="7"/>
  <c r="F159" i="7"/>
  <c r="H362" i="7"/>
  <c r="G362" i="7"/>
  <c r="I366" i="7"/>
  <c r="I161" i="7"/>
  <c r="F363" i="7"/>
  <c r="B160" i="7"/>
  <c r="C160" i="7"/>
  <c r="A161" i="7"/>
  <c r="K366" i="7" l="1"/>
  <c r="J366" i="7"/>
  <c r="H159" i="7"/>
  <c r="G159" i="7"/>
  <c r="F160" i="7"/>
  <c r="J161" i="7"/>
  <c r="K161" i="7"/>
  <c r="G363" i="7"/>
  <c r="H363" i="7"/>
  <c r="I367" i="7"/>
  <c r="I162" i="7"/>
  <c r="F364" i="7"/>
  <c r="C161" i="7"/>
  <c r="B161" i="7"/>
  <c r="A162" i="7"/>
  <c r="J162" i="7" l="1"/>
  <c r="K162" i="7"/>
  <c r="J367" i="7"/>
  <c r="K367" i="7"/>
  <c r="G160" i="7"/>
  <c r="H160" i="7"/>
  <c r="F161" i="7"/>
  <c r="G364" i="7"/>
  <c r="H364" i="7"/>
  <c r="I368" i="7"/>
  <c r="I163" i="7"/>
  <c r="F365" i="7"/>
  <c r="B162" i="7"/>
  <c r="C162" i="7"/>
  <c r="A163" i="7"/>
  <c r="K368" i="7" l="1"/>
  <c r="J368" i="7"/>
  <c r="H161" i="7"/>
  <c r="G161" i="7"/>
  <c r="F162" i="7"/>
  <c r="K163" i="7"/>
  <c r="J163" i="7"/>
  <c r="G365" i="7"/>
  <c r="H365" i="7"/>
  <c r="I369" i="7"/>
  <c r="I164" i="7"/>
  <c r="F366" i="7"/>
  <c r="C163" i="7"/>
  <c r="B163" i="7"/>
  <c r="A164" i="7"/>
  <c r="J164" i="7" l="1"/>
  <c r="K164" i="7"/>
  <c r="J369" i="7"/>
  <c r="K369" i="7"/>
  <c r="G162" i="7"/>
  <c r="H162" i="7"/>
  <c r="F163" i="7"/>
  <c r="G366" i="7"/>
  <c r="H366" i="7"/>
  <c r="I370" i="7"/>
  <c r="I165" i="7"/>
  <c r="F367" i="7"/>
  <c r="B164" i="7"/>
  <c r="C164" i="7"/>
  <c r="A165" i="7"/>
  <c r="K370" i="7" l="1"/>
  <c r="J370" i="7"/>
  <c r="G163" i="7"/>
  <c r="H163" i="7"/>
  <c r="F164" i="7"/>
  <c r="K165" i="7"/>
  <c r="J165" i="7"/>
  <c r="H367" i="7"/>
  <c r="G367" i="7"/>
  <c r="I371" i="7"/>
  <c r="I166" i="7"/>
  <c r="F368" i="7"/>
  <c r="C165" i="7"/>
  <c r="B165" i="7"/>
  <c r="A166" i="7"/>
  <c r="K166" i="7" l="1"/>
  <c r="J166" i="7"/>
  <c r="J371" i="7"/>
  <c r="K371" i="7"/>
  <c r="G164" i="7"/>
  <c r="H164" i="7"/>
  <c r="F165" i="7"/>
  <c r="G368" i="7"/>
  <c r="H368" i="7"/>
  <c r="I372" i="7"/>
  <c r="I167" i="7"/>
  <c r="F369" i="7"/>
  <c r="C166" i="7"/>
  <c r="B166" i="7"/>
  <c r="A167" i="7"/>
  <c r="J372" i="7" l="1"/>
  <c r="K372" i="7"/>
  <c r="H165" i="7"/>
  <c r="G165" i="7"/>
  <c r="F166" i="7"/>
  <c r="J167" i="7"/>
  <c r="K167" i="7"/>
  <c r="G369" i="7"/>
  <c r="H369" i="7"/>
  <c r="I373" i="7"/>
  <c r="I168" i="7"/>
  <c r="F370" i="7"/>
  <c r="C167" i="7"/>
  <c r="B167" i="7"/>
  <c r="A168" i="7"/>
  <c r="J168" i="7" l="1"/>
  <c r="K168" i="7"/>
  <c r="J373" i="7"/>
  <c r="K373" i="7"/>
  <c r="H166" i="7"/>
  <c r="G166" i="7"/>
  <c r="F167" i="7"/>
  <c r="G370" i="7"/>
  <c r="H370" i="7"/>
  <c r="I374" i="7"/>
  <c r="I169" i="7"/>
  <c r="F371" i="7"/>
  <c r="B168" i="7"/>
  <c r="C168" i="7"/>
  <c r="A169" i="7"/>
  <c r="J169" i="7" l="1"/>
  <c r="K169" i="7"/>
  <c r="J374" i="7"/>
  <c r="K374" i="7"/>
  <c r="H167" i="7"/>
  <c r="G167" i="7"/>
  <c r="F168" i="7"/>
  <c r="H371" i="7"/>
  <c r="G371" i="7"/>
  <c r="I375" i="7"/>
  <c r="I170" i="7"/>
  <c r="F372" i="7"/>
  <c r="C169" i="7"/>
  <c r="B169" i="7"/>
  <c r="A170" i="7"/>
  <c r="J375" i="7" l="1"/>
  <c r="K375" i="7"/>
  <c r="G168" i="7"/>
  <c r="H168" i="7"/>
  <c r="F169" i="7"/>
  <c r="K170" i="7"/>
  <c r="J170" i="7"/>
  <c r="G372" i="7"/>
  <c r="H372" i="7"/>
  <c r="I376" i="7"/>
  <c r="I171" i="7"/>
  <c r="F373" i="7"/>
  <c r="B170" i="7"/>
  <c r="C170" i="7"/>
  <c r="A171" i="7"/>
  <c r="J171" i="7" l="1"/>
  <c r="K171" i="7"/>
  <c r="J376" i="7"/>
  <c r="K376" i="7"/>
  <c r="G169" i="7"/>
  <c r="H169" i="7"/>
  <c r="F170" i="7"/>
  <c r="H373" i="7"/>
  <c r="G373" i="7"/>
  <c r="I377" i="7"/>
  <c r="I172" i="7"/>
  <c r="F374" i="7"/>
  <c r="C171" i="7"/>
  <c r="B171" i="7"/>
  <c r="A172" i="7"/>
  <c r="J172" i="7" l="1"/>
  <c r="K172" i="7"/>
  <c r="J377" i="7"/>
  <c r="K377" i="7"/>
  <c r="G170" i="7"/>
  <c r="H170" i="7"/>
  <c r="F171" i="7"/>
  <c r="G374" i="7"/>
  <c r="H374" i="7"/>
  <c r="I378" i="7"/>
  <c r="I173" i="7"/>
  <c r="F375" i="7"/>
  <c r="C172" i="7"/>
  <c r="B172" i="7"/>
  <c r="A173" i="7"/>
  <c r="J173" i="7" l="1"/>
  <c r="K173" i="7"/>
  <c r="J378" i="7"/>
  <c r="K378" i="7"/>
  <c r="G171" i="7"/>
  <c r="H171" i="7"/>
  <c r="F172" i="7"/>
  <c r="G375" i="7"/>
  <c r="H375" i="7"/>
  <c r="I379" i="7"/>
  <c r="I174" i="7"/>
  <c r="F376" i="7"/>
  <c r="C173" i="7"/>
  <c r="B173" i="7"/>
  <c r="A174" i="7"/>
  <c r="K379" i="7" l="1"/>
  <c r="J379" i="7"/>
  <c r="G172" i="7"/>
  <c r="H172" i="7"/>
  <c r="F173" i="7"/>
  <c r="J174" i="7"/>
  <c r="K174" i="7"/>
  <c r="G376" i="7"/>
  <c r="H376" i="7"/>
  <c r="I380" i="7"/>
  <c r="I175" i="7"/>
  <c r="F377" i="7"/>
  <c r="B174" i="7"/>
  <c r="C174" i="7"/>
  <c r="A175" i="7"/>
  <c r="K175" i="7" l="1"/>
  <c r="J175" i="7"/>
  <c r="J380" i="7"/>
  <c r="K380" i="7"/>
  <c r="H173" i="7"/>
  <c r="G173" i="7"/>
  <c r="F174" i="7"/>
  <c r="G377" i="7"/>
  <c r="H377" i="7"/>
  <c r="I381" i="7"/>
  <c r="I176" i="7"/>
  <c r="F378" i="7"/>
  <c r="C175" i="7"/>
  <c r="B175" i="7"/>
  <c r="A176" i="7"/>
  <c r="J176" i="7" l="1"/>
  <c r="K176" i="7"/>
  <c r="G174" i="7"/>
  <c r="H174" i="7"/>
  <c r="F175" i="7"/>
  <c r="K381" i="7"/>
  <c r="J381" i="7"/>
  <c r="G378" i="7"/>
  <c r="H378" i="7"/>
  <c r="I382" i="7"/>
  <c r="I177" i="7"/>
  <c r="F379" i="7"/>
  <c r="B176" i="7"/>
  <c r="C176" i="7"/>
  <c r="A177" i="7"/>
  <c r="K177" i="7" l="1"/>
  <c r="J177" i="7"/>
  <c r="J382" i="7"/>
  <c r="K382" i="7"/>
  <c r="G175" i="7"/>
  <c r="H175" i="7"/>
  <c r="F176" i="7"/>
  <c r="G379" i="7"/>
  <c r="H379" i="7"/>
  <c r="I383" i="7"/>
  <c r="I178" i="7"/>
  <c r="F380" i="7"/>
  <c r="C177" i="7"/>
  <c r="B177" i="7"/>
  <c r="A178" i="7"/>
  <c r="K178" i="7" l="1"/>
  <c r="J178" i="7"/>
  <c r="J383" i="7"/>
  <c r="K383" i="7"/>
  <c r="H176" i="7"/>
  <c r="G176" i="7"/>
  <c r="F177" i="7"/>
  <c r="G380" i="7"/>
  <c r="H380" i="7"/>
  <c r="I384" i="7"/>
  <c r="I179" i="7"/>
  <c r="F381" i="7"/>
  <c r="B178" i="7"/>
  <c r="C178" i="7"/>
  <c r="A179" i="7"/>
  <c r="G177" i="7" l="1"/>
  <c r="H177" i="7"/>
  <c r="F178" i="7"/>
  <c r="J179" i="7"/>
  <c r="K179" i="7"/>
  <c r="K384" i="7"/>
  <c r="J384" i="7"/>
  <c r="H381" i="7"/>
  <c r="G381" i="7"/>
  <c r="I385" i="7"/>
  <c r="I180" i="7"/>
  <c r="F382" i="7"/>
  <c r="C179" i="7"/>
  <c r="B179" i="7"/>
  <c r="A180" i="7"/>
  <c r="J180" i="7" l="1"/>
  <c r="K180" i="7"/>
  <c r="J385" i="7"/>
  <c r="K385" i="7"/>
  <c r="G178" i="7"/>
  <c r="H178" i="7"/>
  <c r="F179" i="7"/>
  <c r="G382" i="7"/>
  <c r="H382" i="7"/>
  <c r="I386" i="7"/>
  <c r="I181" i="7"/>
  <c r="F383" i="7"/>
  <c r="C180" i="7"/>
  <c r="B180" i="7"/>
  <c r="A181" i="7"/>
  <c r="K181" i="7" l="1"/>
  <c r="J181" i="7"/>
  <c r="J386" i="7"/>
  <c r="K386" i="7"/>
  <c r="H179" i="7"/>
  <c r="G179" i="7"/>
  <c r="F180" i="7"/>
  <c r="G383" i="7"/>
  <c r="H383" i="7"/>
  <c r="I387" i="7"/>
  <c r="I182" i="7"/>
  <c r="F384" i="7"/>
  <c r="C181" i="7"/>
  <c r="B181" i="7"/>
  <c r="A182" i="7"/>
  <c r="K182" i="7" l="1"/>
  <c r="J182" i="7"/>
  <c r="G180" i="7"/>
  <c r="H180" i="7"/>
  <c r="F181" i="7"/>
  <c r="J387" i="7"/>
  <c r="K387" i="7"/>
  <c r="H384" i="7"/>
  <c r="G384" i="7"/>
  <c r="I388" i="7"/>
  <c r="I183" i="7"/>
  <c r="F385" i="7"/>
  <c r="B182" i="7"/>
  <c r="C182" i="7"/>
  <c r="A183" i="7"/>
  <c r="J183" i="7" l="1"/>
  <c r="K183" i="7"/>
  <c r="J388" i="7"/>
  <c r="K388" i="7"/>
  <c r="G181" i="7"/>
  <c r="H181" i="7"/>
  <c r="F182" i="7"/>
  <c r="G385" i="7"/>
  <c r="H385" i="7"/>
  <c r="I389" i="7"/>
  <c r="I184" i="7"/>
  <c r="F386" i="7"/>
  <c r="C183" i="7"/>
  <c r="B183" i="7"/>
  <c r="A184" i="7"/>
  <c r="J389" i="7" l="1"/>
  <c r="K389" i="7"/>
  <c r="G182" i="7"/>
  <c r="H182" i="7"/>
  <c r="F183" i="7"/>
  <c r="K184" i="7"/>
  <c r="J184" i="7"/>
  <c r="H386" i="7"/>
  <c r="G386" i="7"/>
  <c r="I390" i="7"/>
  <c r="I185" i="7"/>
  <c r="F387" i="7"/>
  <c r="B184" i="7"/>
  <c r="C184" i="7"/>
  <c r="A185" i="7"/>
  <c r="K390" i="7" l="1"/>
  <c r="J390" i="7"/>
  <c r="J185" i="7"/>
  <c r="K185" i="7"/>
  <c r="G183" i="7"/>
  <c r="H183" i="7"/>
  <c r="F184" i="7"/>
  <c r="G387" i="7"/>
  <c r="H387" i="7"/>
  <c r="I391" i="7"/>
  <c r="I186" i="7"/>
  <c r="F388" i="7"/>
  <c r="C185" i="7"/>
  <c r="B185" i="7"/>
  <c r="A186" i="7"/>
  <c r="K186" i="7" l="1"/>
  <c r="J186" i="7"/>
  <c r="G184" i="7"/>
  <c r="H184" i="7"/>
  <c r="F185" i="7"/>
  <c r="J391" i="7"/>
  <c r="K391" i="7"/>
  <c r="G388" i="7"/>
  <c r="H388" i="7"/>
  <c r="I392" i="7"/>
  <c r="I187" i="7"/>
  <c r="F389" i="7"/>
  <c r="B186" i="7"/>
  <c r="C186" i="7"/>
  <c r="A187" i="7"/>
  <c r="J187" i="7" l="1"/>
  <c r="K187" i="7"/>
  <c r="K392" i="7"/>
  <c r="J392" i="7"/>
  <c r="H185" i="7"/>
  <c r="G185" i="7"/>
  <c r="F186" i="7"/>
  <c r="H389" i="7"/>
  <c r="G389" i="7"/>
  <c r="I393" i="7"/>
  <c r="I188" i="7"/>
  <c r="F390" i="7"/>
  <c r="C187" i="7"/>
  <c r="B187" i="7"/>
  <c r="A188" i="7"/>
  <c r="K188" i="7" l="1"/>
  <c r="J188" i="7"/>
  <c r="J393" i="7"/>
  <c r="K393" i="7"/>
  <c r="H186" i="7"/>
  <c r="G186" i="7"/>
  <c r="F187" i="7"/>
  <c r="G390" i="7"/>
  <c r="H390" i="7"/>
  <c r="I394" i="7"/>
  <c r="I189" i="7"/>
  <c r="F391" i="7"/>
  <c r="C188" i="7"/>
  <c r="B188" i="7"/>
  <c r="A189" i="7"/>
  <c r="J394" i="7" l="1"/>
  <c r="K394" i="7"/>
  <c r="H187" i="7"/>
  <c r="G187" i="7"/>
  <c r="F188" i="7"/>
  <c r="J189" i="7"/>
  <c r="K189" i="7"/>
  <c r="G391" i="7"/>
  <c r="H391" i="7"/>
  <c r="I395" i="7"/>
  <c r="I190" i="7"/>
  <c r="F392" i="7"/>
  <c r="C189" i="7"/>
  <c r="B189" i="7"/>
  <c r="A190" i="7"/>
  <c r="J395" i="7" l="1"/>
  <c r="K395" i="7"/>
  <c r="K190" i="7"/>
  <c r="J190" i="7"/>
  <c r="H188" i="7"/>
  <c r="G188" i="7"/>
  <c r="F189" i="7"/>
  <c r="G392" i="7"/>
  <c r="H392" i="7"/>
  <c r="I396" i="7"/>
  <c r="I191" i="7"/>
  <c r="F393" i="7"/>
  <c r="B190" i="7"/>
  <c r="C190" i="7"/>
  <c r="A191" i="7"/>
  <c r="J191" i="7" l="1"/>
  <c r="K191" i="7"/>
  <c r="J396" i="7"/>
  <c r="K396" i="7"/>
  <c r="H189" i="7"/>
  <c r="G189" i="7"/>
  <c r="F190" i="7"/>
  <c r="H393" i="7"/>
  <c r="G393" i="7"/>
  <c r="I397" i="7"/>
  <c r="I192" i="7"/>
  <c r="F394" i="7"/>
  <c r="C191" i="7"/>
  <c r="B191" i="7"/>
  <c r="A192" i="7"/>
  <c r="J397" i="7" l="1"/>
  <c r="K397" i="7"/>
  <c r="H190" i="7"/>
  <c r="G190" i="7"/>
  <c r="F191" i="7"/>
  <c r="J192" i="7"/>
  <c r="K192" i="7"/>
  <c r="G394" i="7"/>
  <c r="H394" i="7"/>
  <c r="I398" i="7"/>
  <c r="I193" i="7"/>
  <c r="F395" i="7"/>
  <c r="B192" i="7"/>
  <c r="C192" i="7"/>
  <c r="A193" i="7"/>
  <c r="K193" i="7" l="1"/>
  <c r="J193" i="7"/>
  <c r="J398" i="7"/>
  <c r="K398" i="7"/>
  <c r="H191" i="7"/>
  <c r="G191" i="7"/>
  <c r="F192" i="7"/>
  <c r="H395" i="7"/>
  <c r="G395" i="7"/>
  <c r="I399" i="7"/>
  <c r="I194" i="7"/>
  <c r="F396" i="7"/>
  <c r="C193" i="7"/>
  <c r="B193" i="7"/>
  <c r="A194" i="7"/>
  <c r="J194" i="7" l="1"/>
  <c r="K194" i="7"/>
  <c r="J399" i="7"/>
  <c r="K399" i="7"/>
  <c r="G192" i="7"/>
  <c r="H192" i="7"/>
  <c r="F193" i="7"/>
  <c r="G396" i="7"/>
  <c r="H396" i="7"/>
  <c r="I400" i="7"/>
  <c r="I195" i="7"/>
  <c r="F397" i="7"/>
  <c r="B194" i="7"/>
  <c r="C194" i="7"/>
  <c r="A195" i="7"/>
  <c r="J400" i="7" l="1"/>
  <c r="K400" i="7"/>
  <c r="G193" i="7"/>
  <c r="H193" i="7"/>
  <c r="F194" i="7"/>
  <c r="J195" i="7"/>
  <c r="K195" i="7"/>
  <c r="H397" i="7"/>
  <c r="G397" i="7"/>
  <c r="I401" i="7"/>
  <c r="I196" i="7"/>
  <c r="F398" i="7"/>
  <c r="C195" i="7"/>
  <c r="B195" i="7"/>
  <c r="A196" i="7"/>
  <c r="K196" i="7" l="1"/>
  <c r="J196" i="7"/>
  <c r="K401" i="7"/>
  <c r="J401" i="7"/>
  <c r="G194" i="7"/>
  <c r="H194" i="7"/>
  <c r="F195" i="7"/>
  <c r="H398" i="7"/>
  <c r="G398" i="7"/>
  <c r="I402" i="7"/>
  <c r="I197" i="7"/>
  <c r="F399" i="7"/>
  <c r="C196" i="7"/>
  <c r="B196" i="7"/>
  <c r="A197" i="7"/>
  <c r="J197" i="7" l="1"/>
  <c r="K197" i="7"/>
  <c r="J402" i="7"/>
  <c r="K402" i="7"/>
  <c r="G195" i="7"/>
  <c r="H195" i="7"/>
  <c r="F196" i="7"/>
  <c r="G399" i="7"/>
  <c r="H399" i="7"/>
  <c r="I403" i="7"/>
  <c r="I198" i="7"/>
  <c r="F400" i="7"/>
  <c r="C197" i="7"/>
  <c r="B197" i="7"/>
  <c r="A198" i="7"/>
  <c r="J198" i="7" l="1"/>
  <c r="K198" i="7"/>
  <c r="K403" i="7"/>
  <c r="J403" i="7"/>
  <c r="G196" i="7"/>
  <c r="H196" i="7"/>
  <c r="F197" i="7"/>
  <c r="G400" i="7"/>
  <c r="H400" i="7"/>
  <c r="I404" i="7"/>
  <c r="I199" i="7"/>
  <c r="F401" i="7"/>
  <c r="B198" i="7"/>
  <c r="C198" i="7"/>
  <c r="A199" i="7"/>
  <c r="J404" i="7" l="1"/>
  <c r="K404" i="7"/>
  <c r="H197" i="7"/>
  <c r="G197" i="7"/>
  <c r="F198" i="7"/>
  <c r="K199" i="7"/>
  <c r="J199" i="7"/>
  <c r="G401" i="7"/>
  <c r="H401" i="7"/>
  <c r="I405" i="7"/>
  <c r="I200" i="7"/>
  <c r="F402" i="7"/>
  <c r="C199" i="7"/>
  <c r="B199" i="7"/>
  <c r="A200" i="7"/>
  <c r="K200" i="7" l="1"/>
  <c r="J200" i="7"/>
  <c r="K405" i="7"/>
  <c r="J405" i="7"/>
  <c r="H198" i="7"/>
  <c r="G198" i="7"/>
  <c r="F199" i="7"/>
  <c r="G402" i="7"/>
  <c r="H402" i="7"/>
  <c r="I406" i="7"/>
  <c r="I201" i="7"/>
  <c r="F403" i="7"/>
  <c r="B200" i="7"/>
  <c r="C200" i="7"/>
  <c r="A201" i="7"/>
  <c r="K406" i="7" l="1"/>
  <c r="J406" i="7"/>
  <c r="G199" i="7"/>
  <c r="H199" i="7"/>
  <c r="F200" i="7"/>
  <c r="J201" i="7"/>
  <c r="K201" i="7"/>
  <c r="G403" i="7"/>
  <c r="H403" i="7"/>
  <c r="I407" i="7"/>
  <c r="I202" i="7"/>
  <c r="F404" i="7"/>
  <c r="C201" i="7"/>
  <c r="B201" i="7"/>
  <c r="A202" i="7"/>
  <c r="J407" i="7" l="1"/>
  <c r="K407" i="7"/>
  <c r="K202" i="7"/>
  <c r="J202" i="7"/>
  <c r="G200" i="7"/>
  <c r="H200" i="7"/>
  <c r="F201" i="7"/>
  <c r="G404" i="7"/>
  <c r="H404" i="7"/>
  <c r="I408" i="7"/>
  <c r="I203" i="7"/>
  <c r="F405" i="7"/>
  <c r="B202" i="7"/>
  <c r="C202" i="7"/>
  <c r="A203" i="7"/>
  <c r="J203" i="7" l="1"/>
  <c r="K203" i="7"/>
  <c r="G201" i="7"/>
  <c r="H201" i="7"/>
  <c r="F202" i="7"/>
  <c r="J408" i="7"/>
  <c r="K408" i="7"/>
  <c r="G405" i="7"/>
  <c r="H405" i="7"/>
  <c r="I409" i="7"/>
  <c r="I204" i="7"/>
  <c r="F406" i="7"/>
  <c r="C203" i="7"/>
  <c r="B203" i="7"/>
  <c r="A204" i="7"/>
  <c r="J204" i="7" l="1"/>
  <c r="K204" i="7"/>
  <c r="J409" i="7"/>
  <c r="K409" i="7"/>
  <c r="G202" i="7"/>
  <c r="H202" i="7"/>
  <c r="F203" i="7"/>
  <c r="H406" i="7"/>
  <c r="G406" i="7"/>
  <c r="F407" i="7"/>
  <c r="C204" i="7"/>
  <c r="B204" i="7"/>
  <c r="A205" i="7"/>
  <c r="G407" i="7" l="1"/>
  <c r="H407" i="7"/>
  <c r="H203" i="7"/>
  <c r="G203" i="7"/>
  <c r="F204" i="7"/>
  <c r="F408" i="7"/>
  <c r="C205" i="7"/>
  <c r="B205" i="7"/>
  <c r="A206" i="7"/>
  <c r="H408" i="7" l="1"/>
  <c r="G408" i="7"/>
  <c r="G204" i="7"/>
  <c r="H204" i="7"/>
  <c r="F409" i="7"/>
  <c r="B206" i="7"/>
  <c r="C206" i="7"/>
  <c r="A207" i="7"/>
  <c r="G409" i="7" l="1"/>
  <c r="H409" i="7"/>
  <c r="C207" i="7"/>
  <c r="B207" i="7"/>
  <c r="A208" i="7"/>
  <c r="B208" i="7" l="1"/>
  <c r="C208" i="7"/>
  <c r="A209" i="7"/>
  <c r="C209" i="7" l="1"/>
  <c r="B209" i="7"/>
  <c r="A210" i="7"/>
  <c r="B210" i="7" l="1"/>
  <c r="C210" i="7"/>
  <c r="A211" i="7"/>
  <c r="C211" i="7" l="1"/>
  <c r="B211" i="7"/>
  <c r="A212" i="7"/>
  <c r="C212" i="7" l="1"/>
  <c r="B212" i="7"/>
  <c r="A213" i="7"/>
  <c r="C213" i="7" l="1"/>
  <c r="B213" i="7"/>
  <c r="A214" i="7"/>
  <c r="B214" i="7" l="1"/>
  <c r="C214" i="7"/>
  <c r="A215" i="7"/>
  <c r="C215" i="7" l="1"/>
  <c r="B215" i="7"/>
  <c r="A216" i="7"/>
  <c r="B216" i="7" l="1"/>
  <c r="C216" i="7"/>
  <c r="A217" i="7"/>
  <c r="C217" i="7" l="1"/>
  <c r="B217" i="7"/>
  <c r="A218" i="7"/>
  <c r="B218" i="7" l="1"/>
  <c r="C218" i="7"/>
  <c r="A219" i="7"/>
  <c r="C219" i="7" l="1"/>
  <c r="B219" i="7"/>
  <c r="A220" i="7"/>
  <c r="C220" i="7" l="1"/>
  <c r="B220" i="7"/>
  <c r="A221" i="7"/>
  <c r="C221" i="7" l="1"/>
  <c r="B221" i="7"/>
  <c r="A222" i="7"/>
  <c r="B222" i="7" l="1"/>
  <c r="C222" i="7"/>
  <c r="A223" i="7"/>
  <c r="C223" i="7" l="1"/>
  <c r="B223" i="7"/>
  <c r="A224" i="7"/>
  <c r="B224" i="7" l="1"/>
  <c r="C224" i="7"/>
  <c r="A225" i="7"/>
  <c r="C225" i="7" l="1"/>
  <c r="B225" i="7"/>
  <c r="A226" i="7"/>
  <c r="B226" i="7" l="1"/>
  <c r="C226" i="7"/>
  <c r="A227" i="7"/>
  <c r="C227" i="7" l="1"/>
  <c r="B227" i="7"/>
  <c r="A228" i="7"/>
  <c r="C228" i="7" l="1"/>
  <c r="B228" i="7"/>
  <c r="A229" i="7"/>
  <c r="C229" i="7" l="1"/>
  <c r="B229" i="7"/>
  <c r="A230" i="7"/>
  <c r="B230" i="7" l="1"/>
  <c r="C230" i="7"/>
  <c r="A231" i="7"/>
  <c r="C231" i="7" l="1"/>
  <c r="B231" i="7"/>
  <c r="A232" i="7"/>
  <c r="B232" i="7" l="1"/>
  <c r="C232" i="7"/>
  <c r="A233" i="7"/>
  <c r="C233" i="7" l="1"/>
  <c r="B233" i="7"/>
  <c r="A234" i="7"/>
  <c r="B234" i="7" l="1"/>
  <c r="C234" i="7"/>
  <c r="A235" i="7"/>
  <c r="C235" i="7" l="1"/>
  <c r="B235" i="7"/>
  <c r="A236" i="7"/>
  <c r="C236" i="7" l="1"/>
  <c r="B236" i="7"/>
  <c r="A237" i="7"/>
  <c r="C237" i="7" l="1"/>
  <c r="B237" i="7"/>
  <c r="A238" i="7"/>
  <c r="B238" i="7" l="1"/>
  <c r="C238" i="7"/>
  <c r="A239" i="7"/>
  <c r="C239" i="7" l="1"/>
  <c r="B239" i="7"/>
  <c r="A240" i="7"/>
  <c r="C240" i="7" l="1"/>
  <c r="B240" i="7"/>
  <c r="A241" i="7"/>
  <c r="C241" i="7" l="1"/>
  <c r="B241" i="7"/>
  <c r="A242" i="7"/>
  <c r="B242" i="7" l="1"/>
  <c r="C242" i="7"/>
  <c r="A243" i="7"/>
  <c r="C243" i="7" l="1"/>
  <c r="B243" i="7"/>
  <c r="A244" i="7"/>
  <c r="C244" i="7" l="1"/>
  <c r="B244" i="7"/>
  <c r="A245" i="7"/>
  <c r="C245" i="7" l="1"/>
  <c r="B245" i="7"/>
  <c r="A246" i="7"/>
  <c r="B246" i="7" l="1"/>
  <c r="C246" i="7"/>
  <c r="A247" i="7"/>
  <c r="C247" i="7" l="1"/>
  <c r="B247" i="7"/>
  <c r="A248" i="7"/>
  <c r="C248" i="7" l="1"/>
  <c r="B248" i="7"/>
  <c r="A249" i="7"/>
  <c r="C249" i="7" l="1"/>
  <c r="B249" i="7"/>
  <c r="A250" i="7"/>
  <c r="B250" i="7" l="1"/>
  <c r="C250" i="7"/>
  <c r="A251" i="7"/>
  <c r="B251" i="7" l="1"/>
  <c r="C251" i="7"/>
  <c r="A252" i="7"/>
  <c r="B252" i="7" l="1"/>
  <c r="C252" i="7"/>
  <c r="A253" i="7"/>
  <c r="B253" i="7" l="1"/>
  <c r="C253" i="7"/>
  <c r="A254" i="7"/>
  <c r="B254" i="7" l="1"/>
  <c r="C254" i="7"/>
  <c r="A255" i="7"/>
  <c r="B255" i="7" l="1"/>
  <c r="C255" i="7"/>
  <c r="A256" i="7"/>
  <c r="B256" i="7" l="1"/>
  <c r="C256" i="7"/>
  <c r="A257" i="7"/>
  <c r="B257" i="7" l="1"/>
  <c r="C257" i="7"/>
  <c r="A258" i="7"/>
  <c r="B258" i="7" l="1"/>
  <c r="C258" i="7"/>
  <c r="A259" i="7"/>
  <c r="B259" i="7" l="1"/>
  <c r="C259" i="7"/>
  <c r="A260" i="7"/>
  <c r="B260" i="7" l="1"/>
  <c r="C260" i="7"/>
  <c r="A261" i="7"/>
  <c r="C261" i="7" l="1"/>
  <c r="B261" i="7"/>
  <c r="A262" i="7"/>
  <c r="B262" i="7" l="1"/>
  <c r="C262" i="7"/>
  <c r="A263" i="7"/>
  <c r="B263" i="7" l="1"/>
  <c r="C263" i="7"/>
  <c r="A264" i="7"/>
  <c r="B264" i="7" l="1"/>
  <c r="C264" i="7"/>
  <c r="A265" i="7"/>
  <c r="B265" i="7" l="1"/>
  <c r="C265" i="7"/>
  <c r="A266" i="7"/>
  <c r="B266" i="7" l="1"/>
  <c r="C266" i="7"/>
  <c r="A267" i="7"/>
  <c r="B267" i="7" l="1"/>
  <c r="C267" i="7"/>
  <c r="A268" i="7"/>
  <c r="B268" i="7" l="1"/>
  <c r="C268" i="7"/>
  <c r="A269" i="7"/>
  <c r="C269" i="7" l="1"/>
  <c r="B269" i="7"/>
  <c r="A270" i="7"/>
  <c r="B270" i="7" l="1"/>
  <c r="C270" i="7"/>
  <c r="A271" i="7"/>
  <c r="B271" i="7" l="1"/>
  <c r="C271" i="7"/>
  <c r="A272" i="7"/>
  <c r="B272" i="7" l="1"/>
  <c r="C272" i="7"/>
  <c r="A273" i="7"/>
  <c r="B273" i="7" l="1"/>
  <c r="C273" i="7"/>
  <c r="A274" i="7"/>
  <c r="B274" i="7" l="1"/>
  <c r="C274" i="7"/>
  <c r="A275" i="7"/>
  <c r="B275" i="7" l="1"/>
  <c r="C275" i="7"/>
  <c r="A276" i="7"/>
  <c r="B276" i="7" l="1"/>
  <c r="C276" i="7"/>
  <c r="A277" i="7"/>
  <c r="C277" i="7" l="1"/>
  <c r="B277" i="7"/>
  <c r="A278" i="7"/>
  <c r="B278" i="7" l="1"/>
  <c r="C278" i="7"/>
  <c r="A279" i="7"/>
  <c r="B279" i="7" l="1"/>
  <c r="C279" i="7"/>
  <c r="A280" i="7"/>
  <c r="B280" i="7" l="1"/>
  <c r="C280" i="7"/>
  <c r="A281" i="7"/>
  <c r="B281" i="7" l="1"/>
  <c r="C281" i="7"/>
  <c r="A282" i="7"/>
  <c r="B282" i="7" l="1"/>
  <c r="C282" i="7"/>
  <c r="A283" i="7"/>
  <c r="B283" i="7" l="1"/>
  <c r="C283" i="7"/>
  <c r="A284" i="7"/>
  <c r="B284" i="7" l="1"/>
  <c r="C284" i="7"/>
  <c r="A285" i="7"/>
  <c r="C285" i="7" l="1"/>
  <c r="B285" i="7"/>
  <c r="A286" i="7"/>
  <c r="B286" i="7" l="1"/>
  <c r="C286" i="7"/>
  <c r="A287" i="7"/>
  <c r="B287" i="7" l="1"/>
  <c r="C287" i="7"/>
  <c r="A288" i="7"/>
  <c r="B288" i="7" l="1"/>
  <c r="C288" i="7"/>
  <c r="A289" i="7"/>
  <c r="B289" i="7" l="1"/>
  <c r="C289" i="7"/>
  <c r="A290" i="7"/>
  <c r="B290" i="7" l="1"/>
  <c r="C290" i="7"/>
  <c r="A291" i="7"/>
  <c r="B291" i="7" l="1"/>
  <c r="C291" i="7"/>
  <c r="A292" i="7"/>
  <c r="B292" i="7" l="1"/>
  <c r="C292" i="7"/>
  <c r="A293" i="7"/>
  <c r="C293" i="7" l="1"/>
  <c r="B293" i="7"/>
  <c r="A294" i="7"/>
  <c r="B294" i="7" l="1"/>
  <c r="C294" i="7"/>
  <c r="A295" i="7"/>
  <c r="B295" i="7" l="1"/>
  <c r="C295" i="7"/>
  <c r="A296" i="7"/>
  <c r="B296" i="7" l="1"/>
  <c r="C296" i="7"/>
  <c r="A297" i="7"/>
  <c r="B297" i="7" l="1"/>
  <c r="C297" i="7"/>
  <c r="A298" i="7"/>
  <c r="B298" i="7" l="1"/>
  <c r="C298" i="7"/>
  <c r="A299" i="7"/>
  <c r="B299" i="7" l="1"/>
  <c r="C299" i="7"/>
  <c r="A300" i="7"/>
  <c r="B300" i="7" l="1"/>
  <c r="C300" i="7"/>
  <c r="A301" i="7"/>
  <c r="C301" i="7" l="1"/>
  <c r="B301" i="7"/>
  <c r="A302" i="7"/>
  <c r="B302" i="7" l="1"/>
  <c r="C302" i="7"/>
  <c r="A303" i="7"/>
  <c r="B303" i="7" l="1"/>
  <c r="C303" i="7"/>
  <c r="A304" i="7"/>
  <c r="B304" i="7" l="1"/>
  <c r="C304" i="7"/>
  <c r="A305" i="7"/>
  <c r="B305" i="7" l="1"/>
  <c r="C305" i="7"/>
  <c r="A306" i="7"/>
  <c r="B306" i="7" l="1"/>
  <c r="C306" i="7"/>
  <c r="A307" i="7"/>
  <c r="B307" i="7" l="1"/>
  <c r="C307" i="7"/>
  <c r="A308" i="7"/>
  <c r="B308" i="7" l="1"/>
  <c r="C308" i="7"/>
  <c r="A309" i="7"/>
  <c r="C309" i="7" l="1"/>
  <c r="B309" i="7"/>
  <c r="A310" i="7"/>
  <c r="B310" i="7" l="1"/>
  <c r="C310" i="7"/>
  <c r="A311" i="7"/>
  <c r="B311" i="7" l="1"/>
  <c r="C311" i="7"/>
  <c r="A312" i="7"/>
  <c r="B312" i="7" l="1"/>
  <c r="C312" i="7"/>
  <c r="A313" i="7"/>
  <c r="B313" i="7" l="1"/>
  <c r="C313" i="7"/>
  <c r="A314" i="7"/>
  <c r="B314" i="7" l="1"/>
  <c r="C314" i="7"/>
  <c r="A315" i="7"/>
  <c r="B315" i="7" l="1"/>
  <c r="C315" i="7"/>
  <c r="A316" i="7"/>
  <c r="B316" i="7" l="1"/>
  <c r="C316" i="7"/>
  <c r="A317" i="7"/>
  <c r="B317" i="7" l="1"/>
  <c r="C317" i="7"/>
  <c r="A318" i="7"/>
  <c r="B318" i="7" l="1"/>
  <c r="C318" i="7"/>
  <c r="A319" i="7"/>
  <c r="B319" i="7" l="1"/>
  <c r="C319" i="7"/>
  <c r="A320" i="7"/>
  <c r="B320" i="7" l="1"/>
  <c r="C320" i="7"/>
  <c r="A321" i="7"/>
  <c r="B321" i="7" l="1"/>
  <c r="C321" i="7"/>
  <c r="A322" i="7"/>
  <c r="B322" i="7" l="1"/>
  <c r="C322" i="7"/>
  <c r="A323" i="7"/>
  <c r="C323" i="7" l="1"/>
  <c r="B323" i="7"/>
  <c r="A324" i="7"/>
  <c r="B324" i="7" l="1"/>
  <c r="C324" i="7"/>
  <c r="A325" i="7"/>
  <c r="B325" i="7" l="1"/>
  <c r="C325" i="7"/>
  <c r="A326" i="7"/>
  <c r="B326" i="7" l="1"/>
  <c r="C326" i="7"/>
  <c r="A327" i="7"/>
  <c r="B327" i="7" l="1"/>
  <c r="C327" i="7"/>
  <c r="A328" i="7"/>
  <c r="B328" i="7" l="1"/>
  <c r="C328" i="7"/>
  <c r="A329" i="7"/>
  <c r="B329" i="7" l="1"/>
  <c r="C329" i="7"/>
  <c r="A330" i="7"/>
  <c r="B330" i="7" l="1"/>
  <c r="C330" i="7"/>
  <c r="A331" i="7"/>
  <c r="C331" i="7" l="1"/>
  <c r="B331" i="7"/>
  <c r="A332" i="7"/>
  <c r="B332" i="7" l="1"/>
  <c r="C332" i="7"/>
  <c r="A333" i="7"/>
  <c r="B333" i="7" l="1"/>
  <c r="C333" i="7"/>
  <c r="A334" i="7"/>
  <c r="B334" i="7" l="1"/>
  <c r="C334" i="7"/>
  <c r="A335" i="7"/>
  <c r="B335" i="7" l="1"/>
  <c r="C335" i="7"/>
  <c r="A336" i="7"/>
  <c r="B336" i="7" l="1"/>
  <c r="C336" i="7"/>
  <c r="A337" i="7"/>
  <c r="B337" i="7" l="1"/>
  <c r="C337" i="7"/>
  <c r="A338" i="7"/>
  <c r="B338" i="7" l="1"/>
  <c r="C338" i="7"/>
  <c r="A339" i="7"/>
  <c r="C339" i="7" l="1"/>
  <c r="B339" i="7"/>
  <c r="A340" i="7"/>
  <c r="B340" i="7" l="1"/>
  <c r="C340" i="7"/>
  <c r="A341" i="7"/>
  <c r="B341" i="7" l="1"/>
  <c r="C341" i="7"/>
  <c r="A342" i="7"/>
  <c r="B342" i="7" l="1"/>
  <c r="C342" i="7"/>
  <c r="A343" i="7"/>
  <c r="B343" i="7" l="1"/>
  <c r="C343" i="7"/>
  <c r="A344" i="7"/>
  <c r="B344" i="7" l="1"/>
  <c r="C344" i="7"/>
  <c r="A345" i="7"/>
  <c r="B345" i="7" l="1"/>
  <c r="C345" i="7"/>
  <c r="A346" i="7"/>
  <c r="B346" i="7" l="1"/>
  <c r="C346" i="7"/>
  <c r="A347" i="7"/>
  <c r="C347" i="7" l="1"/>
  <c r="B347" i="7"/>
  <c r="A348" i="7"/>
  <c r="B348" i="7" l="1"/>
  <c r="C348" i="7"/>
  <c r="A349" i="7"/>
  <c r="B349" i="7" l="1"/>
  <c r="C349" i="7"/>
  <c r="A350" i="7"/>
  <c r="B350" i="7" l="1"/>
  <c r="C350" i="7"/>
  <c r="A351" i="7"/>
  <c r="B351" i="7" l="1"/>
  <c r="C351" i="7"/>
  <c r="A352" i="7"/>
  <c r="B352" i="7" l="1"/>
  <c r="C352" i="7"/>
  <c r="A353" i="7"/>
  <c r="B353" i="7" l="1"/>
  <c r="C353" i="7"/>
  <c r="A354" i="7"/>
  <c r="B354" i="7" l="1"/>
  <c r="C354" i="7"/>
  <c r="A355" i="7"/>
  <c r="C355" i="7" l="1"/>
  <c r="B355" i="7"/>
  <c r="A356" i="7"/>
  <c r="B356" i="7" l="1"/>
  <c r="C356" i="7"/>
  <c r="A357" i="7"/>
  <c r="C357" i="7" l="1"/>
  <c r="B357" i="7"/>
  <c r="A358" i="7"/>
  <c r="B358" i="7" l="1"/>
  <c r="C358" i="7"/>
  <c r="A359" i="7"/>
  <c r="B359" i="7" l="1"/>
  <c r="C359" i="7"/>
  <c r="A360" i="7"/>
  <c r="B360" i="7" l="1"/>
  <c r="C360" i="7"/>
  <c r="A361" i="7"/>
  <c r="B361" i="7" l="1"/>
  <c r="C361" i="7"/>
</calcChain>
</file>

<file path=xl/comments1.xml><?xml version="1.0" encoding="utf-8"?>
<comments xmlns="http://schemas.openxmlformats.org/spreadsheetml/2006/main">
  <authors>
    <author>Administrator</author>
  </authors>
  <commentLis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mzs:</t>
        </r>
        <r>
          <rPr>
            <sz val="9"/>
            <color indexed="81"/>
            <rFont val="宋体"/>
            <family val="3"/>
            <charset val="134"/>
          </rPr>
          <t xml:space="preserve">
转子动平衡——原理、方法和标准 周仁睦 Page105</t>
        </r>
      </text>
    </comment>
  </commentList>
</comments>
</file>

<file path=xl/sharedStrings.xml><?xml version="1.0" encoding="utf-8"?>
<sst xmlns="http://schemas.openxmlformats.org/spreadsheetml/2006/main" count="237" uniqueCount="168">
  <si>
    <t>原始振动值A0</t>
  </si>
  <si>
    <t>试加重后振动值A1</t>
  </si>
  <si>
    <t>试加重P</t>
  </si>
  <si>
    <t>影响系数α</t>
  </si>
  <si>
    <t>加重量Q(不去试重)</t>
  </si>
  <si>
    <t>60∠30°</t>
  </si>
  <si>
    <t>40∠90°</t>
  </si>
  <si>
    <t>200∠150°</t>
  </si>
  <si>
    <t>转速</t>
    <phoneticPr fontId="1" type="noConversion"/>
  </si>
  <si>
    <t>转轴质量</t>
    <phoneticPr fontId="1" type="noConversion"/>
  </si>
  <si>
    <t>r/min</t>
    <phoneticPr fontId="1" type="noConversion"/>
  </si>
  <si>
    <t>kg</t>
    <phoneticPr fontId="1" type="noConversion"/>
  </si>
  <si>
    <t>g</t>
    <phoneticPr fontId="1" type="noConversion"/>
  </si>
  <si>
    <t>试加半径</t>
    <phoneticPr fontId="1" type="noConversion"/>
  </si>
  <si>
    <t>mm</t>
    <phoneticPr fontId="1" type="noConversion"/>
  </si>
  <si>
    <t>1g加重产生离心力</t>
    <phoneticPr fontId="1" type="noConversion"/>
  </si>
  <si>
    <t>kgf</t>
    <phoneticPr fontId="1" type="noConversion"/>
  </si>
  <si>
    <t>动负载占静负载比例</t>
    <phoneticPr fontId="1" type="noConversion"/>
  </si>
  <si>
    <t>试加重量(作参考)</t>
    <phoneticPr fontId="1" type="noConversion"/>
  </si>
  <si>
    <t>°</t>
  </si>
  <si>
    <r>
      <t>μ</t>
    </r>
    <r>
      <rPr>
        <sz val="10.5"/>
        <color rgb="FF000000"/>
        <rFont val="Times New Roman"/>
        <family val="1"/>
      </rPr>
      <t>m</t>
    </r>
    <r>
      <rPr>
        <sz val="10.5"/>
        <color rgb="FF000000"/>
        <rFont val="仿宋_GB2312"/>
        <family val="1"/>
        <charset val="134"/>
      </rPr>
      <t>∠°</t>
    </r>
    <phoneticPr fontId="1" type="noConversion"/>
  </si>
  <si>
    <t>g∠°</t>
    <phoneticPr fontId="1" type="noConversion"/>
  </si>
  <si>
    <t>∠°</t>
  </si>
  <si>
    <t>振动探头到键相探头夹角（顺转向)</t>
    <phoneticPr fontId="1" type="noConversion"/>
  </si>
  <si>
    <t>试加重量修正量</t>
    <phoneticPr fontId="1" type="noConversion"/>
  </si>
  <si>
    <t>滞后角</t>
    <phoneticPr fontId="1" type="noConversion"/>
  </si>
  <si>
    <t>试加角度修正量</t>
    <phoneticPr fontId="1" type="noConversion"/>
  </si>
  <si>
    <t>试加角度(从键相顺转向为正)</t>
    <phoneticPr fontId="1" type="noConversion"/>
  </si>
  <si>
    <t>单面平衡法</t>
    <phoneticPr fontId="1" type="noConversion"/>
  </si>
  <si>
    <t>60∠80°</t>
    <phoneticPr fontId="1" type="noConversion"/>
  </si>
  <si>
    <t>40∠140°</t>
    <phoneticPr fontId="1" type="noConversion"/>
  </si>
  <si>
    <t>双面平衡法</t>
    <phoneticPr fontId="1" type="noConversion"/>
  </si>
  <si>
    <t>原始振动值A0</t>
    <phoneticPr fontId="1" type="noConversion"/>
  </si>
  <si>
    <t>原始振动值B0</t>
    <phoneticPr fontId="1" type="noConversion"/>
  </si>
  <si>
    <t>I面试加重P1</t>
    <phoneticPr fontId="1" type="noConversion"/>
  </si>
  <si>
    <t>I面试加重P1后振动A1</t>
    <phoneticPr fontId="1" type="noConversion"/>
  </si>
  <si>
    <t>I面试加重P1后振动B1</t>
    <phoneticPr fontId="1" type="noConversion"/>
  </si>
  <si>
    <t>II面加重是否取下I面加重P1</t>
    <phoneticPr fontId="1" type="noConversion"/>
  </si>
  <si>
    <t>II面试加重P2</t>
    <phoneticPr fontId="1" type="noConversion"/>
  </si>
  <si>
    <t>II面试加重P2后振动A2</t>
    <phoneticPr fontId="1" type="noConversion"/>
  </si>
  <si>
    <t>II面试加重P2后振动B2</t>
    <phoneticPr fontId="1" type="noConversion"/>
  </si>
  <si>
    <t>影响系数α11</t>
    <phoneticPr fontId="1" type="noConversion"/>
  </si>
  <si>
    <t>影响系数α12</t>
    <phoneticPr fontId="1" type="noConversion"/>
  </si>
  <si>
    <t>影响系数α21</t>
    <phoneticPr fontId="1" type="noConversion"/>
  </si>
  <si>
    <t>影响系数α22</t>
    <phoneticPr fontId="1" type="noConversion"/>
  </si>
  <si>
    <t>影响系数矩阵逆矩阵元素α'11</t>
    <phoneticPr fontId="1" type="noConversion"/>
  </si>
  <si>
    <t>影响系数矩阵逆矩阵元素α'12</t>
    <phoneticPr fontId="1" type="noConversion"/>
  </si>
  <si>
    <t>影响系数矩阵逆矩阵元素α'21</t>
    <phoneticPr fontId="1" type="noConversion"/>
  </si>
  <si>
    <t>影响系数矩阵逆矩阵元素α'22</t>
    <phoneticPr fontId="1" type="noConversion"/>
  </si>
  <si>
    <t>加重量Q1(去试重P2)</t>
    <phoneticPr fontId="1" type="noConversion"/>
  </si>
  <si>
    <t>加重量Q2(去试重P2)</t>
    <phoneticPr fontId="1" type="noConversion"/>
  </si>
  <si>
    <t>加重量Q1(不去试重P2)</t>
    <phoneticPr fontId="1" type="noConversion"/>
  </si>
  <si>
    <t>加重量Q2(不去试重P2)</t>
    <phoneticPr fontId="1" type="noConversion"/>
  </si>
  <si>
    <t>80∠60°</t>
  </si>
  <si>
    <t>60∠120°</t>
  </si>
  <si>
    <t>400∠60°</t>
  </si>
  <si>
    <t>40∠60°</t>
  </si>
  <si>
    <t>30∠200°</t>
    <phoneticPr fontId="1" type="noConversion"/>
  </si>
  <si>
    <t>矩阵秩倒数</t>
    <phoneticPr fontId="1" type="noConversion"/>
  </si>
  <si>
    <t>谐分量法</t>
    <phoneticPr fontId="1" type="noConversion"/>
  </si>
  <si>
    <t>I面原始振动值A0</t>
    <phoneticPr fontId="1" type="noConversion"/>
  </si>
  <si>
    <t>II面原始振动值B0</t>
    <phoneticPr fontId="1" type="noConversion"/>
  </si>
  <si>
    <t>I面试加重P1</t>
    <phoneticPr fontId="1" type="noConversion"/>
  </si>
  <si>
    <t>II面试加重P2</t>
    <phoneticPr fontId="1" type="noConversion"/>
  </si>
  <si>
    <t>I面试加重后振动值A1</t>
    <phoneticPr fontId="1" type="noConversion"/>
  </si>
  <si>
    <t>II面试加重后振动值B1</t>
    <phoneticPr fontId="1" type="noConversion"/>
  </si>
  <si>
    <t>原始振动正对称分量Ad0</t>
    <phoneticPr fontId="1" type="noConversion"/>
  </si>
  <si>
    <t>原始振动反对称分量Af0</t>
    <phoneticPr fontId="1" type="noConversion"/>
  </si>
  <si>
    <t>正对称试加重量Pd</t>
    <phoneticPr fontId="1" type="noConversion"/>
  </si>
  <si>
    <t>反对称试加重量Pf</t>
    <phoneticPr fontId="1" type="noConversion"/>
  </si>
  <si>
    <t>试加后振动正对称分量Ad1</t>
    <phoneticPr fontId="1" type="noConversion"/>
  </si>
  <si>
    <t>试加后振动反对称分量Af1</t>
    <phoneticPr fontId="1" type="noConversion"/>
  </si>
  <si>
    <t>正对称加重影响系数αd</t>
    <phoneticPr fontId="1" type="noConversion"/>
  </si>
  <si>
    <t>反对称加重影响系数αf</t>
    <phoneticPr fontId="1" type="noConversion"/>
  </si>
  <si>
    <t>平衡加重正对称分量Qd</t>
    <phoneticPr fontId="1" type="noConversion"/>
  </si>
  <si>
    <t>平衡加重反对称分量Qf</t>
    <phoneticPr fontId="1" type="noConversion"/>
  </si>
  <si>
    <t>I面合成平衡加重量</t>
    <phoneticPr fontId="1" type="noConversion"/>
  </si>
  <si>
    <t>II面合成平衡加重量</t>
    <phoneticPr fontId="1" type="noConversion"/>
  </si>
  <si>
    <t>加重量Q(去试重)</t>
    <phoneticPr fontId="1" type="noConversion"/>
  </si>
  <si>
    <t>多组平均值Q(去试重)</t>
    <phoneticPr fontId="1" type="noConversion"/>
  </si>
  <si>
    <t>多组平均值Q(不去试重)</t>
    <phoneticPr fontId="1" type="noConversion"/>
  </si>
  <si>
    <r>
      <t>μ</t>
    </r>
    <r>
      <rPr>
        <sz val="10.5"/>
        <color rgb="FF000000"/>
        <rFont val="Times New Roman"/>
        <family val="1"/>
      </rPr>
      <t>m</t>
    </r>
    <r>
      <rPr>
        <sz val="10.5"/>
        <color rgb="FF000000"/>
        <rFont val="仿宋_GB2312"/>
        <family val="1"/>
        <charset val="134"/>
      </rPr>
      <t>∠°</t>
    </r>
    <phoneticPr fontId="1" type="noConversion"/>
  </si>
  <si>
    <t>80∠345°</t>
    <phoneticPr fontId="1" type="noConversion"/>
  </si>
  <si>
    <t>20∠215°</t>
    <phoneticPr fontId="1" type="noConversion"/>
  </si>
  <si>
    <t>259∠17°</t>
    <phoneticPr fontId="1" type="noConversion"/>
  </si>
  <si>
    <t>25∠225°</t>
    <phoneticPr fontId="1" type="noConversion"/>
  </si>
  <si>
    <t>20∠27°</t>
    <phoneticPr fontId="1" type="noConversion"/>
  </si>
  <si>
    <t>680∠99°</t>
    <phoneticPr fontId="1" type="noConversion"/>
  </si>
  <si>
    <t>结果</t>
    <phoneticPr fontId="1" type="noConversion"/>
  </si>
  <si>
    <t>放大倍数K</t>
    <phoneticPr fontId="1" type="noConversion"/>
  </si>
  <si>
    <t>cx</t>
    <phoneticPr fontId="1" type="noConversion"/>
  </si>
  <si>
    <t>cy</t>
    <phoneticPr fontId="1" type="noConversion"/>
  </si>
  <si>
    <t>转向</t>
    <phoneticPr fontId="1" type="noConversion"/>
  </si>
  <si>
    <t>转向线半径系数</t>
    <phoneticPr fontId="1" type="noConversion"/>
  </si>
  <si>
    <t>键相位置</t>
    <phoneticPr fontId="1" type="noConversion"/>
  </si>
  <si>
    <t>圆心</t>
    <phoneticPr fontId="1" type="noConversion"/>
  </si>
  <si>
    <t>键相线长</t>
    <phoneticPr fontId="1" type="noConversion"/>
  </si>
  <si>
    <t>转向线起始角度</t>
    <phoneticPr fontId="1" type="noConversion"/>
  </si>
  <si>
    <t>键相探头</t>
    <phoneticPr fontId="1" type="noConversion"/>
  </si>
  <si>
    <t>X向位置</t>
    <phoneticPr fontId="1" type="noConversion"/>
  </si>
  <si>
    <t>X向探头</t>
    <phoneticPr fontId="1" type="noConversion"/>
  </si>
  <si>
    <t>X向线长</t>
    <phoneticPr fontId="1" type="noConversion"/>
  </si>
  <si>
    <t>X向线宽</t>
    <phoneticPr fontId="1" type="noConversion"/>
  </si>
  <si>
    <t>X向线距离系数</t>
    <phoneticPr fontId="1" type="noConversion"/>
  </si>
  <si>
    <t>键相线距离系数</t>
    <phoneticPr fontId="1" type="noConversion"/>
  </si>
  <si>
    <t>键相线宽</t>
    <phoneticPr fontId="1" type="noConversion"/>
  </si>
  <si>
    <t>Y向探头</t>
    <phoneticPr fontId="1" type="noConversion"/>
  </si>
  <si>
    <t>YX向线长</t>
    <phoneticPr fontId="1" type="noConversion"/>
  </si>
  <si>
    <t>Y向线距离系数</t>
    <phoneticPr fontId="1" type="noConversion"/>
  </si>
  <si>
    <t>Y向线宽</t>
    <phoneticPr fontId="1" type="noConversion"/>
  </si>
  <si>
    <t>Y向位置</t>
    <phoneticPr fontId="1" type="noConversion"/>
  </si>
  <si>
    <t>探头线长</t>
    <phoneticPr fontId="1" type="noConversion"/>
  </si>
  <si>
    <t>探头线宽</t>
    <phoneticPr fontId="1" type="noConversion"/>
  </si>
  <si>
    <t>幅值</t>
    <phoneticPr fontId="1" type="noConversion"/>
  </si>
  <si>
    <t>相位</t>
    <phoneticPr fontId="1" type="noConversion"/>
  </si>
  <si>
    <t>X向振动一倍频Ax</t>
    <phoneticPr fontId="1" type="noConversion"/>
  </si>
  <si>
    <t>X向滞后角</t>
    <phoneticPr fontId="1" type="noConversion"/>
  </si>
  <si>
    <t>转向系数</t>
    <phoneticPr fontId="1" type="noConversion"/>
  </si>
  <si>
    <t>箭头线长</t>
    <phoneticPr fontId="1" type="noConversion"/>
  </si>
  <si>
    <t>基线</t>
    <phoneticPr fontId="1" type="noConversion"/>
  </si>
  <si>
    <t>X向振动矢量</t>
    <phoneticPr fontId="1" type="noConversion"/>
  </si>
  <si>
    <t>夹角</t>
    <phoneticPr fontId="1" type="noConversion"/>
  </si>
  <si>
    <t>X向</t>
    <phoneticPr fontId="1" type="noConversion"/>
  </si>
  <si>
    <t>夹角</t>
    <phoneticPr fontId="1" type="noConversion"/>
  </si>
  <si>
    <t>顺时针</t>
  </si>
  <si>
    <t>夹角</t>
    <phoneticPr fontId="1" type="noConversion"/>
  </si>
  <si>
    <t>圆图半径</t>
    <phoneticPr fontId="1" type="noConversion"/>
  </si>
  <si>
    <t>Y向振动一倍频Ay</t>
    <phoneticPr fontId="1" type="noConversion"/>
  </si>
  <si>
    <t>Y向滞后角</t>
    <phoneticPr fontId="1" type="noConversion"/>
  </si>
  <si>
    <t>Y向</t>
    <phoneticPr fontId="1" type="noConversion"/>
  </si>
  <si>
    <t>Y向振动矢量</t>
    <phoneticPr fontId="1" type="noConversion"/>
  </si>
  <si>
    <t>显示设置</t>
    <phoneticPr fontId="1" type="noConversion"/>
  </si>
  <si>
    <t>显示XY向</t>
  </si>
  <si>
    <t>转速rpm</t>
    <phoneticPr fontId="1" type="noConversion"/>
  </si>
  <si>
    <t>加重半径mm</t>
    <phoneticPr fontId="1" type="noConversion"/>
  </si>
  <si>
    <t>幅值μm</t>
    <phoneticPr fontId="1" type="noConversion"/>
  </si>
  <si>
    <t>°</t>
    <phoneticPr fontId="1" type="noConversion"/>
  </si>
  <si>
    <t>相位°</t>
    <phoneticPr fontId="1" type="noConversion"/>
  </si>
  <si>
    <t>键相位置°</t>
    <phoneticPr fontId="1" type="noConversion"/>
  </si>
  <si>
    <t>X向位置°</t>
    <phoneticPr fontId="1" type="noConversion"/>
  </si>
  <si>
    <t>Y向位置°</t>
    <phoneticPr fontId="1" type="noConversion"/>
  </si>
  <si>
    <t>Y向滞后角°</t>
    <phoneticPr fontId="1" type="noConversion"/>
  </si>
  <si>
    <t>X向滞后角°</t>
    <phoneticPr fontId="1" type="noConversion"/>
  </si>
  <si>
    <t>转子质量kg</t>
    <phoneticPr fontId="1" type="noConversion"/>
  </si>
  <si>
    <t>试加重质量g</t>
    <phoneticPr fontId="1" type="noConversion"/>
  </si>
  <si>
    <t>按X向加重位置(键相逆转向)°</t>
    <phoneticPr fontId="1" type="noConversion"/>
  </si>
  <si>
    <t>按Y向加重位置(键相逆转向)°</t>
    <phoneticPr fontId="1" type="noConversion"/>
  </si>
  <si>
    <t>试加重激振力与转子重力比%</t>
    <phoneticPr fontId="1" type="noConversion"/>
  </si>
  <si>
    <t>试加重产生激振力kgf</t>
    <phoneticPr fontId="1" type="noConversion"/>
  </si>
  <si>
    <t>加重1g产生激振力kgf</t>
    <phoneticPr fontId="1" type="noConversion"/>
  </si>
  <si>
    <t>Px,Py为不平衡矢量，
试加重在它反向</t>
    <phoneticPr fontId="1" type="noConversion"/>
  </si>
  <si>
    <t>对称反对称分量分解</t>
    <phoneticPr fontId="1" type="noConversion"/>
  </si>
  <si>
    <t>第I面</t>
    <phoneticPr fontId="1" type="noConversion"/>
  </si>
  <si>
    <t>°</t>
    <phoneticPr fontId="1" type="noConversion"/>
  </si>
  <si>
    <t>第II面</t>
    <phoneticPr fontId="1" type="noConversion"/>
  </si>
  <si>
    <t>正对称分量</t>
    <phoneticPr fontId="1" type="noConversion"/>
  </si>
  <si>
    <t>反对称分量</t>
    <phoneticPr fontId="1" type="noConversion"/>
  </si>
  <si>
    <t>∠</t>
  </si>
  <si>
    <t>g∠°</t>
    <phoneticPr fontId="1" type="noConversion"/>
  </si>
  <si>
    <t>矢量计算</t>
    <phoneticPr fontId="1" type="noConversion"/>
  </si>
  <si>
    <t>V1</t>
    <phoneticPr fontId="1" type="noConversion"/>
  </si>
  <si>
    <t>V2</t>
    <phoneticPr fontId="1" type="noConversion"/>
  </si>
  <si>
    <t>V</t>
    <phoneticPr fontId="1" type="noConversion"/>
  </si>
  <si>
    <t>-</t>
  </si>
  <si>
    <t>Ax夹角线半径系数</t>
    <phoneticPr fontId="1" type="noConversion"/>
  </si>
  <si>
    <t>Px夹角线半径系数</t>
    <phoneticPr fontId="1" type="noConversion"/>
  </si>
  <si>
    <t>Ay夹角线半径系数</t>
    <phoneticPr fontId="1" type="noConversion"/>
  </si>
  <si>
    <t>Py夹角线半径系数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</si>
</sst>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1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.5"/>
      <color rgb="FF000000"/>
      <name val="仿宋_GB2312"/>
      <family val="1"/>
      <charset val="134"/>
    </font>
    <font>
      <sz val="10.5"/>
      <color rgb="FF000000"/>
      <name val="Times New Roman"/>
      <family val="1"/>
    </font>
    <font>
      <sz val="11"/>
      <color rgb="FFFF00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5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0" fontId="0" fillId="0" borderId="0" xfId="0" applyAlignment="1">
      <alignment horizontal="left" vertical="center"/>
    </xf>
    <xf numFmtId="2" fontId="0" fillId="0" borderId="0" xfId="0" applyNumberFormat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2" fontId="8" fillId="0" borderId="0" xfId="0" applyNumberFormat="1" applyFont="1" applyFill="1" applyAlignment="1">
      <alignment horizontal="lef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0" borderId="0" xfId="0" applyFont="1" applyFill="1">
      <alignment vertical="center"/>
    </xf>
    <xf numFmtId="0" fontId="0" fillId="3" borderId="0" xfId="0" applyFill="1">
      <alignment vertical="center"/>
    </xf>
    <xf numFmtId="0" fontId="3" fillId="3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176" fontId="0" fillId="0" borderId="0" xfId="0" applyNumberFormat="1">
      <alignment vertical="center"/>
    </xf>
    <xf numFmtId="0" fontId="12" fillId="2" borderId="0" xfId="0" applyFont="1" applyFill="1">
      <alignment vertical="center"/>
    </xf>
    <xf numFmtId="2" fontId="2" fillId="0" borderId="0" xfId="0" applyNumberFormat="1" applyFont="1">
      <alignment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11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1434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262565530506718E-2"/>
          <c:y val="2.3517268802594575E-2"/>
          <c:w val="0.90909385397457287"/>
          <c:h val="0.9288861356225333"/>
        </c:manualLayout>
      </c:layout>
      <c:scatterChart>
        <c:scatterStyle val="smoothMarker"/>
        <c:varyColors val="0"/>
        <c:ser>
          <c:idx val="0"/>
          <c:order val="0"/>
          <c:tx>
            <c:v>圆</c:v>
          </c:tx>
          <c:marker>
            <c:symbol val="none"/>
          </c:marker>
          <c:xVal>
            <c:numRef>
              <c:f>试加重示意!$B$1:$B$361</c:f>
              <c:numCache>
                <c:formatCode>General</c:formatCode>
                <c:ptCount val="361"/>
                <c:pt idx="0">
                  <c:v>37</c:v>
                </c:pt>
                <c:pt idx="1">
                  <c:v>36.997715427345867</c:v>
                </c:pt>
                <c:pt idx="2">
                  <c:v>36.990862405286435</c:v>
                </c:pt>
                <c:pt idx="3">
                  <c:v>36.979443021318609</c:v>
                </c:pt>
                <c:pt idx="4">
                  <c:v>36.963460753897365</c:v>
                </c:pt>
                <c:pt idx="5">
                  <c:v>36.942920471376183</c:v>
                </c:pt>
                <c:pt idx="6">
                  <c:v>36.917828430524096</c:v>
                </c:pt>
                <c:pt idx="7">
                  <c:v>36.888192274619826</c:v>
                </c:pt>
                <c:pt idx="8">
                  <c:v>36.854021031123551</c:v>
                </c:pt>
                <c:pt idx="9">
                  <c:v>36.81532510892707</c:v>
                </c:pt>
                <c:pt idx="10">
                  <c:v>36.772116295183125</c:v>
                </c:pt>
                <c:pt idx="11">
                  <c:v>36.724407751714963</c:v>
                </c:pt>
                <c:pt idx="12">
                  <c:v>36.672214011007085</c:v>
                </c:pt>
                <c:pt idx="13">
                  <c:v>36.615550971778532</c:v>
                </c:pt>
                <c:pt idx="14">
                  <c:v>36.554435894139949</c:v>
                </c:pt>
                <c:pt idx="15">
                  <c:v>36.488887394336025</c:v>
                </c:pt>
                <c:pt idx="16">
                  <c:v>36.418925439074783</c:v>
                </c:pt>
                <c:pt idx="17">
                  <c:v>36.344571339445537</c:v>
                </c:pt>
                <c:pt idx="18">
                  <c:v>36.265847744427305</c:v>
                </c:pt>
                <c:pt idx="19">
                  <c:v>36.182778633989756</c:v>
                </c:pt>
                <c:pt idx="20">
                  <c:v>36.095389311788622</c:v>
                </c:pt>
                <c:pt idx="21">
                  <c:v>36.003706397458025</c:v>
                </c:pt>
                <c:pt idx="22">
                  <c:v>35.907757818501807</c:v>
                </c:pt>
                <c:pt idx="23">
                  <c:v>35.807572801786606</c:v>
                </c:pt>
                <c:pt idx="24">
                  <c:v>35.703181864639014</c:v>
                </c:pt>
                <c:pt idx="25">
                  <c:v>35.594616805549748</c:v>
                </c:pt>
                <c:pt idx="26">
                  <c:v>35.481910694487503</c:v>
                </c:pt>
                <c:pt idx="27">
                  <c:v>35.365097862825522</c:v>
                </c:pt>
                <c:pt idx="28">
                  <c:v>35.244213892883906</c:v>
                </c:pt>
                <c:pt idx="29">
                  <c:v>35.119295607090933</c:v>
                </c:pt>
                <c:pt idx="30">
                  <c:v>34.99038105676658</c:v>
                </c:pt>
                <c:pt idx="31">
                  <c:v>34.857509510531685</c:v>
                </c:pt>
                <c:pt idx="32">
                  <c:v>34.720721442346388</c:v>
                </c:pt>
                <c:pt idx="33">
                  <c:v>34.580058519181364</c:v>
                </c:pt>
                <c:pt idx="34">
                  <c:v>34.435563588325628</c:v>
                </c:pt>
                <c:pt idx="35">
                  <c:v>34.28728066433488</c:v>
                </c:pt>
                <c:pt idx="36">
                  <c:v>34.135254915624216</c:v>
                </c:pt>
                <c:pt idx="37">
                  <c:v>33.979532650709395</c:v>
                </c:pt>
                <c:pt idx="38">
                  <c:v>33.820161304100829</c:v>
                </c:pt>
                <c:pt idx="39">
                  <c:v>33.657189421854568</c:v>
                </c:pt>
                <c:pt idx="40">
                  <c:v>33.490666646784668</c:v>
                </c:pt>
                <c:pt idx="41">
                  <c:v>33.320643703341581</c:v>
                </c:pt>
                <c:pt idx="42">
                  <c:v>33.147172382160917</c:v>
                </c:pt>
                <c:pt idx="43">
                  <c:v>32.970305524287554</c:v>
                </c:pt>
                <c:pt idx="44">
                  <c:v>32.790097005079765</c:v>
                </c:pt>
                <c:pt idx="45">
                  <c:v>32.606601717798213</c:v>
                </c:pt>
                <c:pt idx="46">
                  <c:v>32.419875556884961</c:v>
                </c:pt>
                <c:pt idx="47">
                  <c:v>32.229975400937477</c:v>
                </c:pt>
                <c:pt idx="48">
                  <c:v>32.036959095382869</c:v>
                </c:pt>
                <c:pt idx="49">
                  <c:v>31.840885434857611</c:v>
                </c:pt>
                <c:pt idx="50">
                  <c:v>31.641814145298092</c:v>
                </c:pt>
                <c:pt idx="51">
                  <c:v>31.439805865747562</c:v>
                </c:pt>
                <c:pt idx="52">
                  <c:v>31.234922129884872</c:v>
                </c:pt>
                <c:pt idx="53">
                  <c:v>31.027225347280726</c:v>
                </c:pt>
                <c:pt idx="54">
                  <c:v>30.816778784387097</c:v>
                </c:pt>
                <c:pt idx="55">
                  <c:v>30.60364654526569</c:v>
                </c:pt>
                <c:pt idx="56">
                  <c:v>30.3878935520612</c:v>
                </c:pt>
                <c:pt idx="57">
                  <c:v>30.169585525225408</c:v>
                </c:pt>
                <c:pt idx="58">
                  <c:v>29.948788963498075</c:v>
                </c:pt>
                <c:pt idx="59">
                  <c:v>29.725571123650816</c:v>
                </c:pt>
                <c:pt idx="60">
                  <c:v>29.5</c:v>
                </c:pt>
                <c:pt idx="61">
                  <c:v>29.272144303695057</c:v>
                </c:pt>
                <c:pt idx="62">
                  <c:v>29.042073441788361</c:v>
                </c:pt>
                <c:pt idx="63">
                  <c:v>28.809857496093201</c:v>
                </c:pt>
                <c:pt idx="64">
                  <c:v>28.575567201836162</c:v>
                </c:pt>
                <c:pt idx="65">
                  <c:v>28.339273926110494</c:v>
                </c:pt>
                <c:pt idx="66">
                  <c:v>28.101049646137007</c:v>
                </c:pt>
                <c:pt idx="67">
                  <c:v>27.860966927339106</c:v>
                </c:pt>
                <c:pt idx="68">
                  <c:v>27.619098901238683</c:v>
                </c:pt>
                <c:pt idx="69">
                  <c:v>27.375519243179504</c:v>
                </c:pt>
                <c:pt idx="70">
                  <c:v>27.130302149885033</c:v>
                </c:pt>
                <c:pt idx="71">
                  <c:v>26.883522316857352</c:v>
                </c:pt>
                <c:pt idx="72">
                  <c:v>26.635254915624213</c:v>
                </c:pt>
                <c:pt idx="73">
                  <c:v>26.385575570841052</c:v>
                </c:pt>
                <c:pt idx="74">
                  <c:v>26.134560337254989</c:v>
                </c:pt>
                <c:pt idx="75">
                  <c:v>25.882285676537812</c:v>
                </c:pt>
                <c:pt idx="76">
                  <c:v>25.628828433995015</c:v>
                </c:pt>
                <c:pt idx="77">
                  <c:v>25.374265815157976</c:v>
                </c:pt>
                <c:pt idx="78">
                  <c:v>25.118675362266387</c:v>
                </c:pt>
                <c:pt idx="79">
                  <c:v>24.862134930648175</c:v>
                </c:pt>
                <c:pt idx="80">
                  <c:v>24.604722665003955</c:v>
                </c:pt>
                <c:pt idx="81">
                  <c:v>24.346516975603464</c:v>
                </c:pt>
                <c:pt idx="82">
                  <c:v>24.087596514400982</c:v>
                </c:pt>
                <c:pt idx="83">
                  <c:v>23.828040151077211</c:v>
                </c:pt>
                <c:pt idx="84">
                  <c:v>23.567926949014801</c:v>
                </c:pt>
                <c:pt idx="85">
                  <c:v>23.307336141214876</c:v>
                </c:pt>
                <c:pt idx="86">
                  <c:v>23.046347106161878</c:v>
                </c:pt>
                <c:pt idx="87">
                  <c:v>22.785039343644158</c:v>
                </c:pt>
                <c:pt idx="88">
                  <c:v>22.523492450537518</c:v>
                </c:pt>
                <c:pt idx="89">
                  <c:v>22.261786096559256</c:v>
                </c:pt>
                <c:pt idx="90">
                  <c:v>22</c:v>
                </c:pt>
                <c:pt idx="91">
                  <c:v>21.738213903440748</c:v>
                </c:pt>
                <c:pt idx="92">
                  <c:v>21.47650754946249</c:v>
                </c:pt>
                <c:pt idx="93">
                  <c:v>21.214960656355842</c:v>
                </c:pt>
                <c:pt idx="94">
                  <c:v>20.953652893838122</c:v>
                </c:pt>
                <c:pt idx="95">
                  <c:v>20.692663858785128</c:v>
                </c:pt>
                <c:pt idx="96">
                  <c:v>20.432073050985199</c:v>
                </c:pt>
                <c:pt idx="97">
                  <c:v>20.171959848922789</c:v>
                </c:pt>
                <c:pt idx="98">
                  <c:v>19.912403485599022</c:v>
                </c:pt>
                <c:pt idx="99">
                  <c:v>19.653483024396536</c:v>
                </c:pt>
                <c:pt idx="100">
                  <c:v>19.395277334996045</c:v>
                </c:pt>
                <c:pt idx="101">
                  <c:v>19.137865069351829</c:v>
                </c:pt>
                <c:pt idx="102">
                  <c:v>18.881324637733613</c:v>
                </c:pt>
                <c:pt idx="103">
                  <c:v>18.625734184842027</c:v>
                </c:pt>
                <c:pt idx="104">
                  <c:v>18.371171566004985</c:v>
                </c:pt>
                <c:pt idx="105">
                  <c:v>18.117714323462188</c:v>
                </c:pt>
                <c:pt idx="106">
                  <c:v>17.865439662745015</c:v>
                </c:pt>
                <c:pt idx="107">
                  <c:v>17.614424429158952</c:v>
                </c:pt>
                <c:pt idx="108">
                  <c:v>17.364745084375791</c:v>
                </c:pt>
                <c:pt idx="109">
                  <c:v>17.116477683142655</c:v>
                </c:pt>
                <c:pt idx="110">
                  <c:v>16.869697850114967</c:v>
                </c:pt>
                <c:pt idx="111">
                  <c:v>16.624480756820496</c:v>
                </c:pt>
                <c:pt idx="112">
                  <c:v>16.380901098761321</c:v>
                </c:pt>
                <c:pt idx="113">
                  <c:v>16.139033072660894</c:v>
                </c:pt>
                <c:pt idx="114">
                  <c:v>15.898950353863</c:v>
                </c:pt>
                <c:pt idx="115">
                  <c:v>15.66072607388951</c:v>
                </c:pt>
                <c:pt idx="116">
                  <c:v>15.424432798163838</c:v>
                </c:pt>
                <c:pt idx="117">
                  <c:v>15.190142503906799</c:v>
                </c:pt>
                <c:pt idx="118">
                  <c:v>14.957926558211643</c:v>
                </c:pt>
                <c:pt idx="119">
                  <c:v>14.727855696304946</c:v>
                </c:pt>
                <c:pt idx="120">
                  <c:v>14.500000000000004</c:v>
                </c:pt>
                <c:pt idx="121">
                  <c:v>14.274428876349186</c:v>
                </c:pt>
                <c:pt idx="122">
                  <c:v>14.051211036501929</c:v>
                </c:pt>
                <c:pt idx="123">
                  <c:v>13.830414474774594</c:v>
                </c:pt>
                <c:pt idx="124">
                  <c:v>13.6121064479388</c:v>
                </c:pt>
                <c:pt idx="125">
                  <c:v>13.396353454734312</c:v>
                </c:pt>
                <c:pt idx="126">
                  <c:v>13.183221215612905</c:v>
                </c:pt>
                <c:pt idx="127">
                  <c:v>12.972774652719274</c:v>
                </c:pt>
                <c:pt idx="128">
                  <c:v>12.765077870115126</c:v>
                </c:pt>
                <c:pt idx="129">
                  <c:v>12.560194134252441</c:v>
                </c:pt>
                <c:pt idx="130">
                  <c:v>12.35818585470191</c:v>
                </c:pt>
                <c:pt idx="131">
                  <c:v>12.159114565142392</c:v>
                </c:pt>
                <c:pt idx="132">
                  <c:v>11.963040904617131</c:v>
                </c:pt>
                <c:pt idx="133">
                  <c:v>11.770024599062525</c:v>
                </c:pt>
                <c:pt idx="134">
                  <c:v>11.580124443115039</c:v>
                </c:pt>
                <c:pt idx="135">
                  <c:v>11.393398282201789</c:v>
                </c:pt>
                <c:pt idx="136">
                  <c:v>11.209902994920235</c:v>
                </c:pt>
                <c:pt idx="137">
                  <c:v>11.029694475712443</c:v>
                </c:pt>
                <c:pt idx="138">
                  <c:v>10.852827617839084</c:v>
                </c:pt>
                <c:pt idx="139">
                  <c:v>10.679356296658419</c:v>
                </c:pt>
                <c:pt idx="140">
                  <c:v>10.509333353215332</c:v>
                </c:pt>
                <c:pt idx="141">
                  <c:v>10.342810578145436</c:v>
                </c:pt>
                <c:pt idx="142">
                  <c:v>10.179838695899171</c:v>
                </c:pt>
                <c:pt idx="143">
                  <c:v>10.020467349290611</c:v>
                </c:pt>
                <c:pt idx="144">
                  <c:v>9.8647450843757891</c:v>
                </c:pt>
                <c:pt idx="145">
                  <c:v>9.7127193356651205</c:v>
                </c:pt>
                <c:pt idx="146">
                  <c:v>9.5644364116743752</c:v>
                </c:pt>
                <c:pt idx="147">
                  <c:v>9.4199414808186415</c:v>
                </c:pt>
                <c:pt idx="148">
                  <c:v>9.2792785576536101</c:v>
                </c:pt>
                <c:pt idx="149">
                  <c:v>9.142490489468317</c:v>
                </c:pt>
                <c:pt idx="150">
                  <c:v>9.0096189432334199</c:v>
                </c:pt>
                <c:pt idx="151">
                  <c:v>8.8807043929090632</c:v>
                </c:pt>
                <c:pt idx="152">
                  <c:v>8.7557861071160943</c:v>
                </c:pt>
                <c:pt idx="153">
                  <c:v>8.6349021371744836</c:v>
                </c:pt>
                <c:pt idx="154">
                  <c:v>8.5180893055124969</c:v>
                </c:pt>
                <c:pt idx="155">
                  <c:v>8.4053831944502502</c:v>
                </c:pt>
                <c:pt idx="156">
                  <c:v>8.2968181353609847</c:v>
                </c:pt>
                <c:pt idx="157">
                  <c:v>8.1924271982133945</c:v>
                </c:pt>
                <c:pt idx="158">
                  <c:v>8.0922421814981895</c:v>
                </c:pt>
                <c:pt idx="159">
                  <c:v>7.9962936025419751</c:v>
                </c:pt>
                <c:pt idx="160">
                  <c:v>7.9046106882113758</c:v>
                </c:pt>
                <c:pt idx="161">
                  <c:v>7.8172213660102479</c:v>
                </c:pt>
                <c:pt idx="162">
                  <c:v>7.7341522555726971</c:v>
                </c:pt>
                <c:pt idx="163">
                  <c:v>7.6554286605544686</c:v>
                </c:pt>
                <c:pt idx="164">
                  <c:v>7.5810745609252166</c:v>
                </c:pt>
                <c:pt idx="165">
                  <c:v>7.5111126056639765</c:v>
                </c:pt>
                <c:pt idx="166">
                  <c:v>7.4455641058600524</c:v>
                </c:pt>
                <c:pt idx="167">
                  <c:v>7.3844490282214732</c:v>
                </c:pt>
                <c:pt idx="168">
                  <c:v>7.3277859889929147</c:v>
                </c:pt>
                <c:pt idx="169">
                  <c:v>7.2755922482850401</c:v>
                </c:pt>
                <c:pt idx="170">
                  <c:v>7.2278837048168789</c:v>
                </c:pt>
                <c:pt idx="171">
                  <c:v>7.1846748910729357</c:v>
                </c:pt>
                <c:pt idx="172">
                  <c:v>7.1459789688764452</c:v>
                </c:pt>
                <c:pt idx="173">
                  <c:v>7.1118077253801708</c:v>
                </c:pt>
                <c:pt idx="174">
                  <c:v>7.0821715694759</c:v>
                </c:pt>
                <c:pt idx="175">
                  <c:v>7.0570795286238166</c:v>
                </c:pt>
                <c:pt idx="176">
                  <c:v>7.0365392461026364</c:v>
                </c:pt>
                <c:pt idx="177">
                  <c:v>7.0205569786813928</c:v>
                </c:pt>
                <c:pt idx="178">
                  <c:v>7.0091375947135628</c:v>
                </c:pt>
                <c:pt idx="179">
                  <c:v>7.0022845726541316</c:v>
                </c:pt>
                <c:pt idx="180">
                  <c:v>7</c:v>
                </c:pt>
                <c:pt idx="181">
                  <c:v>7.0022845726541316</c:v>
                </c:pt>
                <c:pt idx="182">
                  <c:v>7.0091375947135628</c:v>
                </c:pt>
                <c:pt idx="183">
                  <c:v>7.0205569786813928</c:v>
                </c:pt>
                <c:pt idx="184">
                  <c:v>7.0365392461026346</c:v>
                </c:pt>
                <c:pt idx="185">
                  <c:v>7.0570795286238166</c:v>
                </c:pt>
                <c:pt idx="186">
                  <c:v>7.0821715694759</c:v>
                </c:pt>
                <c:pt idx="187">
                  <c:v>7.1118077253801708</c:v>
                </c:pt>
                <c:pt idx="188">
                  <c:v>7.145978968876447</c:v>
                </c:pt>
                <c:pt idx="189">
                  <c:v>7.1846748910729339</c:v>
                </c:pt>
                <c:pt idx="190">
                  <c:v>7.2278837048168789</c:v>
                </c:pt>
                <c:pt idx="191">
                  <c:v>7.2755922482850401</c:v>
                </c:pt>
                <c:pt idx="192">
                  <c:v>7.3277859889929147</c:v>
                </c:pt>
                <c:pt idx="193">
                  <c:v>7.3844490282214714</c:v>
                </c:pt>
                <c:pt idx="194">
                  <c:v>7.4455641058600524</c:v>
                </c:pt>
                <c:pt idx="195">
                  <c:v>7.511112605663973</c:v>
                </c:pt>
                <c:pt idx="196">
                  <c:v>7.5810745609252148</c:v>
                </c:pt>
                <c:pt idx="197">
                  <c:v>7.6554286605544686</c:v>
                </c:pt>
                <c:pt idx="198">
                  <c:v>7.7341522555726971</c:v>
                </c:pt>
                <c:pt idx="199">
                  <c:v>7.8172213660102496</c:v>
                </c:pt>
                <c:pt idx="200">
                  <c:v>7.904610688211374</c:v>
                </c:pt>
                <c:pt idx="201">
                  <c:v>7.9962936025419733</c:v>
                </c:pt>
                <c:pt idx="202">
                  <c:v>8.0922421814981895</c:v>
                </c:pt>
                <c:pt idx="203">
                  <c:v>8.1924271982133945</c:v>
                </c:pt>
                <c:pt idx="204">
                  <c:v>8.2968181353609829</c:v>
                </c:pt>
                <c:pt idx="205">
                  <c:v>8.4053831944502484</c:v>
                </c:pt>
                <c:pt idx="206">
                  <c:v>8.5180893055124933</c:v>
                </c:pt>
                <c:pt idx="207">
                  <c:v>8.6349021371744783</c:v>
                </c:pt>
                <c:pt idx="208">
                  <c:v>8.7557861071160943</c:v>
                </c:pt>
                <c:pt idx="209">
                  <c:v>8.880704392909065</c:v>
                </c:pt>
                <c:pt idx="210">
                  <c:v>9.0096189432334217</c:v>
                </c:pt>
                <c:pt idx="211">
                  <c:v>9.1424904894683152</c:v>
                </c:pt>
                <c:pt idx="212">
                  <c:v>9.2792785576536083</c:v>
                </c:pt>
                <c:pt idx="213">
                  <c:v>9.4199414808186397</c:v>
                </c:pt>
                <c:pt idx="214">
                  <c:v>9.5644364116743716</c:v>
                </c:pt>
                <c:pt idx="215">
                  <c:v>9.7127193356651205</c:v>
                </c:pt>
                <c:pt idx="216">
                  <c:v>9.8647450843757873</c:v>
                </c:pt>
                <c:pt idx="217">
                  <c:v>10.020467349290604</c:v>
                </c:pt>
                <c:pt idx="218">
                  <c:v>10.179838695899166</c:v>
                </c:pt>
                <c:pt idx="219">
                  <c:v>10.342810578145436</c:v>
                </c:pt>
                <c:pt idx="220">
                  <c:v>10.509333353215331</c:v>
                </c:pt>
                <c:pt idx="221">
                  <c:v>10.679356296658421</c:v>
                </c:pt>
                <c:pt idx="222">
                  <c:v>10.852827617839086</c:v>
                </c:pt>
                <c:pt idx="223">
                  <c:v>11.029694475712441</c:v>
                </c:pt>
                <c:pt idx="224">
                  <c:v>11.209902994920235</c:v>
                </c:pt>
                <c:pt idx="225">
                  <c:v>11.393398282201785</c:v>
                </c:pt>
                <c:pt idx="226">
                  <c:v>11.580124443115036</c:v>
                </c:pt>
                <c:pt idx="227">
                  <c:v>11.770024599062522</c:v>
                </c:pt>
                <c:pt idx="228">
                  <c:v>11.963040904617124</c:v>
                </c:pt>
                <c:pt idx="229">
                  <c:v>12.159114565142385</c:v>
                </c:pt>
                <c:pt idx="230">
                  <c:v>12.358185854701908</c:v>
                </c:pt>
                <c:pt idx="231">
                  <c:v>12.560194134252443</c:v>
                </c:pt>
                <c:pt idx="232">
                  <c:v>12.765077870115128</c:v>
                </c:pt>
                <c:pt idx="233">
                  <c:v>12.972774652719275</c:v>
                </c:pt>
                <c:pt idx="234">
                  <c:v>13.183221215612901</c:v>
                </c:pt>
                <c:pt idx="235">
                  <c:v>13.396353454734305</c:v>
                </c:pt>
                <c:pt idx="236">
                  <c:v>13.612106447938791</c:v>
                </c:pt>
                <c:pt idx="237">
                  <c:v>13.830414474774596</c:v>
                </c:pt>
                <c:pt idx="238">
                  <c:v>14.051211036501925</c:v>
                </c:pt>
                <c:pt idx="239">
                  <c:v>14.274428876349184</c:v>
                </c:pt>
                <c:pt idx="240">
                  <c:v>14.499999999999993</c:v>
                </c:pt>
                <c:pt idx="241">
                  <c:v>14.727855696304935</c:v>
                </c:pt>
                <c:pt idx="242">
                  <c:v>14.957926558211639</c:v>
                </c:pt>
                <c:pt idx="243">
                  <c:v>15.190142503906795</c:v>
                </c:pt>
                <c:pt idx="244">
                  <c:v>15.424432798163835</c:v>
                </c:pt>
                <c:pt idx="245">
                  <c:v>15.660726073889514</c:v>
                </c:pt>
                <c:pt idx="246">
                  <c:v>15.898950353862999</c:v>
                </c:pt>
                <c:pt idx="247">
                  <c:v>16.139033072660894</c:v>
                </c:pt>
                <c:pt idx="248">
                  <c:v>16.380901098761314</c:v>
                </c:pt>
                <c:pt idx="249">
                  <c:v>16.624480756820489</c:v>
                </c:pt>
                <c:pt idx="250">
                  <c:v>16.86969785011496</c:v>
                </c:pt>
                <c:pt idx="251">
                  <c:v>17.116477683142652</c:v>
                </c:pt>
                <c:pt idx="252">
                  <c:v>17.364745084375787</c:v>
                </c:pt>
                <c:pt idx="253">
                  <c:v>17.614424429158944</c:v>
                </c:pt>
                <c:pt idx="254">
                  <c:v>17.865439662745018</c:v>
                </c:pt>
                <c:pt idx="255">
                  <c:v>18.117714323462192</c:v>
                </c:pt>
                <c:pt idx="256">
                  <c:v>18.371171566004982</c:v>
                </c:pt>
                <c:pt idx="257">
                  <c:v>18.62573418484202</c:v>
                </c:pt>
                <c:pt idx="258">
                  <c:v>18.881324637733602</c:v>
                </c:pt>
                <c:pt idx="259">
                  <c:v>19.137865069351832</c:v>
                </c:pt>
                <c:pt idx="260">
                  <c:v>19.395277334996045</c:v>
                </c:pt>
                <c:pt idx="261">
                  <c:v>19.653483024396536</c:v>
                </c:pt>
                <c:pt idx="262">
                  <c:v>19.912403485599011</c:v>
                </c:pt>
                <c:pt idx="263">
                  <c:v>20.171959848922778</c:v>
                </c:pt>
                <c:pt idx="264">
                  <c:v>20.432073050985185</c:v>
                </c:pt>
                <c:pt idx="265">
                  <c:v>20.692663858785124</c:v>
                </c:pt>
                <c:pt idx="266">
                  <c:v>20.953652893838118</c:v>
                </c:pt>
                <c:pt idx="267">
                  <c:v>21.214960656355849</c:v>
                </c:pt>
                <c:pt idx="268">
                  <c:v>21.47650754946249</c:v>
                </c:pt>
                <c:pt idx="269">
                  <c:v>21.738213903440748</c:v>
                </c:pt>
                <c:pt idx="270">
                  <c:v>21.999999999999996</c:v>
                </c:pt>
                <c:pt idx="271">
                  <c:v>22.261786096559248</c:v>
                </c:pt>
                <c:pt idx="272">
                  <c:v>22.523492450537507</c:v>
                </c:pt>
                <c:pt idx="273">
                  <c:v>22.785039343644147</c:v>
                </c:pt>
                <c:pt idx="274">
                  <c:v>23.046347106161878</c:v>
                </c:pt>
                <c:pt idx="275">
                  <c:v>23.307336141214869</c:v>
                </c:pt>
                <c:pt idx="276">
                  <c:v>23.567926949014808</c:v>
                </c:pt>
                <c:pt idx="277">
                  <c:v>23.828040151077214</c:v>
                </c:pt>
                <c:pt idx="278">
                  <c:v>24.087596514400982</c:v>
                </c:pt>
                <c:pt idx="279">
                  <c:v>24.346516975603461</c:v>
                </c:pt>
                <c:pt idx="280">
                  <c:v>24.604722665003948</c:v>
                </c:pt>
                <c:pt idx="281">
                  <c:v>24.862134930648164</c:v>
                </c:pt>
                <c:pt idx="282">
                  <c:v>25.118675362266391</c:v>
                </c:pt>
                <c:pt idx="283">
                  <c:v>25.374265815157973</c:v>
                </c:pt>
                <c:pt idx="284">
                  <c:v>25.628828433995011</c:v>
                </c:pt>
                <c:pt idx="285">
                  <c:v>25.882285676537805</c:v>
                </c:pt>
                <c:pt idx="286">
                  <c:v>26.134560337254978</c:v>
                </c:pt>
                <c:pt idx="287">
                  <c:v>26.385575570841052</c:v>
                </c:pt>
                <c:pt idx="288">
                  <c:v>26.635254915624209</c:v>
                </c:pt>
                <c:pt idx="289">
                  <c:v>26.883522316857345</c:v>
                </c:pt>
                <c:pt idx="290">
                  <c:v>27.130302149885033</c:v>
                </c:pt>
                <c:pt idx="291">
                  <c:v>27.375519243179504</c:v>
                </c:pt>
                <c:pt idx="292">
                  <c:v>27.619098901238679</c:v>
                </c:pt>
                <c:pt idx="293">
                  <c:v>27.860966927339103</c:v>
                </c:pt>
                <c:pt idx="294">
                  <c:v>28.101049646136996</c:v>
                </c:pt>
                <c:pt idx="295">
                  <c:v>28.339273926110483</c:v>
                </c:pt>
                <c:pt idx="296">
                  <c:v>28.575567201836162</c:v>
                </c:pt>
                <c:pt idx="297">
                  <c:v>28.809857496093201</c:v>
                </c:pt>
                <c:pt idx="298">
                  <c:v>29.042073441788357</c:v>
                </c:pt>
                <c:pt idx="299">
                  <c:v>29.272144303695057</c:v>
                </c:pt>
                <c:pt idx="300">
                  <c:v>29.5</c:v>
                </c:pt>
                <c:pt idx="301">
                  <c:v>29.725571123650813</c:v>
                </c:pt>
                <c:pt idx="302">
                  <c:v>29.948788963498071</c:v>
                </c:pt>
                <c:pt idx="303">
                  <c:v>30.169585525225401</c:v>
                </c:pt>
                <c:pt idx="304">
                  <c:v>30.387893552061207</c:v>
                </c:pt>
                <c:pt idx="305">
                  <c:v>30.60364654526569</c:v>
                </c:pt>
                <c:pt idx="306">
                  <c:v>30.816778784387093</c:v>
                </c:pt>
                <c:pt idx="307">
                  <c:v>31.027225347280719</c:v>
                </c:pt>
                <c:pt idx="308">
                  <c:v>31.234922129884868</c:v>
                </c:pt>
                <c:pt idx="309">
                  <c:v>31.439805865747552</c:v>
                </c:pt>
                <c:pt idx="310">
                  <c:v>31.641814145298088</c:v>
                </c:pt>
                <c:pt idx="311">
                  <c:v>31.840885434857604</c:v>
                </c:pt>
                <c:pt idx="312">
                  <c:v>32.036959095382876</c:v>
                </c:pt>
                <c:pt idx="313">
                  <c:v>32.229975400937477</c:v>
                </c:pt>
                <c:pt idx="314">
                  <c:v>32.419875556884961</c:v>
                </c:pt>
                <c:pt idx="315">
                  <c:v>32.606601717798213</c:v>
                </c:pt>
                <c:pt idx="316">
                  <c:v>32.790097005079765</c:v>
                </c:pt>
                <c:pt idx="317">
                  <c:v>32.970305524287554</c:v>
                </c:pt>
                <c:pt idx="318">
                  <c:v>33.147172382160903</c:v>
                </c:pt>
                <c:pt idx="319">
                  <c:v>33.320643703341581</c:v>
                </c:pt>
                <c:pt idx="320">
                  <c:v>33.490666646784668</c:v>
                </c:pt>
                <c:pt idx="321">
                  <c:v>33.657189421854568</c:v>
                </c:pt>
                <c:pt idx="322">
                  <c:v>33.820161304100829</c:v>
                </c:pt>
                <c:pt idx="323">
                  <c:v>33.979532650709395</c:v>
                </c:pt>
                <c:pt idx="324">
                  <c:v>34.135254915624209</c:v>
                </c:pt>
                <c:pt idx="325">
                  <c:v>34.287280664334872</c:v>
                </c:pt>
                <c:pt idx="326">
                  <c:v>34.435563588325621</c:v>
                </c:pt>
                <c:pt idx="327">
                  <c:v>34.580058519181364</c:v>
                </c:pt>
                <c:pt idx="328">
                  <c:v>34.720721442346388</c:v>
                </c:pt>
                <c:pt idx="329">
                  <c:v>34.857509510531685</c:v>
                </c:pt>
                <c:pt idx="330">
                  <c:v>34.99038105676658</c:v>
                </c:pt>
                <c:pt idx="331">
                  <c:v>35.119295607090933</c:v>
                </c:pt>
                <c:pt idx="332">
                  <c:v>35.244213892883906</c:v>
                </c:pt>
                <c:pt idx="333">
                  <c:v>35.365097862825515</c:v>
                </c:pt>
                <c:pt idx="334">
                  <c:v>35.481910694487503</c:v>
                </c:pt>
                <c:pt idx="335">
                  <c:v>35.594616805549748</c:v>
                </c:pt>
                <c:pt idx="336">
                  <c:v>35.703181864639014</c:v>
                </c:pt>
                <c:pt idx="337">
                  <c:v>35.807572801786606</c:v>
                </c:pt>
                <c:pt idx="338">
                  <c:v>35.907757818501807</c:v>
                </c:pt>
                <c:pt idx="339">
                  <c:v>36.003706397458025</c:v>
                </c:pt>
                <c:pt idx="340">
                  <c:v>36.095389311788622</c:v>
                </c:pt>
                <c:pt idx="341">
                  <c:v>36.182778633989756</c:v>
                </c:pt>
                <c:pt idx="342">
                  <c:v>36.265847744427305</c:v>
                </c:pt>
                <c:pt idx="343">
                  <c:v>36.34457133944553</c:v>
                </c:pt>
                <c:pt idx="344">
                  <c:v>36.418925439074783</c:v>
                </c:pt>
                <c:pt idx="345">
                  <c:v>36.488887394336025</c:v>
                </c:pt>
                <c:pt idx="346">
                  <c:v>36.554435894139949</c:v>
                </c:pt>
                <c:pt idx="347">
                  <c:v>36.615550971778525</c:v>
                </c:pt>
                <c:pt idx="348">
                  <c:v>36.672214011007085</c:v>
                </c:pt>
                <c:pt idx="349">
                  <c:v>36.724407751714963</c:v>
                </c:pt>
                <c:pt idx="350">
                  <c:v>36.772116295183125</c:v>
                </c:pt>
                <c:pt idx="351">
                  <c:v>36.815325108927063</c:v>
                </c:pt>
                <c:pt idx="352">
                  <c:v>36.854021031123551</c:v>
                </c:pt>
                <c:pt idx="353">
                  <c:v>36.888192274619826</c:v>
                </c:pt>
                <c:pt idx="354">
                  <c:v>36.917828430524096</c:v>
                </c:pt>
                <c:pt idx="355">
                  <c:v>36.942920471376183</c:v>
                </c:pt>
                <c:pt idx="356">
                  <c:v>36.963460753897365</c:v>
                </c:pt>
                <c:pt idx="357">
                  <c:v>36.979443021318609</c:v>
                </c:pt>
                <c:pt idx="358">
                  <c:v>36.990862405286435</c:v>
                </c:pt>
                <c:pt idx="359">
                  <c:v>36.997715427345867</c:v>
                </c:pt>
                <c:pt idx="360">
                  <c:v>37</c:v>
                </c:pt>
              </c:numCache>
            </c:numRef>
          </c:xVal>
          <c:yVal>
            <c:numRef>
              <c:f>试加重示意!$C$1:$C$361</c:f>
              <c:numCache>
                <c:formatCode>General</c:formatCode>
                <c:ptCount val="361"/>
                <c:pt idx="0">
                  <c:v>22</c:v>
                </c:pt>
                <c:pt idx="1">
                  <c:v>22.261786096559252</c:v>
                </c:pt>
                <c:pt idx="2">
                  <c:v>22.523492450537514</c:v>
                </c:pt>
                <c:pt idx="3">
                  <c:v>22.785039343644158</c:v>
                </c:pt>
                <c:pt idx="4">
                  <c:v>23.046347106161878</c:v>
                </c:pt>
                <c:pt idx="5">
                  <c:v>23.307336141214872</c:v>
                </c:pt>
                <c:pt idx="6">
                  <c:v>23.567926949014801</c:v>
                </c:pt>
                <c:pt idx="7">
                  <c:v>23.828040151077211</c:v>
                </c:pt>
                <c:pt idx="8">
                  <c:v>24.087596514400982</c:v>
                </c:pt>
                <c:pt idx="9">
                  <c:v>24.346516975603464</c:v>
                </c:pt>
                <c:pt idx="10">
                  <c:v>24.604722665003955</c:v>
                </c:pt>
                <c:pt idx="11">
                  <c:v>24.862134930648171</c:v>
                </c:pt>
                <c:pt idx="12">
                  <c:v>25.118675362266391</c:v>
                </c:pt>
                <c:pt idx="13">
                  <c:v>25.374265815157976</c:v>
                </c:pt>
                <c:pt idx="14">
                  <c:v>25.628828433995015</c:v>
                </c:pt>
                <c:pt idx="15">
                  <c:v>25.882285676537812</c:v>
                </c:pt>
                <c:pt idx="16">
                  <c:v>26.134560337254989</c:v>
                </c:pt>
                <c:pt idx="17">
                  <c:v>26.385575570841052</c:v>
                </c:pt>
                <c:pt idx="18">
                  <c:v>26.635254915624209</c:v>
                </c:pt>
                <c:pt idx="19">
                  <c:v>26.883522316857352</c:v>
                </c:pt>
                <c:pt idx="20">
                  <c:v>27.130302149885033</c:v>
                </c:pt>
                <c:pt idx="21">
                  <c:v>27.375519243179504</c:v>
                </c:pt>
                <c:pt idx="22">
                  <c:v>27.619098901238679</c:v>
                </c:pt>
                <c:pt idx="23">
                  <c:v>27.860966927339106</c:v>
                </c:pt>
                <c:pt idx="24">
                  <c:v>28.101049646137003</c:v>
                </c:pt>
                <c:pt idx="25">
                  <c:v>28.339273926110494</c:v>
                </c:pt>
                <c:pt idx="26">
                  <c:v>28.575567201836162</c:v>
                </c:pt>
                <c:pt idx="27">
                  <c:v>28.809857496093201</c:v>
                </c:pt>
                <c:pt idx="28">
                  <c:v>29.042073441788361</c:v>
                </c:pt>
                <c:pt idx="29">
                  <c:v>29.272144303695057</c:v>
                </c:pt>
                <c:pt idx="30">
                  <c:v>29.5</c:v>
                </c:pt>
                <c:pt idx="31">
                  <c:v>29.725571123650813</c:v>
                </c:pt>
                <c:pt idx="32">
                  <c:v>29.948788963498075</c:v>
                </c:pt>
                <c:pt idx="33">
                  <c:v>30.169585525225404</c:v>
                </c:pt>
                <c:pt idx="34">
                  <c:v>30.3878935520612</c:v>
                </c:pt>
                <c:pt idx="35">
                  <c:v>30.60364654526569</c:v>
                </c:pt>
                <c:pt idx="36">
                  <c:v>30.816778784387097</c:v>
                </c:pt>
                <c:pt idx="37">
                  <c:v>31.027225347280726</c:v>
                </c:pt>
                <c:pt idx="38">
                  <c:v>31.234922129884872</c:v>
                </c:pt>
                <c:pt idx="39">
                  <c:v>31.439805865747562</c:v>
                </c:pt>
                <c:pt idx="40">
                  <c:v>31.641814145298088</c:v>
                </c:pt>
                <c:pt idx="41">
                  <c:v>31.840885434857611</c:v>
                </c:pt>
                <c:pt idx="42">
                  <c:v>32.036959095382869</c:v>
                </c:pt>
                <c:pt idx="43">
                  <c:v>32.229975400937477</c:v>
                </c:pt>
                <c:pt idx="44">
                  <c:v>32.419875556884961</c:v>
                </c:pt>
                <c:pt idx="45">
                  <c:v>32.606601717798213</c:v>
                </c:pt>
                <c:pt idx="46">
                  <c:v>32.790097005079765</c:v>
                </c:pt>
                <c:pt idx="47">
                  <c:v>32.970305524287554</c:v>
                </c:pt>
                <c:pt idx="48">
                  <c:v>33.14717238216091</c:v>
                </c:pt>
                <c:pt idx="49">
                  <c:v>33.320643703341581</c:v>
                </c:pt>
                <c:pt idx="50">
                  <c:v>33.490666646784668</c:v>
                </c:pt>
                <c:pt idx="51">
                  <c:v>33.657189421854561</c:v>
                </c:pt>
                <c:pt idx="52">
                  <c:v>33.820161304100829</c:v>
                </c:pt>
                <c:pt idx="53">
                  <c:v>33.979532650709395</c:v>
                </c:pt>
                <c:pt idx="54">
                  <c:v>34.135254915624216</c:v>
                </c:pt>
                <c:pt idx="55">
                  <c:v>34.28728066433488</c:v>
                </c:pt>
                <c:pt idx="56">
                  <c:v>34.435563588325628</c:v>
                </c:pt>
                <c:pt idx="57">
                  <c:v>34.580058519181357</c:v>
                </c:pt>
                <c:pt idx="58">
                  <c:v>34.720721442346388</c:v>
                </c:pt>
                <c:pt idx="59">
                  <c:v>34.857509510531685</c:v>
                </c:pt>
                <c:pt idx="60">
                  <c:v>34.99038105676658</c:v>
                </c:pt>
                <c:pt idx="61">
                  <c:v>35.119295607090933</c:v>
                </c:pt>
                <c:pt idx="62">
                  <c:v>35.244213892883906</c:v>
                </c:pt>
                <c:pt idx="63">
                  <c:v>35.365097862825515</c:v>
                </c:pt>
                <c:pt idx="64">
                  <c:v>35.481910694487503</c:v>
                </c:pt>
                <c:pt idx="65">
                  <c:v>35.594616805549748</c:v>
                </c:pt>
                <c:pt idx="66">
                  <c:v>35.703181864639014</c:v>
                </c:pt>
                <c:pt idx="67">
                  <c:v>35.807572801786606</c:v>
                </c:pt>
                <c:pt idx="68">
                  <c:v>35.907757818501807</c:v>
                </c:pt>
                <c:pt idx="69">
                  <c:v>36.003706397458025</c:v>
                </c:pt>
                <c:pt idx="70">
                  <c:v>36.095389311788622</c:v>
                </c:pt>
                <c:pt idx="71">
                  <c:v>36.182778633989749</c:v>
                </c:pt>
                <c:pt idx="72">
                  <c:v>36.265847744427305</c:v>
                </c:pt>
                <c:pt idx="73">
                  <c:v>36.34457133944553</c:v>
                </c:pt>
                <c:pt idx="74">
                  <c:v>36.418925439074783</c:v>
                </c:pt>
                <c:pt idx="75">
                  <c:v>36.488887394336025</c:v>
                </c:pt>
                <c:pt idx="76">
                  <c:v>36.554435894139949</c:v>
                </c:pt>
                <c:pt idx="77">
                  <c:v>36.615550971778532</c:v>
                </c:pt>
                <c:pt idx="78">
                  <c:v>36.672214011007085</c:v>
                </c:pt>
                <c:pt idx="79">
                  <c:v>36.724407751714963</c:v>
                </c:pt>
                <c:pt idx="80">
                  <c:v>36.772116295183125</c:v>
                </c:pt>
                <c:pt idx="81">
                  <c:v>36.81532510892707</c:v>
                </c:pt>
                <c:pt idx="82">
                  <c:v>36.854021031123551</c:v>
                </c:pt>
                <c:pt idx="83">
                  <c:v>36.888192274619826</c:v>
                </c:pt>
                <c:pt idx="84">
                  <c:v>36.917828430524096</c:v>
                </c:pt>
                <c:pt idx="85">
                  <c:v>36.942920471376183</c:v>
                </c:pt>
                <c:pt idx="86">
                  <c:v>36.963460753897365</c:v>
                </c:pt>
                <c:pt idx="87">
                  <c:v>36.979443021318609</c:v>
                </c:pt>
                <c:pt idx="88">
                  <c:v>36.990862405286435</c:v>
                </c:pt>
                <c:pt idx="89">
                  <c:v>36.997715427345867</c:v>
                </c:pt>
                <c:pt idx="90">
                  <c:v>37</c:v>
                </c:pt>
                <c:pt idx="91">
                  <c:v>36.997715427345867</c:v>
                </c:pt>
                <c:pt idx="92">
                  <c:v>36.990862405286435</c:v>
                </c:pt>
                <c:pt idx="93">
                  <c:v>36.979443021318609</c:v>
                </c:pt>
                <c:pt idx="94">
                  <c:v>36.963460753897365</c:v>
                </c:pt>
                <c:pt idx="95">
                  <c:v>36.942920471376183</c:v>
                </c:pt>
                <c:pt idx="96">
                  <c:v>36.917828430524104</c:v>
                </c:pt>
                <c:pt idx="97">
                  <c:v>36.888192274619833</c:v>
                </c:pt>
                <c:pt idx="98">
                  <c:v>36.854021031123551</c:v>
                </c:pt>
                <c:pt idx="99">
                  <c:v>36.815325108927063</c:v>
                </c:pt>
                <c:pt idx="100">
                  <c:v>36.772116295183125</c:v>
                </c:pt>
                <c:pt idx="101">
                  <c:v>36.724407751714963</c:v>
                </c:pt>
                <c:pt idx="102">
                  <c:v>36.672214011007085</c:v>
                </c:pt>
                <c:pt idx="103">
                  <c:v>36.615550971778532</c:v>
                </c:pt>
                <c:pt idx="104">
                  <c:v>36.554435894139949</c:v>
                </c:pt>
                <c:pt idx="105">
                  <c:v>36.488887394336025</c:v>
                </c:pt>
                <c:pt idx="106">
                  <c:v>36.418925439074783</c:v>
                </c:pt>
                <c:pt idx="107">
                  <c:v>36.344571339445537</c:v>
                </c:pt>
                <c:pt idx="108">
                  <c:v>36.265847744427305</c:v>
                </c:pt>
                <c:pt idx="109">
                  <c:v>36.182778633989756</c:v>
                </c:pt>
                <c:pt idx="110">
                  <c:v>36.095389311788622</c:v>
                </c:pt>
                <c:pt idx="111">
                  <c:v>36.003706397458025</c:v>
                </c:pt>
                <c:pt idx="112">
                  <c:v>35.907757818501807</c:v>
                </c:pt>
                <c:pt idx="113">
                  <c:v>35.807572801786606</c:v>
                </c:pt>
                <c:pt idx="114">
                  <c:v>35.703181864639014</c:v>
                </c:pt>
                <c:pt idx="115">
                  <c:v>35.594616805549748</c:v>
                </c:pt>
                <c:pt idx="116">
                  <c:v>35.481910694487503</c:v>
                </c:pt>
                <c:pt idx="117">
                  <c:v>35.365097862825522</c:v>
                </c:pt>
                <c:pt idx="118">
                  <c:v>35.244213892883906</c:v>
                </c:pt>
                <c:pt idx="119">
                  <c:v>35.11929560709094</c:v>
                </c:pt>
                <c:pt idx="120">
                  <c:v>34.99038105676658</c:v>
                </c:pt>
                <c:pt idx="121">
                  <c:v>34.857509510531685</c:v>
                </c:pt>
                <c:pt idx="122">
                  <c:v>34.720721442346388</c:v>
                </c:pt>
                <c:pt idx="123">
                  <c:v>34.580058519181357</c:v>
                </c:pt>
                <c:pt idx="124">
                  <c:v>34.435563588325628</c:v>
                </c:pt>
                <c:pt idx="125">
                  <c:v>34.28728066433488</c:v>
                </c:pt>
                <c:pt idx="126">
                  <c:v>34.135254915624216</c:v>
                </c:pt>
                <c:pt idx="127">
                  <c:v>33.979532650709388</c:v>
                </c:pt>
                <c:pt idx="128">
                  <c:v>33.820161304100829</c:v>
                </c:pt>
                <c:pt idx="129">
                  <c:v>33.657189421854568</c:v>
                </c:pt>
                <c:pt idx="130">
                  <c:v>33.490666646784668</c:v>
                </c:pt>
                <c:pt idx="131">
                  <c:v>33.320643703341581</c:v>
                </c:pt>
                <c:pt idx="132">
                  <c:v>33.147172382160917</c:v>
                </c:pt>
                <c:pt idx="133">
                  <c:v>32.970305524287561</c:v>
                </c:pt>
                <c:pt idx="134">
                  <c:v>32.790097005079765</c:v>
                </c:pt>
                <c:pt idx="135">
                  <c:v>32.606601717798213</c:v>
                </c:pt>
                <c:pt idx="136">
                  <c:v>32.419875556884961</c:v>
                </c:pt>
                <c:pt idx="137">
                  <c:v>32.229975400937477</c:v>
                </c:pt>
                <c:pt idx="138">
                  <c:v>32.036959095382869</c:v>
                </c:pt>
                <c:pt idx="139">
                  <c:v>31.840885434857611</c:v>
                </c:pt>
                <c:pt idx="140">
                  <c:v>31.641814145298092</c:v>
                </c:pt>
                <c:pt idx="141">
                  <c:v>31.439805865747559</c:v>
                </c:pt>
                <c:pt idx="142">
                  <c:v>31.234922129884875</c:v>
                </c:pt>
                <c:pt idx="143">
                  <c:v>31.027225347280726</c:v>
                </c:pt>
                <c:pt idx="144">
                  <c:v>30.816778784387097</c:v>
                </c:pt>
                <c:pt idx="145">
                  <c:v>30.60364654526569</c:v>
                </c:pt>
                <c:pt idx="146">
                  <c:v>30.387893552061204</c:v>
                </c:pt>
                <c:pt idx="147">
                  <c:v>30.169585525225408</c:v>
                </c:pt>
                <c:pt idx="148">
                  <c:v>29.948788963498075</c:v>
                </c:pt>
                <c:pt idx="149">
                  <c:v>29.725571123650816</c:v>
                </c:pt>
                <c:pt idx="150">
                  <c:v>29.5</c:v>
                </c:pt>
                <c:pt idx="151">
                  <c:v>29.272144303695057</c:v>
                </c:pt>
                <c:pt idx="152">
                  <c:v>29.042073441788361</c:v>
                </c:pt>
                <c:pt idx="153">
                  <c:v>28.809857496093201</c:v>
                </c:pt>
                <c:pt idx="154">
                  <c:v>28.575567201836165</c:v>
                </c:pt>
                <c:pt idx="155">
                  <c:v>28.339273926110494</c:v>
                </c:pt>
                <c:pt idx="156">
                  <c:v>28.101049646137</c:v>
                </c:pt>
                <c:pt idx="157">
                  <c:v>27.860966927339106</c:v>
                </c:pt>
                <c:pt idx="158">
                  <c:v>27.619098901238683</c:v>
                </c:pt>
                <c:pt idx="159">
                  <c:v>27.375519243179511</c:v>
                </c:pt>
                <c:pt idx="160">
                  <c:v>27.130302149885033</c:v>
                </c:pt>
                <c:pt idx="161">
                  <c:v>26.883522316857348</c:v>
                </c:pt>
                <c:pt idx="162">
                  <c:v>26.635254915624213</c:v>
                </c:pt>
                <c:pt idx="163">
                  <c:v>26.385575570841056</c:v>
                </c:pt>
                <c:pt idx="164">
                  <c:v>26.134560337254989</c:v>
                </c:pt>
                <c:pt idx="165">
                  <c:v>25.882285676537816</c:v>
                </c:pt>
                <c:pt idx="166">
                  <c:v>25.628828433995015</c:v>
                </c:pt>
                <c:pt idx="167">
                  <c:v>25.374265815157976</c:v>
                </c:pt>
                <c:pt idx="168">
                  <c:v>25.118675362266391</c:v>
                </c:pt>
                <c:pt idx="169">
                  <c:v>24.862134930648175</c:v>
                </c:pt>
                <c:pt idx="170">
                  <c:v>24.604722665003962</c:v>
                </c:pt>
                <c:pt idx="171">
                  <c:v>24.346516975603464</c:v>
                </c:pt>
                <c:pt idx="172">
                  <c:v>24.087596514400978</c:v>
                </c:pt>
                <c:pt idx="173">
                  <c:v>23.828040151077214</c:v>
                </c:pt>
                <c:pt idx="174">
                  <c:v>23.567926949014804</c:v>
                </c:pt>
                <c:pt idx="175">
                  <c:v>23.307336141214872</c:v>
                </c:pt>
                <c:pt idx="176">
                  <c:v>23.046347106161882</c:v>
                </c:pt>
                <c:pt idx="177">
                  <c:v>22.785039343644165</c:v>
                </c:pt>
                <c:pt idx="178">
                  <c:v>22.523492450537518</c:v>
                </c:pt>
                <c:pt idx="179">
                  <c:v>22.261786096559252</c:v>
                </c:pt>
                <c:pt idx="180">
                  <c:v>22.000000000000004</c:v>
                </c:pt>
                <c:pt idx="181">
                  <c:v>21.738213903440752</c:v>
                </c:pt>
                <c:pt idx="182">
                  <c:v>21.476507549462486</c:v>
                </c:pt>
                <c:pt idx="183">
                  <c:v>21.214960656355846</c:v>
                </c:pt>
                <c:pt idx="184">
                  <c:v>20.953652893838129</c:v>
                </c:pt>
                <c:pt idx="185">
                  <c:v>20.692663858785131</c:v>
                </c:pt>
                <c:pt idx="186">
                  <c:v>20.432073050985199</c:v>
                </c:pt>
                <c:pt idx="187">
                  <c:v>20.171959848922782</c:v>
                </c:pt>
                <c:pt idx="188">
                  <c:v>19.912403485599018</c:v>
                </c:pt>
                <c:pt idx="189">
                  <c:v>19.653483024396539</c:v>
                </c:pt>
                <c:pt idx="190">
                  <c:v>19.395277334996042</c:v>
                </c:pt>
                <c:pt idx="191">
                  <c:v>19.137865069351829</c:v>
                </c:pt>
                <c:pt idx="192">
                  <c:v>18.881324637733613</c:v>
                </c:pt>
                <c:pt idx="193">
                  <c:v>18.625734184842024</c:v>
                </c:pt>
                <c:pt idx="194">
                  <c:v>18.371171566004989</c:v>
                </c:pt>
                <c:pt idx="195">
                  <c:v>18.117714323462195</c:v>
                </c:pt>
                <c:pt idx="196">
                  <c:v>17.865439662745022</c:v>
                </c:pt>
                <c:pt idx="197">
                  <c:v>17.614424429158948</c:v>
                </c:pt>
                <c:pt idx="198">
                  <c:v>17.364745084375784</c:v>
                </c:pt>
                <c:pt idx="199">
                  <c:v>17.116477683142648</c:v>
                </c:pt>
                <c:pt idx="200">
                  <c:v>16.869697850114971</c:v>
                </c:pt>
                <c:pt idx="201">
                  <c:v>16.624480756820493</c:v>
                </c:pt>
                <c:pt idx="202">
                  <c:v>16.380901098761321</c:v>
                </c:pt>
                <c:pt idx="203">
                  <c:v>16.139033072660897</c:v>
                </c:pt>
                <c:pt idx="204">
                  <c:v>15.898950353863004</c:v>
                </c:pt>
                <c:pt idx="205">
                  <c:v>15.66072607388951</c:v>
                </c:pt>
                <c:pt idx="206">
                  <c:v>15.424432798163844</c:v>
                </c:pt>
                <c:pt idx="207">
                  <c:v>15.190142503906806</c:v>
                </c:pt>
                <c:pt idx="208">
                  <c:v>14.957926558211643</c:v>
                </c:pt>
                <c:pt idx="209">
                  <c:v>14.727855696304939</c:v>
                </c:pt>
                <c:pt idx="210">
                  <c:v>14.499999999999998</c:v>
                </c:pt>
                <c:pt idx="211">
                  <c:v>14.274428876349187</c:v>
                </c:pt>
                <c:pt idx="212">
                  <c:v>14.051211036501929</c:v>
                </c:pt>
                <c:pt idx="213">
                  <c:v>13.830414474774594</c:v>
                </c:pt>
                <c:pt idx="214">
                  <c:v>13.6121064479388</c:v>
                </c:pt>
                <c:pt idx="215">
                  <c:v>13.396353454734312</c:v>
                </c:pt>
                <c:pt idx="216">
                  <c:v>13.183221215612905</c:v>
                </c:pt>
                <c:pt idx="217">
                  <c:v>12.972774652719279</c:v>
                </c:pt>
                <c:pt idx="218">
                  <c:v>12.765077870115132</c:v>
                </c:pt>
                <c:pt idx="219">
                  <c:v>12.560194134252443</c:v>
                </c:pt>
                <c:pt idx="220">
                  <c:v>12.358185854701912</c:v>
                </c:pt>
                <c:pt idx="221">
                  <c:v>12.159114565142389</c:v>
                </c:pt>
                <c:pt idx="222">
                  <c:v>11.963040904617127</c:v>
                </c:pt>
                <c:pt idx="223">
                  <c:v>11.770024599062525</c:v>
                </c:pt>
                <c:pt idx="224">
                  <c:v>11.580124443115039</c:v>
                </c:pt>
                <c:pt idx="225">
                  <c:v>11.393398282201789</c:v>
                </c:pt>
                <c:pt idx="226">
                  <c:v>11.209902994920236</c:v>
                </c:pt>
                <c:pt idx="227">
                  <c:v>11.029694475712443</c:v>
                </c:pt>
                <c:pt idx="228">
                  <c:v>10.85282761783909</c:v>
                </c:pt>
                <c:pt idx="229">
                  <c:v>10.679356296658424</c:v>
                </c:pt>
                <c:pt idx="230">
                  <c:v>10.509333353215332</c:v>
                </c:pt>
                <c:pt idx="231">
                  <c:v>10.342810578145434</c:v>
                </c:pt>
                <c:pt idx="232">
                  <c:v>10.179838695899168</c:v>
                </c:pt>
                <c:pt idx="233">
                  <c:v>10.020467349290607</c:v>
                </c:pt>
                <c:pt idx="234">
                  <c:v>9.8647450843757891</c:v>
                </c:pt>
                <c:pt idx="235">
                  <c:v>9.7127193356651258</c:v>
                </c:pt>
                <c:pt idx="236">
                  <c:v>9.5644364116743787</c:v>
                </c:pt>
                <c:pt idx="237">
                  <c:v>9.4199414808186397</c:v>
                </c:pt>
                <c:pt idx="238">
                  <c:v>9.2792785576536101</c:v>
                </c:pt>
                <c:pt idx="239">
                  <c:v>9.1424904894683188</c:v>
                </c:pt>
                <c:pt idx="240">
                  <c:v>9.0096189432334235</c:v>
                </c:pt>
                <c:pt idx="241">
                  <c:v>8.8807043929090668</c:v>
                </c:pt>
                <c:pt idx="242">
                  <c:v>8.7557861071160943</c:v>
                </c:pt>
                <c:pt idx="243">
                  <c:v>8.6349021371744836</c:v>
                </c:pt>
                <c:pt idx="244">
                  <c:v>8.5180893055124969</c:v>
                </c:pt>
                <c:pt idx="245">
                  <c:v>8.4053831944502484</c:v>
                </c:pt>
                <c:pt idx="246">
                  <c:v>8.2968181353609847</c:v>
                </c:pt>
                <c:pt idx="247">
                  <c:v>8.1924271982133963</c:v>
                </c:pt>
                <c:pt idx="248">
                  <c:v>8.0922421814981895</c:v>
                </c:pt>
                <c:pt idx="249">
                  <c:v>7.9962936025419751</c:v>
                </c:pt>
                <c:pt idx="250">
                  <c:v>7.9046106882113776</c:v>
                </c:pt>
                <c:pt idx="251">
                  <c:v>7.8172213660102479</c:v>
                </c:pt>
                <c:pt idx="252">
                  <c:v>7.7341522555726971</c:v>
                </c:pt>
                <c:pt idx="253">
                  <c:v>7.6554286605544704</c:v>
                </c:pt>
                <c:pt idx="254">
                  <c:v>7.5810745609252148</c:v>
                </c:pt>
                <c:pt idx="255">
                  <c:v>7.5111126056639748</c:v>
                </c:pt>
                <c:pt idx="256">
                  <c:v>7.4455641058600524</c:v>
                </c:pt>
                <c:pt idx="257">
                  <c:v>7.3844490282214732</c:v>
                </c:pt>
                <c:pt idx="258">
                  <c:v>7.3277859889929164</c:v>
                </c:pt>
                <c:pt idx="259">
                  <c:v>7.2755922482850401</c:v>
                </c:pt>
                <c:pt idx="260">
                  <c:v>7.2278837048168789</c:v>
                </c:pt>
                <c:pt idx="261">
                  <c:v>7.1846748910729357</c:v>
                </c:pt>
                <c:pt idx="262">
                  <c:v>7.145978968876447</c:v>
                </c:pt>
                <c:pt idx="263">
                  <c:v>7.1118077253801708</c:v>
                </c:pt>
                <c:pt idx="264">
                  <c:v>7.0821715694759</c:v>
                </c:pt>
                <c:pt idx="265">
                  <c:v>7.0570795286238166</c:v>
                </c:pt>
                <c:pt idx="266">
                  <c:v>7.0365392461026364</c:v>
                </c:pt>
                <c:pt idx="267">
                  <c:v>7.0205569786813911</c:v>
                </c:pt>
                <c:pt idx="268">
                  <c:v>7.0091375947135628</c:v>
                </c:pt>
                <c:pt idx="269">
                  <c:v>7.0022845726541316</c:v>
                </c:pt>
                <c:pt idx="270">
                  <c:v>7</c:v>
                </c:pt>
                <c:pt idx="271">
                  <c:v>7.0022845726541316</c:v>
                </c:pt>
                <c:pt idx="272">
                  <c:v>7.0091375947135628</c:v>
                </c:pt>
                <c:pt idx="273">
                  <c:v>7.0205569786813911</c:v>
                </c:pt>
                <c:pt idx="274">
                  <c:v>7.0365392461026346</c:v>
                </c:pt>
                <c:pt idx="275">
                  <c:v>7.0570795286238166</c:v>
                </c:pt>
                <c:pt idx="276">
                  <c:v>7.0821715694759</c:v>
                </c:pt>
                <c:pt idx="277">
                  <c:v>7.1118077253801708</c:v>
                </c:pt>
                <c:pt idx="278">
                  <c:v>7.1459789688764452</c:v>
                </c:pt>
                <c:pt idx="279">
                  <c:v>7.1846748910729339</c:v>
                </c:pt>
                <c:pt idx="280">
                  <c:v>7.2278837048168789</c:v>
                </c:pt>
                <c:pt idx="281">
                  <c:v>7.2755922482850384</c:v>
                </c:pt>
                <c:pt idx="282">
                  <c:v>7.3277859889929164</c:v>
                </c:pt>
                <c:pt idx="283">
                  <c:v>7.3844490282214714</c:v>
                </c:pt>
                <c:pt idx="284">
                  <c:v>7.4455641058600506</c:v>
                </c:pt>
                <c:pt idx="285">
                  <c:v>7.511112605663973</c:v>
                </c:pt>
                <c:pt idx="286">
                  <c:v>7.5810745609252148</c:v>
                </c:pt>
                <c:pt idx="287">
                  <c:v>7.6554286605544686</c:v>
                </c:pt>
                <c:pt idx="288">
                  <c:v>7.7341522555726954</c:v>
                </c:pt>
                <c:pt idx="289">
                  <c:v>7.8172213660102461</c:v>
                </c:pt>
                <c:pt idx="290">
                  <c:v>7.9046106882113758</c:v>
                </c:pt>
                <c:pt idx="291">
                  <c:v>7.9962936025419733</c:v>
                </c:pt>
                <c:pt idx="292">
                  <c:v>8.0922421814981895</c:v>
                </c:pt>
                <c:pt idx="293">
                  <c:v>8.1924271982133927</c:v>
                </c:pt>
                <c:pt idx="294">
                  <c:v>8.2968181353609829</c:v>
                </c:pt>
                <c:pt idx="295">
                  <c:v>8.4053831944502466</c:v>
                </c:pt>
                <c:pt idx="296">
                  <c:v>8.5180893055124951</c:v>
                </c:pt>
                <c:pt idx="297">
                  <c:v>8.6349021371744819</c:v>
                </c:pt>
                <c:pt idx="298">
                  <c:v>8.7557861071160943</c:v>
                </c:pt>
                <c:pt idx="299">
                  <c:v>8.880704392909065</c:v>
                </c:pt>
                <c:pt idx="300">
                  <c:v>9.0096189432334217</c:v>
                </c:pt>
                <c:pt idx="301">
                  <c:v>9.1424904894683152</c:v>
                </c:pt>
                <c:pt idx="302">
                  <c:v>9.2792785576536065</c:v>
                </c:pt>
                <c:pt idx="303">
                  <c:v>9.4199414808186361</c:v>
                </c:pt>
                <c:pt idx="304">
                  <c:v>9.5644364116743752</c:v>
                </c:pt>
                <c:pt idx="305">
                  <c:v>9.7127193356651222</c:v>
                </c:pt>
                <c:pt idx="306">
                  <c:v>9.8647450843757873</c:v>
                </c:pt>
                <c:pt idx="307">
                  <c:v>10.020467349290604</c:v>
                </c:pt>
                <c:pt idx="308">
                  <c:v>10.179838695899164</c:v>
                </c:pt>
                <c:pt idx="309">
                  <c:v>10.34281057814543</c:v>
                </c:pt>
                <c:pt idx="310">
                  <c:v>10.509333353215329</c:v>
                </c:pt>
                <c:pt idx="311">
                  <c:v>10.679356296658417</c:v>
                </c:pt>
                <c:pt idx="312">
                  <c:v>10.85282761783909</c:v>
                </c:pt>
                <c:pt idx="313">
                  <c:v>11.029694475712445</c:v>
                </c:pt>
                <c:pt idx="314">
                  <c:v>11.209902994920233</c:v>
                </c:pt>
                <c:pt idx="315">
                  <c:v>11.393398282201785</c:v>
                </c:pt>
                <c:pt idx="316">
                  <c:v>11.580124443115036</c:v>
                </c:pt>
                <c:pt idx="317">
                  <c:v>11.770024599062516</c:v>
                </c:pt>
                <c:pt idx="318">
                  <c:v>11.963040904617118</c:v>
                </c:pt>
                <c:pt idx="319">
                  <c:v>12.159114565142389</c:v>
                </c:pt>
                <c:pt idx="320">
                  <c:v>12.358185854701906</c:v>
                </c:pt>
                <c:pt idx="321">
                  <c:v>12.560194134252443</c:v>
                </c:pt>
                <c:pt idx="322">
                  <c:v>12.765077870115128</c:v>
                </c:pt>
                <c:pt idx="323">
                  <c:v>12.972774652719275</c:v>
                </c:pt>
                <c:pt idx="324">
                  <c:v>13.1832212156129</c:v>
                </c:pt>
                <c:pt idx="325">
                  <c:v>13.396353454734303</c:v>
                </c:pt>
                <c:pt idx="326">
                  <c:v>13.612106447938789</c:v>
                </c:pt>
                <c:pt idx="327">
                  <c:v>13.830414474774596</c:v>
                </c:pt>
                <c:pt idx="328">
                  <c:v>14.051211036501925</c:v>
                </c:pt>
                <c:pt idx="329">
                  <c:v>14.274428876349184</c:v>
                </c:pt>
                <c:pt idx="330">
                  <c:v>14.499999999999993</c:v>
                </c:pt>
                <c:pt idx="331">
                  <c:v>14.727855696304935</c:v>
                </c:pt>
                <c:pt idx="332">
                  <c:v>14.957926558211639</c:v>
                </c:pt>
                <c:pt idx="333">
                  <c:v>15.190142503906795</c:v>
                </c:pt>
                <c:pt idx="334">
                  <c:v>15.424432798163833</c:v>
                </c:pt>
                <c:pt idx="335">
                  <c:v>15.660726073889512</c:v>
                </c:pt>
                <c:pt idx="336">
                  <c:v>15.898950353862997</c:v>
                </c:pt>
                <c:pt idx="337">
                  <c:v>16.139033072660894</c:v>
                </c:pt>
                <c:pt idx="338">
                  <c:v>16.380901098761314</c:v>
                </c:pt>
                <c:pt idx="339">
                  <c:v>16.624480756820489</c:v>
                </c:pt>
                <c:pt idx="340">
                  <c:v>16.86969785011496</c:v>
                </c:pt>
                <c:pt idx="341">
                  <c:v>17.116477683142648</c:v>
                </c:pt>
                <c:pt idx="342">
                  <c:v>17.364745084375784</c:v>
                </c:pt>
                <c:pt idx="343">
                  <c:v>17.614424429158944</c:v>
                </c:pt>
                <c:pt idx="344">
                  <c:v>17.865439662745015</c:v>
                </c:pt>
                <c:pt idx="345">
                  <c:v>18.117714323462188</c:v>
                </c:pt>
                <c:pt idx="346">
                  <c:v>18.371171566004982</c:v>
                </c:pt>
                <c:pt idx="347">
                  <c:v>18.62573418484202</c:v>
                </c:pt>
                <c:pt idx="348">
                  <c:v>18.881324637733602</c:v>
                </c:pt>
                <c:pt idx="349">
                  <c:v>19.137865069351829</c:v>
                </c:pt>
                <c:pt idx="350">
                  <c:v>19.395277334996045</c:v>
                </c:pt>
                <c:pt idx="351">
                  <c:v>19.653483024396532</c:v>
                </c:pt>
                <c:pt idx="352">
                  <c:v>19.912403485599011</c:v>
                </c:pt>
                <c:pt idx="353">
                  <c:v>20.171959848922778</c:v>
                </c:pt>
                <c:pt idx="354">
                  <c:v>20.432073050985185</c:v>
                </c:pt>
                <c:pt idx="355">
                  <c:v>20.692663858785124</c:v>
                </c:pt>
                <c:pt idx="356">
                  <c:v>20.953652893838115</c:v>
                </c:pt>
                <c:pt idx="357">
                  <c:v>21.214960656355849</c:v>
                </c:pt>
                <c:pt idx="358">
                  <c:v>21.476507549462486</c:v>
                </c:pt>
                <c:pt idx="359">
                  <c:v>21.738213903440748</c:v>
                </c:pt>
                <c:pt idx="360">
                  <c:v>21.999999999999996</c:v>
                </c:pt>
              </c:numCache>
            </c:numRef>
          </c:yVal>
          <c:smooth val="1"/>
        </c:ser>
        <c:ser>
          <c:idx val="1"/>
          <c:order val="1"/>
          <c:tx>
            <c:v>转向线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试加重示意!$D$10:$D$55</c:f>
              <c:numCache>
                <c:formatCode>General</c:formatCode>
                <c:ptCount val="46"/>
                <c:pt idx="0">
                  <c:v>13.125016503445314</c:v>
                </c:pt>
                <c:pt idx="1">
                  <c:v>13.458530495408199</c:v>
                </c:pt>
                <c:pt idx="2">
                  <c:v>13.794646301725255</c:v>
                </c:pt>
                <c:pt idx="3">
                  <c:v>14.133261538265847</c:v>
                </c:pt>
                <c:pt idx="4">
                  <c:v>14.474273059548695</c:v>
                </c:pt>
                <c:pt idx="5">
                  <c:v>14.817576990160958</c:v>
                </c:pt>
                <c:pt idx="6">
                  <c:v>15.163068756399715</c:v>
                </c:pt>
                <c:pt idx="7">
                  <c:v>15.510643118126106</c:v>
                </c:pt>
                <c:pt idx="8">
                  <c:v>15.86019420082253</c:v>
                </c:pt>
                <c:pt idx="9">
                  <c:v>16.211615527843019</c:v>
                </c:pt>
                <c:pt idx="10">
                  <c:v>16.564800052847062</c:v>
                </c:pt>
                <c:pt idx="11">
                  <c:v>16.91964019240698</c:v>
                </c:pt>
                <c:pt idx="12">
                  <c:v>17.276027858778839</c:v>
                </c:pt>
                <c:pt idx="13">
                  <c:v>17.633854492827059</c:v>
                </c:pt>
                <c:pt idx="14">
                  <c:v>17.993011097092559</c:v>
                </c:pt>
                <c:pt idx="15">
                  <c:v>18.353388268994465</c:v>
                </c:pt>
                <c:pt idx="16">
                  <c:v>18.714876234155149</c:v>
                </c:pt>
                <c:pt idx="17">
                  <c:v>19.077364879838633</c:v>
                </c:pt>
                <c:pt idx="18">
                  <c:v>19.440743788491904</c:v>
                </c:pt>
                <c:pt idx="19">
                  <c:v>19.80490227137928</c:v>
                </c:pt>
                <c:pt idx="20">
                  <c:v>20.169729402299176</c:v>
                </c:pt>
                <c:pt idx="21">
                  <c:v>20.53511405137337</c:v>
                </c:pt>
                <c:pt idx="22">
                  <c:v>20.90094491889818</c:v>
                </c:pt>
                <c:pt idx="23">
                  <c:v>21.267110569247485</c:v>
                </c:pt>
                <c:pt idx="24">
                  <c:v>21.633499464817046</c:v>
                </c:pt>
                <c:pt idx="25">
                  <c:v>22</c:v>
                </c:pt>
                <c:pt idx="26">
                  <c:v>22.366500535182954</c:v>
                </c:pt>
                <c:pt idx="27">
                  <c:v>22.732889430752522</c:v>
                </c:pt>
                <c:pt idx="28">
                  <c:v>23.099055081101824</c:v>
                </c:pt>
                <c:pt idx="29">
                  <c:v>23.46488594862663</c:v>
                </c:pt>
                <c:pt idx="30">
                  <c:v>23.830270597700824</c:v>
                </c:pt>
                <c:pt idx="31">
                  <c:v>24.195097728620723</c:v>
                </c:pt>
                <c:pt idx="32">
                  <c:v>24.559256211508096</c:v>
                </c:pt>
                <c:pt idx="33">
                  <c:v>24.922635120161374</c:v>
                </c:pt>
                <c:pt idx="34">
                  <c:v>25.285123765844851</c:v>
                </c:pt>
                <c:pt idx="35">
                  <c:v>25.646611731005539</c:v>
                </c:pt>
                <c:pt idx="36">
                  <c:v>26.006988902907445</c:v>
                </c:pt>
                <c:pt idx="37">
                  <c:v>26.366145507172945</c:v>
                </c:pt>
                <c:pt idx="38">
                  <c:v>26.723972141221168</c:v>
                </c:pt>
                <c:pt idx="39">
                  <c:v>27.08035980759302</c:v>
                </c:pt>
                <c:pt idx="40">
                  <c:v>27.435199947152935</c:v>
                </c:pt>
                <c:pt idx="41">
                  <c:v>27.788384472156981</c:v>
                </c:pt>
                <c:pt idx="42">
                  <c:v>28.139805799177473</c:v>
                </c:pt>
                <c:pt idx="43">
                  <c:v>28.489356881873896</c:v>
                </c:pt>
                <c:pt idx="44">
                  <c:v>28.83693124360029</c:v>
                </c:pt>
                <c:pt idx="45">
                  <c:v>29.182423009839045</c:v>
                </c:pt>
              </c:numCache>
            </c:numRef>
          </c:xVal>
          <c:yVal>
            <c:numRef>
              <c:f>试加重示意!$E$10:$E$55</c:f>
              <c:numCache>
                <c:formatCode>General</c:formatCode>
                <c:ptCount val="46"/>
                <c:pt idx="0">
                  <c:v>41.03246352776965</c:v>
                </c:pt>
                <c:pt idx="1">
                  <c:v>41.184454610494619</c:v>
                </c:pt>
                <c:pt idx="2">
                  <c:v>41.330601922501245</c:v>
                </c:pt>
                <c:pt idx="3">
                  <c:v>41.47086094590253</c:v>
                </c:pt>
                <c:pt idx="4">
                  <c:v>41.605188956441239</c:v>
                </c:pt>
                <c:pt idx="5">
                  <c:v>41.733545036504076</c:v>
                </c:pt>
                <c:pt idx="6">
                  <c:v>41.855890087585649</c:v>
                </c:pt>
                <c:pt idx="7">
                  <c:v>41.972186842198226</c:v>
                </c:pt>
                <c:pt idx="8">
                  <c:v>42.082399875223743</c:v>
                </c:pt>
                <c:pt idx="9">
                  <c:v>42.186495614704697</c:v>
                </c:pt>
                <c:pt idx="10">
                  <c:v>42.284442352070435</c:v>
                </c:pt>
                <c:pt idx="11">
                  <c:v>42.376210251795925</c:v>
                </c:pt>
                <c:pt idx="12">
                  <c:v>42.461771360489934</c:v>
                </c:pt>
                <c:pt idx="13">
                  <c:v>42.541099615409919</c:v>
                </c:pt>
                <c:pt idx="14">
                  <c:v>42.614170852400946</c:v>
                </c:pt>
                <c:pt idx="15">
                  <c:v>42.680962813256372</c:v>
                </c:pt>
                <c:pt idx="16">
                  <c:v>42.741455152497892</c:v>
                </c:pt>
                <c:pt idx="17">
                  <c:v>42.795629443572977</c:v>
                </c:pt>
                <c:pt idx="18">
                  <c:v>42.843469184467764</c:v>
                </c:pt>
                <c:pt idx="19">
                  <c:v>42.884959802733746</c:v>
                </c:pt>
                <c:pt idx="20">
                  <c:v>42.920088659926655</c:v>
                </c:pt>
                <c:pt idx="21">
                  <c:v>42.948845055456303</c:v>
                </c:pt>
                <c:pt idx="22">
                  <c:v>42.971220229846054</c:v>
                </c:pt>
                <c:pt idx="23">
                  <c:v>42.987207367401012</c:v>
                </c:pt>
                <c:pt idx="24">
                  <c:v>42.996801598284215</c:v>
                </c:pt>
                <c:pt idx="25">
                  <c:v>43</c:v>
                </c:pt>
                <c:pt idx="26">
                  <c:v>42.996801598284215</c:v>
                </c:pt>
                <c:pt idx="27">
                  <c:v>42.987207367401012</c:v>
                </c:pt>
                <c:pt idx="28">
                  <c:v>42.971220229846054</c:v>
                </c:pt>
                <c:pt idx="29">
                  <c:v>42.948845055456303</c:v>
                </c:pt>
                <c:pt idx="30">
                  <c:v>42.920088659926655</c:v>
                </c:pt>
                <c:pt idx="31">
                  <c:v>42.884959802733739</c:v>
                </c:pt>
                <c:pt idx="32">
                  <c:v>42.843469184467764</c:v>
                </c:pt>
                <c:pt idx="33">
                  <c:v>42.795629443572977</c:v>
                </c:pt>
                <c:pt idx="34">
                  <c:v>42.741455152497892</c:v>
                </c:pt>
                <c:pt idx="35">
                  <c:v>42.680962813256372</c:v>
                </c:pt>
                <c:pt idx="36">
                  <c:v>42.614170852400946</c:v>
                </c:pt>
                <c:pt idx="37">
                  <c:v>42.541099615409919</c:v>
                </c:pt>
                <c:pt idx="38">
                  <c:v>42.461771360489934</c:v>
                </c:pt>
                <c:pt idx="39">
                  <c:v>42.376210251795925</c:v>
                </c:pt>
                <c:pt idx="40">
                  <c:v>42.284442352070435</c:v>
                </c:pt>
                <c:pt idx="41">
                  <c:v>42.186495614704697</c:v>
                </c:pt>
                <c:pt idx="42">
                  <c:v>42.082399875223743</c:v>
                </c:pt>
                <c:pt idx="43">
                  <c:v>41.972186842198226</c:v>
                </c:pt>
                <c:pt idx="44">
                  <c:v>41.855890087585649</c:v>
                </c:pt>
                <c:pt idx="45">
                  <c:v>41.733545036504069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试加重示意!$M$14</c:f>
              <c:strCache>
                <c:ptCount val="1"/>
                <c:pt idx="0">
                  <c:v>3000rpm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"/>
              <c:delete val="1"/>
            </c:dLbl>
            <c:dLbl>
              <c:idx val="2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试加重示意!$D$57:$D$59</c:f>
              <c:numCache>
                <c:formatCode>General</c:formatCode>
                <c:ptCount val="3"/>
                <c:pt idx="0">
                  <c:v>28.608846573487998</c:v>
                </c:pt>
                <c:pt idx="1">
                  <c:v>29.182423009839045</c:v>
                </c:pt>
                <c:pt idx="2">
                  <c:v>28.276115222802396</c:v>
                </c:pt>
              </c:numCache>
            </c:numRef>
          </c:xVal>
          <c:yVal>
            <c:numRef>
              <c:f>试加重示意!$E$57:$E$59</c:f>
              <c:numCache>
                <c:formatCode>General</c:formatCode>
                <c:ptCount val="3"/>
                <c:pt idx="0">
                  <c:v>42.55269708079306</c:v>
                </c:pt>
                <c:pt idx="1">
                  <c:v>41.733545036504069</c:v>
                </c:pt>
                <c:pt idx="2">
                  <c:v>41.310926774763367</c:v>
                </c:pt>
              </c:numCache>
            </c:numRef>
          </c:yVal>
          <c:smooth val="0"/>
        </c:ser>
        <c:ser>
          <c:idx val="3"/>
          <c:order val="3"/>
          <c:tx>
            <c:v>圆心</c:v>
          </c:tx>
          <c:marker>
            <c:symbol val="circle"/>
            <c:size val="5"/>
            <c:spPr>
              <a:solidFill>
                <a:srgbClr val="FF0000"/>
              </a:solidFill>
            </c:spPr>
          </c:marker>
          <c:xVal>
            <c:numRef>
              <c:f>试加重示意!$D$61</c:f>
              <c:numCache>
                <c:formatCode>General</c:formatCode>
                <c:ptCount val="1"/>
                <c:pt idx="0">
                  <c:v>22</c:v>
                </c:pt>
              </c:numCache>
            </c:numRef>
          </c:xVal>
          <c:yVal>
            <c:numRef>
              <c:f>试加重示意!$E$61</c:f>
              <c:numCache>
                <c:formatCode>General</c:formatCode>
                <c:ptCount val="1"/>
                <c:pt idx="0">
                  <c:v>22</c:v>
                </c:pt>
              </c:numCache>
            </c:numRef>
          </c:yVal>
          <c:smooth val="1"/>
        </c:ser>
        <c:ser>
          <c:idx val="4"/>
          <c:order val="4"/>
          <c:tx>
            <c:v>键相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spPr>
                <a:noFill/>
              </c:spPr>
              <c:txPr>
                <a:bodyPr anchor="b" anchorCtr="1"/>
                <a:lstStyle/>
                <a:p>
                  <a:pPr>
                    <a:defRPr sz="1200" b="1"/>
                  </a:pPr>
                  <a:endParaRPr lang="zh-CN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</c:dLbl>
            <c:spPr>
              <a:noFill/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试加重示意!$D$66:$D$67</c:f>
              <c:numCache>
                <c:formatCode>General</c:formatCode>
                <c:ptCount val="2"/>
                <c:pt idx="0">
                  <c:v>2.5</c:v>
                </c:pt>
                <c:pt idx="1">
                  <c:v>0.5</c:v>
                </c:pt>
              </c:numCache>
            </c:numRef>
          </c:xVal>
          <c:yVal>
            <c:numRef>
              <c:f>试加重示意!$E$66:$E$67</c:f>
              <c:numCache>
                <c:formatCode>General</c:formatCode>
                <c:ptCount val="2"/>
                <c:pt idx="0">
                  <c:v>22.000000000000004</c:v>
                </c:pt>
                <c:pt idx="1">
                  <c:v>22.000000000000004</c:v>
                </c:pt>
              </c:numCache>
            </c:numRef>
          </c:yVal>
          <c:smooth val="1"/>
        </c:ser>
        <c:ser>
          <c:idx val="5"/>
          <c:order val="5"/>
          <c:tx>
            <c:v>键相宽</c:v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试加重示意!$D$68:$D$70</c:f>
              <c:numCache>
                <c:formatCode>General</c:formatCode>
                <c:ptCount val="3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</c:numCache>
            </c:numRef>
          </c:xVal>
          <c:yVal>
            <c:numRef>
              <c:f>试加重示意!$E$68:$E$70</c:f>
              <c:numCache>
                <c:formatCode>General</c:formatCode>
                <c:ptCount val="3"/>
                <c:pt idx="0">
                  <c:v>23.000000000000004</c:v>
                </c:pt>
                <c:pt idx="1">
                  <c:v>22.000000000000004</c:v>
                </c:pt>
                <c:pt idx="2">
                  <c:v>21.000000000000004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试加重示意!$L$15</c:f>
              <c:strCache>
                <c:ptCount val="1"/>
                <c:pt idx="0">
                  <c:v>X向</c:v>
                </c:pt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"/>
              <c:delete val="1"/>
            </c:dLbl>
            <c:spPr>
              <a:scene3d>
                <a:camera prst="orthographicFront"/>
                <a:lightRig rig="threePt" dir="t"/>
              </a:scene3d>
              <a:sp3d>
                <a:bevelT prst="relaxedInset"/>
              </a:sp3d>
            </c:spPr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试加重示意!$D$75:$D$76</c:f>
              <c:numCache>
                <c:formatCode>General</c:formatCode>
                <c:ptCount val="2"/>
                <c:pt idx="0">
                  <c:v>8.2114177668623238</c:v>
                </c:pt>
                <c:pt idx="1">
                  <c:v>6.7972042044892298</c:v>
                </c:pt>
              </c:numCache>
            </c:numRef>
          </c:xVal>
          <c:yVal>
            <c:numRef>
              <c:f>试加重示意!$E$75:$E$76</c:f>
              <c:numCache>
                <c:formatCode>General</c:formatCode>
                <c:ptCount val="2"/>
                <c:pt idx="0">
                  <c:v>35.788582233137674</c:v>
                </c:pt>
                <c:pt idx="1">
                  <c:v>37.202795795510774</c:v>
                </c:pt>
              </c:numCache>
            </c:numRef>
          </c:yVal>
          <c:smooth val="1"/>
        </c:ser>
        <c:ser>
          <c:idx val="7"/>
          <c:order val="7"/>
          <c:tx>
            <c:v>X向宽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试加重示意!$D$77:$D$79</c:f>
              <c:numCache>
                <c:formatCode>General</c:formatCode>
                <c:ptCount val="3"/>
                <c:pt idx="0">
                  <c:v>8.9185245480488717</c:v>
                </c:pt>
                <c:pt idx="1">
                  <c:v>8.2114177668623238</c:v>
                </c:pt>
                <c:pt idx="2">
                  <c:v>7.5043109856757759</c:v>
                </c:pt>
              </c:numCache>
            </c:numRef>
          </c:xVal>
          <c:yVal>
            <c:numRef>
              <c:f>试加重示意!$E$77:$E$79</c:f>
              <c:numCache>
                <c:formatCode>General</c:formatCode>
                <c:ptCount val="3"/>
                <c:pt idx="0">
                  <c:v>36.495689014324221</c:v>
                </c:pt>
                <c:pt idx="1">
                  <c:v>35.788582233137674</c:v>
                </c:pt>
                <c:pt idx="2">
                  <c:v>35.081475451951128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试加重示意!$L$20</c:f>
              <c:strCache>
                <c:ptCount val="1"/>
                <c:pt idx="0">
                  <c:v>Y向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dPt>
          <c:dLbls>
            <c:dLbl>
              <c:idx val="0"/>
              <c:delete val="1"/>
            </c:dLbl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试加重示意!$D$84:$D$85</c:f>
              <c:numCache>
                <c:formatCode>General</c:formatCode>
                <c:ptCount val="2"/>
                <c:pt idx="0">
                  <c:v>35.788582233137674</c:v>
                </c:pt>
                <c:pt idx="1">
                  <c:v>37.202795795510774</c:v>
                </c:pt>
              </c:numCache>
            </c:numRef>
          </c:xVal>
          <c:yVal>
            <c:numRef>
              <c:f>试加重示意!$E$84:$E$85</c:f>
              <c:numCache>
                <c:formatCode>General</c:formatCode>
                <c:ptCount val="2"/>
                <c:pt idx="0">
                  <c:v>35.788582233137674</c:v>
                </c:pt>
                <c:pt idx="1">
                  <c:v>37.202795795510767</c:v>
                </c:pt>
              </c:numCache>
            </c:numRef>
          </c:yVal>
          <c:smooth val="1"/>
        </c:ser>
        <c:ser>
          <c:idx val="9"/>
          <c:order val="9"/>
          <c:tx>
            <c:v>Y向宽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试加重示意!$D$86:$D$88</c:f>
              <c:numCache>
                <c:formatCode>General</c:formatCode>
                <c:ptCount val="3"/>
                <c:pt idx="0">
                  <c:v>36.495689014324221</c:v>
                </c:pt>
                <c:pt idx="1">
                  <c:v>35.788582233137674</c:v>
                </c:pt>
                <c:pt idx="2">
                  <c:v>35.081475451951128</c:v>
                </c:pt>
              </c:numCache>
            </c:numRef>
          </c:xVal>
          <c:yVal>
            <c:numRef>
              <c:f>试加重示意!$E$86:$E$88</c:f>
              <c:numCache>
                <c:formatCode>General</c:formatCode>
                <c:ptCount val="3"/>
                <c:pt idx="0">
                  <c:v>35.081475451951128</c:v>
                </c:pt>
                <c:pt idx="1">
                  <c:v>35.788582233137674</c:v>
                </c:pt>
                <c:pt idx="2">
                  <c:v>36.495689014324221</c:v>
                </c:pt>
              </c:numCache>
            </c:numRef>
          </c:yVal>
          <c:smooth val="1"/>
        </c:ser>
        <c:ser>
          <c:idx val="10"/>
          <c:order val="10"/>
          <c:tx>
            <c:v>Ax矢量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试加重示意!$D$93:$D$94</c:f>
              <c:numCache>
                <c:formatCode>General</c:formatCode>
                <c:ptCount val="2"/>
                <c:pt idx="0">
                  <c:v>22</c:v>
                </c:pt>
                <c:pt idx="1">
                  <c:v>7.5111126056639765</c:v>
                </c:pt>
              </c:numCache>
            </c:numRef>
          </c:xVal>
          <c:yVal>
            <c:numRef>
              <c:f>试加重示意!$E$93:$E$94</c:f>
              <c:numCache>
                <c:formatCode>General</c:formatCode>
                <c:ptCount val="2"/>
                <c:pt idx="0">
                  <c:v>22</c:v>
                </c:pt>
                <c:pt idx="1">
                  <c:v>25.882285676537816</c:v>
                </c:pt>
              </c:numCache>
            </c:numRef>
          </c:yVal>
          <c:smooth val="1"/>
        </c:ser>
        <c:ser>
          <c:idx val="11"/>
          <c:order val="11"/>
          <c:tx>
            <c:v>Ax矢量箭头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试加重示意!$D$95:$D$97</c:f>
              <c:numCache>
                <c:formatCode>General</c:formatCode>
                <c:ptCount val="3"/>
                <c:pt idx="0">
                  <c:v>8.0111126056639765</c:v>
                </c:pt>
                <c:pt idx="1">
                  <c:v>7.5111126056639765</c:v>
                </c:pt>
                <c:pt idx="2">
                  <c:v>8.3771380094484158</c:v>
                </c:pt>
              </c:numCache>
            </c:numRef>
          </c:xVal>
          <c:yVal>
            <c:numRef>
              <c:f>试加重示意!$E$95:$E$97</c:f>
              <c:numCache>
                <c:formatCode>General</c:formatCode>
                <c:ptCount val="3"/>
                <c:pt idx="0">
                  <c:v>25.016260272753378</c:v>
                </c:pt>
                <c:pt idx="1">
                  <c:v>25.882285676537816</c:v>
                </c:pt>
                <c:pt idx="2">
                  <c:v>26.382285676537816</c:v>
                </c:pt>
              </c:numCache>
            </c:numRef>
          </c:yVal>
          <c:smooth val="0"/>
        </c:ser>
        <c:ser>
          <c:idx val="12"/>
          <c:order val="12"/>
          <c:tx>
            <c:v>Px矢量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试加重示意!$D$99:$D$100</c:f>
              <c:numCache>
                <c:formatCode>General</c:formatCode>
                <c:ptCount val="2"/>
                <c:pt idx="0">
                  <c:v>22</c:v>
                </c:pt>
                <c:pt idx="1">
                  <c:v>35.594616805549748</c:v>
                </c:pt>
              </c:numCache>
            </c:numRef>
          </c:xVal>
          <c:yVal>
            <c:numRef>
              <c:f>试加重示意!$E$99:$E$100</c:f>
              <c:numCache>
                <c:formatCode>General</c:formatCode>
                <c:ptCount val="2"/>
                <c:pt idx="0">
                  <c:v>22</c:v>
                </c:pt>
                <c:pt idx="1">
                  <c:v>28.339273926110494</c:v>
                </c:pt>
              </c:numCache>
            </c:numRef>
          </c:yVal>
          <c:smooth val="1"/>
        </c:ser>
        <c:ser>
          <c:idx val="13"/>
          <c:order val="13"/>
          <c:tx>
            <c:v>Px矢量箭头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试加重示意!$D$101:$D$103</c:f>
              <c:numCache>
                <c:formatCode>General</c:formatCode>
                <c:ptCount val="3"/>
                <c:pt idx="0">
                  <c:v>34.654924184763843</c:v>
                </c:pt>
                <c:pt idx="1">
                  <c:v>35.594616805549748</c:v>
                </c:pt>
                <c:pt idx="2">
                  <c:v>35.252596662224079</c:v>
                </c:pt>
              </c:numCache>
            </c:numRef>
          </c:xVal>
          <c:yVal>
            <c:numRef>
              <c:f>试加重示意!$E$101:$E$103</c:f>
              <c:numCache>
                <c:formatCode>General</c:formatCode>
                <c:ptCount val="3"/>
                <c:pt idx="0">
                  <c:v>28.681294069436163</c:v>
                </c:pt>
                <c:pt idx="1">
                  <c:v>28.339273926110494</c:v>
                </c:pt>
                <c:pt idx="2">
                  <c:v>27.399581305324585</c:v>
                </c:pt>
              </c:numCache>
            </c:numRef>
          </c:yVal>
          <c:smooth val="0"/>
        </c:ser>
        <c:ser>
          <c:idx val="14"/>
          <c:order val="14"/>
          <c:tx>
            <c:v>基线</c:v>
          </c:tx>
          <c:spPr>
            <a:ln w="6350">
              <a:prstDash val="sysDash"/>
            </a:ln>
          </c:spPr>
          <c:marker>
            <c:symbol val="none"/>
          </c:marker>
          <c:xVal>
            <c:numRef>
              <c:f>试加重示意!$D$90:$D$91</c:f>
              <c:numCache>
                <c:formatCode>General</c:formatCode>
                <c:ptCount val="2"/>
                <c:pt idx="0">
                  <c:v>22</c:v>
                </c:pt>
                <c:pt idx="1">
                  <c:v>7</c:v>
                </c:pt>
              </c:numCache>
            </c:numRef>
          </c:xVal>
          <c:yVal>
            <c:numRef>
              <c:f>试加重示意!$E$90:$E$91</c:f>
              <c:numCache>
                <c:formatCode>General</c:formatCode>
                <c:ptCount val="2"/>
                <c:pt idx="0">
                  <c:v>22</c:v>
                </c:pt>
                <c:pt idx="1">
                  <c:v>22.000000000000004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试加重示意!$L$17</c:f>
              <c:strCache>
                <c:ptCount val="1"/>
                <c:pt idx="0">
                  <c:v>Ax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试加重示意!$D$98</c:f>
              <c:numCache>
                <c:formatCode>General</c:formatCode>
                <c:ptCount val="1"/>
                <c:pt idx="0">
                  <c:v>5.3377794965135728</c:v>
                </c:pt>
              </c:numCache>
            </c:numRef>
          </c:xVal>
          <c:yVal>
            <c:numRef>
              <c:f>试加重示意!$E$98</c:f>
              <c:numCache>
                <c:formatCode>General</c:formatCode>
                <c:ptCount val="1"/>
                <c:pt idx="0">
                  <c:v>26.464628528018487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试加重示意!$L$16</c:f>
              <c:strCache>
                <c:ptCount val="1"/>
                <c:pt idx="0">
                  <c:v>Px</c:v>
                </c:pt>
              </c:strCache>
            </c:strRef>
          </c:tx>
          <c:marker>
            <c:symbol val="none"/>
          </c:marker>
          <c:dLbls>
            <c:numFmt formatCode="#,##0_);\(#,##0\)" sourceLinked="0"/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试加重示意!$D$104</c:f>
              <c:numCache>
                <c:formatCode>General</c:formatCode>
                <c:ptCount val="1"/>
                <c:pt idx="0">
                  <c:v>37.633809326382213</c:v>
                </c:pt>
              </c:numCache>
            </c:numRef>
          </c:xVal>
          <c:yVal>
            <c:numRef>
              <c:f>试加重示意!$E$104</c:f>
              <c:numCache>
                <c:formatCode>General</c:formatCode>
                <c:ptCount val="1"/>
                <c:pt idx="0">
                  <c:v>29.290165015027064</c:v>
                </c:pt>
              </c:numCache>
            </c:numRef>
          </c:yVal>
          <c:smooth val="1"/>
        </c:ser>
        <c:ser>
          <c:idx val="17"/>
          <c:order val="17"/>
          <c:tx>
            <c:v>Px夹角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试加重示意!$G$4:$G$204</c:f>
              <c:numCache>
                <c:formatCode>General</c:formatCode>
                <c:ptCount val="201"/>
                <c:pt idx="0">
                  <c:v>19.75</c:v>
                </c:pt>
                <c:pt idx="1">
                  <c:v>19.750360033909029</c:v>
                </c:pt>
                <c:pt idx="2">
                  <c:v>19.75144002041441</c:v>
                </c:pt>
                <c:pt idx="3">
                  <c:v>19.75323961388791</c:v>
                </c:pt>
                <c:pt idx="4">
                  <c:v>19.755758238405377</c:v>
                </c:pt>
                <c:pt idx="5">
                  <c:v>19.758995087931048</c:v>
                </c:pt>
                <c:pt idx="6">
                  <c:v>19.762949126575514</c:v>
                </c:pt>
                <c:pt idx="7">
                  <c:v>19.767619088927226</c:v>
                </c:pt>
                <c:pt idx="8">
                  <c:v>19.773003480457476</c:v>
                </c:pt>
                <c:pt idx="9">
                  <c:v>19.779100577998676</c:v>
                </c:pt>
                <c:pt idx="10">
                  <c:v>19.785908430295848</c:v>
                </c:pt>
                <c:pt idx="11">
                  <c:v>19.793424858631045</c:v>
                </c:pt>
                <c:pt idx="12">
                  <c:v>19.801647457520659</c:v>
                </c:pt>
                <c:pt idx="13">
                  <c:v>19.810573595485195</c:v>
                </c:pt>
                <c:pt idx="14">
                  <c:v>19.82020041589146</c:v>
                </c:pt>
                <c:pt idx="15">
                  <c:v>19.830524837866761</c:v>
                </c:pt>
                <c:pt idx="16">
                  <c:v>19.841543557284872</c:v>
                </c:pt>
                <c:pt idx="17">
                  <c:v>19.853253047823461</c:v>
                </c:pt>
                <c:pt idx="18">
                  <c:v>19.865649562092614</c:v>
                </c:pt>
                <c:pt idx="19">
                  <c:v>19.878729132834124</c:v>
                </c:pt>
                <c:pt idx="20">
                  <c:v>19.892487574191108</c:v>
                </c:pt>
                <c:pt idx="21">
                  <c:v>19.906920483047639</c:v>
                </c:pt>
                <c:pt idx="22">
                  <c:v>19.922023240437852</c:v>
                </c:pt>
                <c:pt idx="23">
                  <c:v>19.937791013024167</c:v>
                </c:pt>
                <c:pt idx="24">
                  <c:v>19.954218754644099</c:v>
                </c:pt>
                <c:pt idx="25">
                  <c:v>19.971301207925165</c:v>
                </c:pt>
                <c:pt idx="26">
                  <c:v>19.989032905967434</c:v>
                </c:pt>
                <c:pt idx="27">
                  <c:v>20.007408174093076</c:v>
                </c:pt>
                <c:pt idx="28">
                  <c:v>20.026421131662428</c:v>
                </c:pt>
                <c:pt idx="29">
                  <c:v>20.046065693955999</c:v>
                </c:pt>
                <c:pt idx="30">
                  <c:v>20.066335574121734</c:v>
                </c:pt>
                <c:pt idx="31">
                  <c:v>20.087224285187027</c:v>
                </c:pt>
                <c:pt idx="32">
                  <c:v>20.108725142134713</c:v>
                </c:pt>
                <c:pt idx="33">
                  <c:v>20.130831264042513</c:v>
                </c:pt>
                <c:pt idx="34">
                  <c:v>20.153535576285105</c:v>
                </c:pt>
                <c:pt idx="35">
                  <c:v>20.176830812798226</c:v>
                </c:pt>
                <c:pt idx="36">
                  <c:v>20.20070951840405</c:v>
                </c:pt>
                <c:pt idx="37">
                  <c:v>20.225164051197044</c:v>
                </c:pt>
                <c:pt idx="38">
                  <c:v>20.250186584989621</c:v>
                </c:pt>
                <c:pt idx="39">
                  <c:v>20.275769111816754</c:v>
                </c:pt>
                <c:pt idx="40">
                  <c:v>20.30190344449877</c:v>
                </c:pt>
                <c:pt idx="41">
                  <c:v>20.32858121926148</c:v>
                </c:pt>
                <c:pt idx="42">
                  <c:v>20.355793898412859</c:v>
                </c:pt>
                <c:pt idx="43">
                  <c:v>20.383532773075348</c:v>
                </c:pt>
                <c:pt idx="44">
                  <c:v>20.411788965972974</c:v>
                </c:pt>
                <c:pt idx="45">
                  <c:v>20.440553434272328</c:v>
                </c:pt>
                <c:pt idx="46">
                  <c:v>20.469816972476547</c:v>
                </c:pt>
                <c:pt idx="47">
                  <c:v>20.499570215371374</c:v>
                </c:pt>
                <c:pt idx="48">
                  <c:v>20.529803641022269</c:v>
                </c:pt>
                <c:pt idx="49">
                  <c:v>20.560507573821756</c:v>
                </c:pt>
                <c:pt idx="50">
                  <c:v>20.591672187585875</c:v>
                </c:pt>
                <c:pt idx="51">
                  <c:v>20.62328750869888</c:v>
                </c:pt>
                <c:pt idx="52">
                  <c:v>20.655343419305087</c:v>
                </c:pt>
                <c:pt idx="53">
                  <c:v>20.687829660546889</c:v>
                </c:pt>
                <c:pt idx="54">
                  <c:v>20.720735835847915</c:v>
                </c:pt>
                <c:pt idx="55">
                  <c:v>20.754051414240227</c:v>
                </c:pt>
                <c:pt idx="56">
                  <c:v>20.787765733734567</c:v>
                </c:pt>
                <c:pt idx="57">
                  <c:v>20.821868004732501</c:v>
                </c:pt>
                <c:pt idx="58">
                  <c:v>20.856347313479414</c:v>
                </c:pt>
                <c:pt idx="59">
                  <c:v>20.891192625557263</c:v>
                </c:pt>
                <c:pt idx="60">
                  <c:v>20.926392789415893</c:v>
                </c:pt>
                <c:pt idx="61">
                  <c:v>20.961936539941888</c:v>
                </c:pt>
                <c:pt idx="62">
                  <c:v>20.997812502063745</c:v>
                </c:pt>
                <c:pt idx="63">
                  <c:v>21.034009194392233</c:v>
                </c:pt>
                <c:pt idx="64">
                  <c:v>21.070515032894797</c:v>
                </c:pt>
                <c:pt idx="65">
                  <c:v>21.107318334602766</c:v>
                </c:pt>
                <c:pt idx="66">
                  <c:v>21.1444073213503</c:v>
                </c:pt>
                <c:pt idx="67">
                  <c:v>21.181770123543732</c:v>
                </c:pt>
                <c:pt idx="68">
                  <c:v>21.21939478396019</c:v>
                </c:pt>
                <c:pt idx="69">
                  <c:v>21.257269261574276</c:v>
                </c:pt>
                <c:pt idx="70">
                  <c:v>21.295381435411578</c:v>
                </c:pt>
                <c:pt idx="71">
                  <c:v>21.333719108427704</c:v>
                </c:pt>
                <c:pt idx="72">
                  <c:v>21.37227001141175</c:v>
                </c:pt>
                <c:pt idx="73">
                  <c:v>21.411021806912775</c:v>
                </c:pt>
                <c:pt idx="74">
                  <c:v>21.449962093188191</c:v>
                </c:pt>
                <c:pt idx="75">
                  <c:v>21.489078408172674</c:v>
                </c:pt>
                <c:pt idx="76">
                  <c:v>21.528358233466417</c:v>
                </c:pt>
                <c:pt idx="77">
                  <c:v>21.567788998341371</c:v>
                </c:pt>
                <c:pt idx="78">
                  <c:v>21.607358083764282</c:v>
                </c:pt>
                <c:pt idx="79">
                  <c:v>21.64705282643515</c:v>
                </c:pt>
                <c:pt idx="80">
                  <c:v>21.686860522839861</c:v>
                </c:pt>
                <c:pt idx="81">
                  <c:v>21.726768433315719</c:v>
                </c:pt>
                <c:pt idx="82">
                  <c:v>21.766763786128482</c:v>
                </c:pt>
                <c:pt idx="83">
                  <c:v>21.806833781559746</c:v>
                </c:pt>
                <c:pt idx="84">
                  <c:v>21.846965596003198</c:v>
                </c:pt>
                <c:pt idx="85">
                  <c:v>21.887146386068597</c:v>
                </c:pt>
                <c:pt idx="86">
                  <c:v>21.927363292692014</c:v>
                </c:pt>
                <c:pt idx="87">
                  <c:v>21.967603445251136</c:v>
                </c:pt>
                <c:pt idx="88">
                  <c:v>22.007853965684255</c:v>
                </c:pt>
                <c:pt idx="89">
                  <c:v>22.048101972611629</c:v>
                </c:pt>
                <c:pt idx="90">
                  <c:v>22.088334585457908</c:v>
                </c:pt>
                <c:pt idx="91">
                  <c:v>22.128538928574311</c:v>
                </c:pt>
                <c:pt idx="92">
                  <c:v>22.168702135359236</c:v>
                </c:pt>
                <c:pt idx="93">
                  <c:v>22.208811352375935</c:v>
                </c:pt>
                <c:pt idx="94">
                  <c:v>22.248853743466015</c:v>
                </c:pt>
                <c:pt idx="95">
                  <c:v>22.2888164938574</c:v>
                </c:pt>
                <c:pt idx="96">
                  <c:v>22.328686814265424</c:v>
                </c:pt>
                <c:pt idx="97">
                  <c:v>22.368451944985814</c:v>
                </c:pt>
                <c:pt idx="98">
                  <c:v>22.408099159978171</c:v>
                </c:pt>
                <c:pt idx="99">
                  <c:v>22.447615770938672</c:v>
                </c:pt>
                <c:pt idx="100">
                  <c:v>22.486989131360726</c:v>
                </c:pt>
                <c:pt idx="101">
                  <c:v>22.526206640582227</c:v>
                </c:pt>
                <c:pt idx="102">
                  <c:v>22.565255747818163</c:v>
                </c:pt>
                <c:pt idx="103">
                  <c:v>22.604123956177219</c:v>
                </c:pt>
                <c:pt idx="104">
                  <c:v>22.642798826661181</c:v>
                </c:pt>
                <c:pt idx="105">
                  <c:v>22.68126798214578</c:v>
                </c:pt>
                <c:pt idx="106">
                  <c:v>22.719519111341754</c:v>
                </c:pt>
                <c:pt idx="107">
                  <c:v>22.757539972734815</c:v>
                </c:pt>
                <c:pt idx="108">
                  <c:v>22.795318398503316</c:v>
                </c:pt>
                <c:pt idx="109">
                  <c:v>22.83284229841232</c:v>
                </c:pt>
                <c:pt idx="110">
                  <c:v>22.870099663682833</c:v>
                </c:pt>
                <c:pt idx="111">
                  <c:v>22.90707857083498</c:v>
                </c:pt>
                <c:pt idx="112">
                  <c:v>22.943767185503884</c:v>
                </c:pt>
                <c:pt idx="113">
                  <c:v>22.980153766226998</c:v>
                </c:pt>
                <c:pt idx="114">
                  <c:v>23.016226668201753</c:v>
                </c:pt>
                <c:pt idx="115">
                  <c:v>23.051974347012234</c:v>
                </c:pt>
                <c:pt idx="116">
                  <c:v>23.087385362323737</c:v>
                </c:pt>
                <c:pt idx="117">
                  <c:v>23.122448381544022</c:v>
                </c:pt>
                <c:pt idx="118">
                  <c:v>23.157152183450094</c:v>
                </c:pt>
                <c:pt idx="119">
                  <c:v>23.191485661779325</c:v>
                </c:pt>
                <c:pt idx="120">
                  <c:v>23.225437828783789</c:v>
                </c:pt>
                <c:pt idx="121">
                  <c:v>23.258997818746685</c:v>
                </c:pt>
                <c:pt idx="122">
                  <c:v>23.292154891459674</c:v>
                </c:pt>
                <c:pt idx="123">
                  <c:v>23.324898435660092</c:v>
                </c:pt>
                <c:pt idx="124">
                  <c:v>23.357217972426863</c:v>
                </c:pt>
                <c:pt idx="125">
                  <c:v>23.389103158534063</c:v>
                </c:pt>
                <c:pt idx="126">
                  <c:v>23.420543789761076</c:v>
                </c:pt>
                <c:pt idx="127">
                  <c:v>23.451529804158248</c:v>
                </c:pt>
                <c:pt idx="128">
                  <c:v>23.482051285267008</c:v>
                </c:pt>
                <c:pt idx="129">
                  <c:v>23.512098465293445</c:v>
                </c:pt>
                <c:pt idx="130">
                  <c:v>23.541661728234285</c:v>
                </c:pt>
                <c:pt idx="131">
                  <c:v>23.570731612954312</c:v>
                </c:pt>
                <c:pt idx="132">
                  <c:v>23.599298816214208</c:v>
                </c:pt>
                <c:pt idx="133">
                  <c:v>23.627354195647879</c:v>
                </c:pt>
                <c:pt idx="134">
                  <c:v>23.654888772688274</c:v>
                </c:pt>
                <c:pt idx="135">
                  <c:v>23.681893735440816</c:v>
                </c:pt>
                <c:pt idx="136">
                  <c:v>23.708360441503455</c:v>
                </c:pt>
                <c:pt idx="137">
                  <c:v>23.73428042073251</c:v>
                </c:pt>
                <c:pt idx="138">
                  <c:v>23.759645377953362</c:v>
                </c:pt>
                <c:pt idx="139">
                  <c:v>23.784447195615169</c:v>
                </c:pt>
                <c:pt idx="140">
                  <c:v>23.808677936388712</c:v>
                </c:pt>
                <c:pt idx="141">
                  <c:v>23.832329845706607</c:v>
                </c:pt>
                <c:pt idx="142">
                  <c:v>23.855395354244962</c:v>
                </c:pt>
                <c:pt idx="143">
                  <c:v>23.877867080345823</c:v>
                </c:pt>
                <c:pt idx="144">
                  <c:v>23.899737832379508</c:v>
                </c:pt>
                <c:pt idx="145">
                  <c:v>23.921000611046157</c:v>
                </c:pt>
                <c:pt idx="146">
                  <c:v>23.941648611615697</c:v>
                </c:pt>
                <c:pt idx="147">
                  <c:v>23.961675226105601</c:v>
                </c:pt>
                <c:pt idx="148">
                  <c:v>23.981074045395591</c:v>
                </c:pt>
                <c:pt idx="149">
                  <c:v>23.999838861278793</c:v>
                </c:pt>
                <c:pt idx="150">
                  <c:v>24.017963668448527</c:v>
                </c:pt>
                <c:pt idx="151">
                  <c:v>24.035442666420188</c:v>
                </c:pt>
                <c:pt idx="152">
                  <c:v>24.052270261387591</c:v>
                </c:pt>
                <c:pt idx="153">
                  <c:v>24.068441068013136</c:v>
                </c:pt>
                <c:pt idx="154">
                  <c:v>24.083949911151297</c:v>
                </c:pt>
                <c:pt idx="155">
                  <c:v>24.098791827504805</c:v>
                </c:pt>
                <c:pt idx="156">
                  <c:v>24.112962067213076</c:v>
                </c:pt>
                <c:pt idx="157">
                  <c:v>24.126456095372291</c:v>
                </c:pt>
                <c:pt idx="158">
                  <c:v>24.139269593486713</c:v>
                </c:pt>
                <c:pt idx="159">
                  <c:v>24.151398460850729</c:v>
                </c:pt>
                <c:pt idx="160">
                  <c:v>24.1628388158612</c:v>
                </c:pt>
                <c:pt idx="161">
                  <c:v>24.173586997259697</c:v>
                </c:pt>
                <c:pt idx="162">
                  <c:v>24.183639565304205</c:v>
                </c:pt>
                <c:pt idx="163">
                  <c:v>24.192993302869954</c:v>
                </c:pt>
                <c:pt idx="164">
                  <c:v>24.201645216478987</c:v>
                </c:pt>
                <c:pt idx="165">
                  <c:v>24.209592537258171</c:v>
                </c:pt>
                <c:pt idx="166">
                  <c:v>24.216832721825313</c:v>
                </c:pt>
                <c:pt idx="167">
                  <c:v>24.223363453103119</c:v>
                </c:pt>
                <c:pt idx="168">
                  <c:v>24.229182641060738</c:v>
                </c:pt>
                <c:pt idx="169">
                  <c:v>24.234288423382626</c:v>
                </c:pt>
                <c:pt idx="170">
                  <c:v>24.238679166064543</c:v>
                </c:pt>
                <c:pt idx="171">
                  <c:v>24.242353463936489</c:v>
                </c:pt>
                <c:pt idx="172">
                  <c:v>24.245310141112398</c:v>
                </c:pt>
                <c:pt idx="173">
                  <c:v>24.247548251366453</c:v>
                </c:pt>
                <c:pt idx="174">
                  <c:v>24.249067078435914</c:v>
                </c:pt>
                <c:pt idx="175">
                  <c:v>24.249866136250336</c:v>
                </c:pt>
                <c:pt idx="176">
                  <c:v>24.249945169087137</c:v>
                </c:pt>
                <c:pt idx="177">
                  <c:v>24.24930415165343</c:v>
                </c:pt>
                <c:pt idx="178">
                  <c:v>24.24794328909411</c:v>
                </c:pt>
                <c:pt idx="179">
                  <c:v>24.245863016926215</c:v>
                </c:pt>
                <c:pt idx="180">
                  <c:v>24.243064000899544</c:v>
                </c:pt>
                <c:pt idx="181">
                  <c:v>24.239547136783589</c:v>
                </c:pt>
                <c:pt idx="182">
                  <c:v>24.235313550080868</c:v>
                </c:pt>
                <c:pt idx="183">
                  <c:v>24.230364595666735</c:v>
                </c:pt>
                <c:pt idx="184">
                  <c:v>24.224701857355775</c:v>
                </c:pt>
                <c:pt idx="185">
                  <c:v>24.218327147394923</c:v>
                </c:pt>
                <c:pt idx="186">
                  <c:v>24.211242505883508</c:v>
                </c:pt>
                <c:pt idx="187">
                  <c:v>24.203450200120361</c:v>
                </c:pt>
                <c:pt idx="188">
                  <c:v>24.194952723878195</c:v>
                </c:pt>
                <c:pt idx="189">
                  <c:v>24.185752796605527</c:v>
                </c:pt>
                <c:pt idx="190">
                  <c:v>24.175853362556392</c:v>
                </c:pt>
                <c:pt idx="191">
                  <c:v>24.165257589848061</c:v>
                </c:pt>
                <c:pt idx="192">
                  <c:v>24.153968869447173</c:v>
                </c:pt>
                <c:pt idx="193">
                  <c:v>24.141990814084515</c:v>
                </c:pt>
                <c:pt idx="194">
                  <c:v>24.129327257098836</c:v>
                </c:pt>
                <c:pt idx="195">
                  <c:v>24.115982251210074</c:v>
                </c:pt>
                <c:pt idx="196">
                  <c:v>24.101960067222343</c:v>
                </c:pt>
                <c:pt idx="197">
                  <c:v>24.087265192657171</c:v>
                </c:pt>
                <c:pt idx="198">
                  <c:v>24.071902330317339</c:v>
                </c:pt>
                <c:pt idx="199">
                  <c:v>24.055876396781855</c:v>
                </c:pt>
                <c:pt idx="200">
                  <c:v>24.039192520832493</c:v>
                </c:pt>
              </c:numCache>
            </c:numRef>
          </c:xVal>
          <c:yVal>
            <c:numRef>
              <c:f>试加重示意!$H$4:$H$204</c:f>
              <c:numCache>
                <c:formatCode>General</c:formatCode>
                <c:ptCount val="201"/>
                <c:pt idx="0">
                  <c:v>22</c:v>
                </c:pt>
                <c:pt idx="1">
                  <c:v>21.959750491105972</c:v>
                </c:pt>
                <c:pt idx="2">
                  <c:v>21.919513863267962</c:v>
                </c:pt>
                <c:pt idx="3">
                  <c:v>21.879302993419671</c:v>
                </c:pt>
                <c:pt idx="4">
                  <c:v>21.839130750251456</c:v>
                </c:pt>
                <c:pt idx="5">
                  <c:v>21.799009990091978</c:v>
                </c:pt>
                <c:pt idx="6">
                  <c:v>21.758953552793784</c:v>
                </c:pt>
                <c:pt idx="7">
                  <c:v>21.718974257624161</c:v>
                </c:pt>
                <c:pt idx="8">
                  <c:v>21.679084899162596</c:v>
                </c:pt>
                <c:pt idx="9">
                  <c:v>21.63929824320612</c:v>
                </c:pt>
                <c:pt idx="10">
                  <c:v>21.599627022683855</c:v>
                </c:pt>
                <c:pt idx="11">
                  <c:v>21.560083933582117</c:v>
                </c:pt>
                <c:pt idx="12">
                  <c:v>21.520681630881299</c:v>
                </c:pt>
                <c:pt idx="13">
                  <c:v>21.481432724505908</c:v>
                </c:pt>
                <c:pt idx="14">
                  <c:v>21.442349775288999</c:v>
                </c:pt>
                <c:pt idx="15">
                  <c:v>21.40344529095233</c:v>
                </c:pt>
                <c:pt idx="16">
                  <c:v>21.364731722103524</c:v>
                </c:pt>
                <c:pt idx="17">
                  <c:v>21.326221458251496</c:v>
                </c:pt>
                <c:pt idx="18">
                  <c:v>21.287926823841428</c:v>
                </c:pt>
                <c:pt idx="19">
                  <c:v>21.249860074310583</c:v>
                </c:pt>
                <c:pt idx="20">
                  <c:v>21.212033392166195</c:v>
                </c:pt>
                <c:pt idx="21">
                  <c:v>21.174458883086697</c:v>
                </c:pt>
                <c:pt idx="22">
                  <c:v>21.137148572047543</c:v>
                </c:pt>
                <c:pt idx="23">
                  <c:v>21.100114399472847</c:v>
                </c:pt>
                <c:pt idx="24">
                  <c:v>21.063368217414094</c:v>
                </c:pt>
                <c:pt idx="25">
                  <c:v>21.026921785757121</c:v>
                </c:pt>
                <c:pt idx="26">
                  <c:v>20.990786768458609</c:v>
                </c:pt>
                <c:pt idx="27">
                  <c:v>20.954974729813241</c:v>
                </c:pt>
                <c:pt idx="28">
                  <c:v>20.91949713075282</c:v>
                </c:pt>
                <c:pt idx="29">
                  <c:v>20.884365325178379</c:v>
                </c:pt>
                <c:pt idx="30">
                  <c:v>20.849590556326628</c:v>
                </c:pt>
                <c:pt idx="31">
                  <c:v>20.815183953171754</c:v>
                </c:pt>
                <c:pt idx="32">
                  <c:v>20.781156526863828</c:v>
                </c:pt>
                <c:pt idx="33">
                  <c:v>20.747519167204906</c:v>
                </c:pt>
                <c:pt idx="34">
                  <c:v>20.714282639163951</c:v>
                </c:pt>
                <c:pt idx="35">
                  <c:v>20.681457579431733</c:v>
                </c:pt>
                <c:pt idx="36">
                  <c:v>20.649054493016756</c:v>
                </c:pt>
                <c:pt idx="37">
                  <c:v>20.617083749883342</c:v>
                </c:pt>
                <c:pt idx="38">
                  <c:v>20.585555581632946</c:v>
                </c:pt>
                <c:pt idx="39">
                  <c:v>20.554480078229698</c:v>
                </c:pt>
                <c:pt idx="40">
                  <c:v>20.523867184771351</c:v>
                </c:pt>
                <c:pt idx="41">
                  <c:v>20.493726698306528</c:v>
                </c:pt>
                <c:pt idx="42">
                  <c:v>20.464068264699367</c:v>
                </c:pt>
                <c:pt idx="43">
                  <c:v>20.434901375542573</c:v>
                </c:pt>
                <c:pt idx="44">
                  <c:v>20.406235365119805</c:v>
                </c:pt>
                <c:pt idx="45">
                  <c:v>20.378079407418426</c:v>
                </c:pt>
                <c:pt idx="46">
                  <c:v>20.350442513193563</c:v>
                </c:pt>
                <c:pt idx="47">
                  <c:v>20.323333527084383</c:v>
                </c:pt>
                <c:pt idx="48">
                  <c:v>20.296761124783544</c:v>
                </c:pt>
                <c:pt idx="49">
                  <c:v>20.270733810260701</c:v>
                </c:pt>
                <c:pt idx="50">
                  <c:v>20.245259913041011</c:v>
                </c:pt>
                <c:pt idx="51">
                  <c:v>20.220347585539393</c:v>
                </c:pt>
                <c:pt idx="52">
                  <c:v>20.196004800451547</c:v>
                </c:pt>
                <c:pt idx="53">
                  <c:v>20.172239348202421</c:v>
                </c:pt>
                <c:pt idx="54">
                  <c:v>20.149058834453058</c:v>
                </c:pt>
                <c:pt idx="55">
                  <c:v>20.126470677666553</c:v>
                </c:pt>
                <c:pt idx="56">
                  <c:v>20.104482106733911</c:v>
                </c:pt>
                <c:pt idx="57">
                  <c:v>20.083100158660599</c:v>
                </c:pt>
                <c:pt idx="58">
                  <c:v>20.062331676314482</c:v>
                </c:pt>
                <c:pt idx="59">
                  <c:v>20.042183306235898</c:v>
                </c:pt>
                <c:pt idx="60">
                  <c:v>20.022661496510572</c:v>
                </c:pt>
                <c:pt idx="61">
                  <c:v>20.00377249470603</c:v>
                </c:pt>
                <c:pt idx="62">
                  <c:v>19.985522345872194</c:v>
                </c:pt>
                <c:pt idx="63">
                  <c:v>19.967916890606769</c:v>
                </c:pt>
                <c:pt idx="64">
                  <c:v>19.950961763186093</c:v>
                </c:pt>
                <c:pt idx="65">
                  <c:v>19.934662389762</c:v>
                </c:pt>
                <c:pt idx="66">
                  <c:v>19.919023986625259</c:v>
                </c:pt>
                <c:pt idx="67">
                  <c:v>19.904051558536242</c:v>
                </c:pt>
                <c:pt idx="68">
                  <c:v>19.889749897123224</c:v>
                </c:pt>
                <c:pt idx="69">
                  <c:v>19.876123579348935</c:v>
                </c:pt>
                <c:pt idx="70">
                  <c:v>19.863176966045771</c:v>
                </c:pt>
                <c:pt idx="71">
                  <c:v>19.850914200520222</c:v>
                </c:pt>
                <c:pt idx="72">
                  <c:v>19.839339207226875</c:v>
                </c:pt>
                <c:pt idx="73">
                  <c:v>19.828455690512463</c:v>
                </c:pt>
                <c:pt idx="74">
                  <c:v>19.818267133430382</c:v>
                </c:pt>
                <c:pt idx="75">
                  <c:v>19.808776796625995</c:v>
                </c:pt>
                <c:pt idx="76">
                  <c:v>19.799987717293135</c:v>
                </c:pt>
                <c:pt idx="77">
                  <c:v>19.791902708202095</c:v>
                </c:pt>
                <c:pt idx="78">
                  <c:v>19.784524356799484</c:v>
                </c:pt>
                <c:pt idx="79">
                  <c:v>19.777855024380141</c:v>
                </c:pt>
                <c:pt idx="80">
                  <c:v>19.771896845331465</c:v>
                </c:pt>
                <c:pt idx="81">
                  <c:v>19.766651726450338</c:v>
                </c:pt>
                <c:pt idx="82">
                  <c:v>19.762121346332897</c:v>
                </c:pt>
                <c:pt idx="83">
                  <c:v>19.758307154837333</c:v>
                </c:pt>
                <c:pt idx="84">
                  <c:v>19.755210372619889</c:v>
                </c:pt>
                <c:pt idx="85">
                  <c:v>19.752831990744212</c:v>
                </c:pt>
                <c:pt idx="86">
                  <c:v>19.751172770364192</c:v>
                </c:pt>
                <c:pt idx="87">
                  <c:v>19.750233242480366</c:v>
                </c:pt>
                <c:pt idx="88">
                  <c:v>19.750013707769973</c:v>
                </c:pt>
                <c:pt idx="89">
                  <c:v>19.750514236490734</c:v>
                </c:pt>
                <c:pt idx="90">
                  <c:v>19.751734668458372</c:v>
                </c:pt>
                <c:pt idx="91">
                  <c:v>19.753674613097878</c:v>
                </c:pt>
                <c:pt idx="92">
                  <c:v>19.756333449568491</c:v>
                </c:pt>
                <c:pt idx="93">
                  <c:v>19.759710326962395</c:v>
                </c:pt>
                <c:pt idx="94">
                  <c:v>19.763804164577049</c:v>
                </c:pt>
                <c:pt idx="95">
                  <c:v>19.768613652261017</c:v>
                </c:pt>
                <c:pt idx="96">
                  <c:v>19.774137250833277</c:v>
                </c:pt>
                <c:pt idx="97">
                  <c:v>19.780373192575794</c:v>
                </c:pt>
                <c:pt idx="98">
                  <c:v>19.787319481799258</c:v>
                </c:pt>
                <c:pt idx="99">
                  <c:v>19.794973895481739</c:v>
                </c:pt>
                <c:pt idx="100">
                  <c:v>19.803333983980149</c:v>
                </c:pt>
                <c:pt idx="101">
                  <c:v>19.812397071814182</c:v>
                </c:pt>
                <c:pt idx="102">
                  <c:v>19.822160258522558</c:v>
                </c:pt>
                <c:pt idx="103">
                  <c:v>19.832620419591255</c:v>
                </c:pt>
                <c:pt idx="104">
                  <c:v>19.843774207453446</c:v>
                </c:pt>
                <c:pt idx="105">
                  <c:v>19.855618052560828</c:v>
                </c:pt>
                <c:pt idx="106">
                  <c:v>19.868148164525973</c:v>
                </c:pt>
                <c:pt idx="107">
                  <c:v>19.881360533335382</c:v>
                </c:pt>
                <c:pt idx="108">
                  <c:v>19.895250930632795</c:v>
                </c:pt>
                <c:pt idx="109">
                  <c:v>19.909814911072399</c:v>
                </c:pt>
                <c:pt idx="110">
                  <c:v>19.925047813741479</c:v>
                </c:pt>
                <c:pt idx="111">
                  <c:v>19.940944763652034</c:v>
                </c:pt>
                <c:pt idx="112">
                  <c:v>19.957500673300949</c:v>
                </c:pt>
                <c:pt idx="113">
                  <c:v>19.974710244298109</c:v>
                </c:pt>
                <c:pt idx="114">
                  <c:v>19.992567969062076</c:v>
                </c:pt>
                <c:pt idx="115">
                  <c:v>20.011068132582672</c:v>
                </c:pt>
                <c:pt idx="116">
                  <c:v>20.030204814249949</c:v>
                </c:pt>
                <c:pt idx="117">
                  <c:v>20.049971889748971</c:v>
                </c:pt>
                <c:pt idx="118">
                  <c:v>20.070363033019767</c:v>
                </c:pt>
                <c:pt idx="119">
                  <c:v>20.091371718281874</c:v>
                </c:pt>
                <c:pt idx="120">
                  <c:v>20.112991222122783</c:v>
                </c:pt>
                <c:pt idx="121">
                  <c:v>20.135214625649621</c:v>
                </c:pt>
                <c:pt idx="122">
                  <c:v>20.15803481670341</c:v>
                </c:pt>
                <c:pt idx="123">
                  <c:v>20.181444492135189</c:v>
                </c:pt>
                <c:pt idx="124">
                  <c:v>20.205436160143218</c:v>
                </c:pt>
                <c:pt idx="125">
                  <c:v>20.230002142670592</c:v>
                </c:pt>
                <c:pt idx="126">
                  <c:v>20.255134577862453</c:v>
                </c:pt>
                <c:pt idx="127">
                  <c:v>20.280825422582012</c:v>
                </c:pt>
                <c:pt idx="128">
                  <c:v>20.3070664549846</c:v>
                </c:pt>
                <c:pt idx="129">
                  <c:v>20.333849277148907</c:v>
                </c:pt>
                <c:pt idx="130">
                  <c:v>20.361165317764577</c:v>
                </c:pt>
                <c:pt idx="131">
                  <c:v>20.389005834875263</c:v>
                </c:pt>
                <c:pt idx="132">
                  <c:v>20.417361918676338</c:v>
                </c:pt>
                <c:pt idx="133">
                  <c:v>20.446224494366305</c:v>
                </c:pt>
                <c:pt idx="134">
                  <c:v>20.475584325050974</c:v>
                </c:pt>
                <c:pt idx="135">
                  <c:v>20.505432014699586</c:v>
                </c:pt>
                <c:pt idx="136">
                  <c:v>20.535758011151806</c:v>
                </c:pt>
                <c:pt idx="137">
                  <c:v>20.566552609174696</c:v>
                </c:pt>
                <c:pt idx="138">
                  <c:v>20.597805953568706</c:v>
                </c:pt>
                <c:pt idx="139">
                  <c:v>20.629508042321604</c:v>
                </c:pt>
                <c:pt idx="140">
                  <c:v>20.661648729809446</c:v>
                </c:pt>
                <c:pt idx="141">
                  <c:v>20.694217730043476</c:v>
                </c:pt>
                <c:pt idx="142">
                  <c:v>20.727204619961945</c:v>
                </c:pt>
                <c:pt idx="143">
                  <c:v>20.760598842765809</c:v>
                </c:pt>
                <c:pt idx="144">
                  <c:v>20.794389711297217</c:v>
                </c:pt>
                <c:pt idx="145">
                  <c:v>20.828566411459747</c:v>
                </c:pt>
                <c:pt idx="146">
                  <c:v>20.863118005679205</c:v>
                </c:pt>
                <c:pt idx="147">
                  <c:v>20.898033436404017</c:v>
                </c:pt>
                <c:pt idx="148">
                  <c:v>20.933301529643945</c:v>
                </c:pt>
                <c:pt idx="149">
                  <c:v>20.968910998546129</c:v>
                </c:pt>
                <c:pt idx="150">
                  <c:v>21.0048504470072</c:v>
                </c:pt>
                <c:pt idx="151">
                  <c:v>21.041108373320387</c:v>
                </c:pt>
                <c:pt idx="152">
                  <c:v>21.077673173856414</c:v>
                </c:pt>
                <c:pt idx="153">
                  <c:v>21.114533146776985</c:v>
                </c:pt>
                <c:pt idx="154">
                  <c:v>21.151676495779761</c:v>
                </c:pt>
                <c:pt idx="155">
                  <c:v>21.189091333873513</c:v>
                </c:pt>
                <c:pt idx="156">
                  <c:v>21.226765687182311</c:v>
                </c:pt>
                <c:pt idx="157">
                  <c:v>21.264687498777544</c:v>
                </c:pt>
                <c:pt idx="158">
                  <c:v>21.302844632536484</c:v>
                </c:pt>
                <c:pt idx="159">
                  <c:v>21.341224877026225</c:v>
                </c:pt>
                <c:pt idx="160">
                  <c:v>21.379815949411693</c:v>
                </c:pt>
                <c:pt idx="161">
                  <c:v>21.41860549938654</c:v>
                </c:pt>
                <c:pt idx="162">
                  <c:v>21.457581113125602</c:v>
                </c:pt>
                <c:pt idx="163">
                  <c:v>21.496730317257708</c:v>
                </c:pt>
                <c:pt idx="164">
                  <c:v>21.53604058285752</c:v>
                </c:pt>
                <c:pt idx="165">
                  <c:v>21.575499329455187</c:v>
                </c:pt>
                <c:pt idx="166">
                  <c:v>21.615093929062454</c:v>
                </c:pt>
                <c:pt idx="167">
                  <c:v>21.654811710214013</c:v>
                </c:pt>
                <c:pt idx="168">
                  <c:v>21.694639962022748</c:v>
                </c:pt>
                <c:pt idx="169">
                  <c:v>21.734565938247602</c:v>
                </c:pt>
                <c:pt idx="170">
                  <c:v>21.774576861372758</c:v>
                </c:pt>
                <c:pt idx="171">
                  <c:v>21.814659926696837</c:v>
                </c:pt>
                <c:pt idx="172">
                  <c:v>21.854802306430773</c:v>
                </c:pt>
                <c:pt idx="173">
                  <c:v>21.894991153803108</c:v>
                </c:pt>
                <c:pt idx="174">
                  <c:v>21.935213607171331</c:v>
                </c:pt>
                <c:pt idx="175">
                  <c:v>21.975456794138015</c:v>
                </c:pt>
                <c:pt idx="176">
                  <c:v>22.015707835670337</c:v>
                </c:pt>
                <c:pt idx="177">
                  <c:v>22.055953850221794</c:v>
                </c:pt>
                <c:pt idx="178">
                  <c:v>22.09618195785465</c:v>
                </c:pt>
                <c:pt idx="179">
                  <c:v>22.13637928436194</c:v>
                </c:pt>
                <c:pt idx="180">
                  <c:v>22.176532965387576</c:v>
                </c:pt>
                <c:pt idx="181">
                  <c:v>22.216630150543345</c:v>
                </c:pt>
                <c:pt idx="182">
                  <c:v>22.256658007521416</c:v>
                </c:pt>
                <c:pt idx="183">
                  <c:v>22.296603726201056</c:v>
                </c:pt>
                <c:pt idx="184">
                  <c:v>22.336454522748273</c:v>
                </c:pt>
                <c:pt idx="185">
                  <c:v>22.376197643707016</c:v>
                </c:pt>
                <c:pt idx="186">
                  <c:v>22.415820370080663</c:v>
                </c:pt>
                <c:pt idx="187">
                  <c:v>22.455310021402493</c:v>
                </c:pt>
                <c:pt idx="188">
                  <c:v>22.494653959793812</c:v>
                </c:pt>
                <c:pt idx="189">
                  <c:v>22.533839594008455</c:v>
                </c:pt>
                <c:pt idx="190">
                  <c:v>22.572854383462364</c:v>
                </c:pt>
                <c:pt idx="191">
                  <c:v>22.611685842246956</c:v>
                </c:pt>
                <c:pt idx="192">
                  <c:v>22.650321543124988</c:v>
                </c:pt>
                <c:pt idx="193">
                  <c:v>22.688749121507648</c:v>
                </c:pt>
                <c:pt idx="194">
                  <c:v>22.726956279411588</c:v>
                </c:pt>
                <c:pt idx="195">
                  <c:v>22.764930789394668</c:v>
                </c:pt>
                <c:pt idx="196">
                  <c:v>22.802660498469088</c:v>
                </c:pt>
                <c:pt idx="197">
                  <c:v>22.840133331990717</c:v>
                </c:pt>
                <c:pt idx="198">
                  <c:v>22.877337297523354</c:v>
                </c:pt>
                <c:pt idx="199">
                  <c:v>22.914260488676646</c:v>
                </c:pt>
                <c:pt idx="200">
                  <c:v>22.950891088916507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试加重示意!$L$18</c:f>
              <c:strCache>
                <c:ptCount val="1"/>
                <c:pt idx="0">
                  <c:v>205°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试加重示意!$G$206</c:f>
              <c:numCache>
                <c:formatCode>General</c:formatCode>
                <c:ptCount val="1"/>
                <c:pt idx="0">
                  <c:v>22.67142365640801</c:v>
                </c:pt>
              </c:numCache>
            </c:numRef>
          </c:xVal>
          <c:yVal>
            <c:numRef>
              <c:f>试加重示意!$H$206</c:f>
              <c:numCache>
                <c:formatCode>General</c:formatCode>
                <c:ptCount val="1"/>
                <c:pt idx="0">
                  <c:v>18.692460843222609</c:v>
                </c:pt>
              </c:numCache>
            </c:numRef>
          </c:yVal>
          <c:smooth val="1"/>
        </c:ser>
        <c:ser>
          <c:idx val="19"/>
          <c:order val="19"/>
          <c:tx>
            <c:v>Ax夹角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试加重示意!$G$209:$G$409</c:f>
              <c:numCache>
                <c:formatCode>General</c:formatCode>
                <c:ptCount val="201"/>
                <c:pt idx="0">
                  <c:v>24.718923361109951</c:v>
                </c:pt>
                <c:pt idx="1">
                  <c:v>24.703231063966275</c:v>
                </c:pt>
                <c:pt idx="2">
                  <c:v>24.687135280718238</c:v>
                </c:pt>
                <c:pt idx="3">
                  <c:v>24.67063841383338</c:v>
                </c:pt>
                <c:pt idx="4">
                  <c:v>24.653742925645254</c:v>
                </c:pt>
                <c:pt idx="5">
                  <c:v>24.636451337985896</c:v>
                </c:pt>
                <c:pt idx="6">
                  <c:v>24.618766231809431</c:v>
                </c:pt>
                <c:pt idx="7">
                  <c:v>24.60069024680681</c:v>
                </c:pt>
                <c:pt idx="8">
                  <c:v>24.582226081011832</c:v>
                </c:pt>
                <c:pt idx="9">
                  <c:v>24.563376490398422</c:v>
                </c:pt>
                <c:pt idx="10">
                  <c:v>24.54414428846928</c:v>
                </c:pt>
                <c:pt idx="11">
                  <c:v>24.524532345835919</c:v>
                </c:pt>
                <c:pt idx="12">
                  <c:v>24.50454358979022</c:v>
                </c:pt>
                <c:pt idx="13">
                  <c:v>24.484181003867484</c:v>
                </c:pt>
                <c:pt idx="14">
                  <c:v>24.463447627401113</c:v>
                </c:pt>
                <c:pt idx="15">
                  <c:v>24.442346555068958</c:v>
                </c:pt>
                <c:pt idx="16">
                  <c:v>24.420880936431406</c:v>
                </c:pt>
                <c:pt idx="17">
                  <c:v>24.399053975461271</c:v>
                </c:pt>
                <c:pt idx="18">
                  <c:v>24.376868930065573</c:v>
                </c:pt>
                <c:pt idx="19">
                  <c:v>24.354329111599249</c:v>
                </c:pt>
                <c:pt idx="20">
                  <c:v>24.331437884370914</c:v>
                </c:pt>
                <c:pt idx="21">
                  <c:v>24.308198665140683</c:v>
                </c:pt>
                <c:pt idx="22">
                  <c:v>24.28461492261021</c:v>
                </c:pt>
                <c:pt idx="23">
                  <c:v>24.260690176904912</c:v>
                </c:pt>
                <c:pt idx="24">
                  <c:v>24.236427999048587</c:v>
                </c:pt>
                <c:pt idx="25">
                  <c:v>24.211832010430371</c:v>
                </c:pt>
                <c:pt idx="26">
                  <c:v>24.186905882264234</c:v>
                </c:pt>
                <c:pt idx="27">
                  <c:v>24.161653335040988</c:v>
                </c:pt>
                <c:pt idx="28">
                  <c:v>24.136078137972987</c:v>
                </c:pt>
                <c:pt idx="29">
                  <c:v>24.110184108431511</c:v>
                </c:pt>
                <c:pt idx="30">
                  <c:v>24.08397511137699</c:v>
                </c:pt>
                <c:pt idx="31">
                  <c:v>24.057455058782125</c:v>
                </c:pt>
                <c:pt idx="32">
                  <c:v>24.030627909047979</c:v>
                </c:pt>
                <c:pt idx="33">
                  <c:v>24.003497666413139</c:v>
                </c:pt>
                <c:pt idx="34">
                  <c:v>23.97606838035604</c:v>
                </c:pt>
                <c:pt idx="35">
                  <c:v>23.94834414499055</c:v>
                </c:pt>
                <c:pt idx="36">
                  <c:v>23.920329098454864</c:v>
                </c:pt>
                <c:pt idx="37">
                  <c:v>23.892027422293857</c:v>
                </c:pt>
                <c:pt idx="38">
                  <c:v>23.863443340834927</c:v>
                </c:pt>
                <c:pt idx="39">
                  <c:v>23.834581120557491</c:v>
                </c:pt>
                <c:pt idx="40">
                  <c:v>23.805445069456141</c:v>
                </c:pt>
                <c:pt idx="41">
                  <c:v>23.776039536397654</c:v>
                </c:pt>
                <c:pt idx="42">
                  <c:v>23.746368910471865</c:v>
                </c:pt>
                <c:pt idx="43">
                  <c:v>23.716437620336546</c:v>
                </c:pt>
                <c:pt idx="44">
                  <c:v>23.686250133556388</c:v>
                </c:pt>
                <c:pt idx="45">
                  <c:v>23.655810955936172</c:v>
                </c:pt>
                <c:pt idx="46">
                  <c:v>23.625124630848216</c:v>
                </c:pt>
                <c:pt idx="47">
                  <c:v>23.594195738554244</c:v>
                </c:pt>
                <c:pt idx="48">
                  <c:v>23.563028895521725</c:v>
                </c:pt>
                <c:pt idx="49">
                  <c:v>23.531628753734815</c:v>
                </c:pt>
                <c:pt idx="50">
                  <c:v>23.499999999999996</c:v>
                </c:pt>
                <c:pt idx="51">
                  <c:v>23.468147355246533</c:v>
                </c:pt>
                <c:pt idx="52">
                  <c:v>23.436075573821814</c:v>
                </c:pt>
                <c:pt idx="53">
                  <c:v>23.403789442781715</c:v>
                </c:pt>
                <c:pt idx="54">
                  <c:v>23.371293781176078</c:v>
                </c:pt>
                <c:pt idx="55">
                  <c:v>23.338593439329422</c:v>
                </c:pt>
                <c:pt idx="56">
                  <c:v>23.305693298116978</c:v>
                </c:pt>
                <c:pt idx="57">
                  <c:v>23.272598268236166</c:v>
                </c:pt>
                <c:pt idx="58">
                  <c:v>23.239313289473621</c:v>
                </c:pt>
                <c:pt idx="59">
                  <c:v>23.205843329967873</c:v>
                </c:pt>
                <c:pt idx="60">
                  <c:v>23.172193385467814</c:v>
                </c:pt>
                <c:pt idx="61">
                  <c:v>23.138368478587008</c:v>
                </c:pt>
                <c:pt idx="62">
                  <c:v>23.104373658054026</c:v>
                </c:pt>
                <c:pt idx="63">
                  <c:v>23.07021399795887</c:v>
                </c:pt>
                <c:pt idx="64">
                  <c:v>23.035894596995597</c:v>
                </c:pt>
                <c:pt idx="65">
                  <c:v>23.001420577701307</c:v>
                </c:pt>
                <c:pt idx="66">
                  <c:v>22.966797085691525</c:v>
                </c:pt>
                <c:pt idx="67">
                  <c:v>22.932029288892188</c:v>
                </c:pt>
                <c:pt idx="68">
                  <c:v>22.897122376768252</c:v>
                </c:pt>
                <c:pt idx="69">
                  <c:v>22.862081559549129</c:v>
                </c:pt>
                <c:pt idx="70">
                  <c:v>22.826912067450991</c:v>
                </c:pt>
                <c:pt idx="71">
                  <c:v>22.79161914989611</c:v>
                </c:pt>
                <c:pt idx="72">
                  <c:v>22.756208074729333</c:v>
                </c:pt>
                <c:pt idx="73">
                  <c:v>22.720684127431785</c:v>
                </c:pt>
                <c:pt idx="74">
                  <c:v>22.685052610331958</c:v>
                </c:pt>
                <c:pt idx="75">
                  <c:v>22.649318841814299</c:v>
                </c:pt>
                <c:pt idx="76">
                  <c:v>22.613488155525364</c:v>
                </c:pt>
                <c:pt idx="77">
                  <c:v>22.577565899577714</c:v>
                </c:pt>
                <c:pt idx="78">
                  <c:v>22.54155743575167</c:v>
                </c:pt>
                <c:pt idx="79">
                  <c:v>22.505468138694997</c:v>
                </c:pt>
                <c:pt idx="80">
                  <c:v>22.469303395120683</c:v>
                </c:pt>
                <c:pt idx="81">
                  <c:v>22.433068603002909</c:v>
                </c:pt>
                <c:pt idx="82">
                  <c:v>22.396769170771357</c:v>
                </c:pt>
                <c:pt idx="83">
                  <c:v>22.360410516503933</c:v>
                </c:pt>
                <c:pt idx="84">
                  <c:v>22.323998067118058</c:v>
                </c:pt>
                <c:pt idx="85">
                  <c:v>22.287537257560661</c:v>
                </c:pt>
                <c:pt idx="86">
                  <c:v>22.251033529996935</c:v>
                </c:pt>
                <c:pt idx="87">
                  <c:v>22.214492332998049</c:v>
                </c:pt>
                <c:pt idx="88">
                  <c:v>22.177919120727875</c:v>
                </c:pt>
                <c:pt idx="89">
                  <c:v>22.141319352128917</c:v>
                </c:pt>
                <c:pt idx="90">
                  <c:v>22.104698490107491</c:v>
                </c:pt>
                <c:pt idx="91">
                  <c:v>22.068062000718331</c:v>
                </c:pt>
                <c:pt idx="92">
                  <c:v>22.031415352348727</c:v>
                </c:pt>
                <c:pt idx="93">
                  <c:v>21.994764014902294</c:v>
                </c:pt>
                <c:pt idx="94">
                  <c:v>21.958113458982552</c:v>
                </c:pt>
                <c:pt idx="95">
                  <c:v>21.92146915507637</c:v>
                </c:pt>
                <c:pt idx="96">
                  <c:v>21.884836572737427</c:v>
                </c:pt>
                <c:pt idx="97">
                  <c:v>21.848221179769848</c:v>
                </c:pt>
                <c:pt idx="98">
                  <c:v>21.811628441412047</c:v>
                </c:pt>
                <c:pt idx="99">
                  <c:v>21.775063819521005</c:v>
                </c:pt>
                <c:pt idx="100">
                  <c:v>21.738532771757015</c:v>
                </c:pt>
                <c:pt idx="101">
                  <c:v>21.702040750769068</c:v>
                </c:pt>
                <c:pt idx="102">
                  <c:v>21.665593203381011</c:v>
                </c:pt>
                <c:pt idx="103">
                  <c:v>21.62919556977851</c:v>
                </c:pt>
                <c:pt idx="104">
                  <c:v>21.592853282697074</c:v>
                </c:pt>
                <c:pt idx="105">
                  <c:v>21.556571766611157</c:v>
                </c:pt>
                <c:pt idx="106">
                  <c:v>21.520356436924484</c:v>
                </c:pt>
                <c:pt idx="107">
                  <c:v>21.484212699161759</c:v>
                </c:pt>
                <c:pt idx="108">
                  <c:v>21.448145948161827</c:v>
                </c:pt>
                <c:pt idx="109">
                  <c:v>21.412161567272435</c:v>
                </c:pt>
                <c:pt idx="110">
                  <c:v>21.376264927546707</c:v>
                </c:pt>
                <c:pt idx="111">
                  <c:v>21.340461386941474</c:v>
                </c:pt>
                <c:pt idx="112">
                  <c:v>21.304756289517513</c:v>
                </c:pt>
                <c:pt idx="113">
                  <c:v>21.269154964641917</c:v>
                </c:pt>
                <c:pt idx="114">
                  <c:v>21.233662726192616</c:v>
                </c:pt>
                <c:pt idx="115">
                  <c:v>21.198284871765214</c:v>
                </c:pt>
                <c:pt idx="116">
                  <c:v>21.163026681882297</c:v>
                </c:pt>
                <c:pt idx="117">
                  <c:v>21.127893419205229</c:v>
                </c:pt>
                <c:pt idx="118">
                  <c:v>21.092890327748652</c:v>
                </c:pt>
                <c:pt idx="119">
                  <c:v>21.058022632097771</c:v>
                </c:pt>
                <c:pt idx="120">
                  <c:v>21.023295536628517</c:v>
                </c:pt>
                <c:pt idx="121">
                  <c:v>20.988714224730739</c:v>
                </c:pt>
                <c:pt idx="122">
                  <c:v>20.95428385803454</c:v>
                </c:pt>
                <c:pt idx="123">
                  <c:v>20.920009575639831</c:v>
                </c:pt>
                <c:pt idx="124">
                  <c:v>20.885896493349282</c:v>
                </c:pt>
                <c:pt idx="125">
                  <c:v>20.851949702904715</c:v>
                </c:pt>
                <c:pt idx="126">
                  <c:v>20.818174271227132</c:v>
                </c:pt>
                <c:pt idx="127">
                  <c:v>20.784575239660398</c:v>
                </c:pt>
                <c:pt idx="128">
                  <c:v>20.751157623218781</c:v>
                </c:pt>
                <c:pt idx="129">
                  <c:v>20.717926409838409</c:v>
                </c:pt>
                <c:pt idx="130">
                  <c:v>20.684886559632751</c:v>
                </c:pt>
                <c:pt idx="131">
                  <c:v>20.652043004152294</c:v>
                </c:pt>
                <c:pt idx="132">
                  <c:v>20.61940064564843</c:v>
                </c:pt>
                <c:pt idx="133">
                  <c:v>20.586964356341753</c:v>
                </c:pt>
                <c:pt idx="134">
                  <c:v>20.554738977694839</c:v>
                </c:pt>
                <c:pt idx="135">
                  <c:v>20.522729319689585</c:v>
                </c:pt>
                <c:pt idx="136">
                  <c:v>20.490940160109279</c:v>
                </c:pt>
                <c:pt idx="137">
                  <c:v>20.459376243825474</c:v>
                </c:pt>
                <c:pt idx="138">
                  <c:v>20.428042282089748</c:v>
                </c:pt>
                <c:pt idx="139">
                  <c:v>20.396942951830503</c:v>
                </c:pt>
                <c:pt idx="140">
                  <c:v>20.366082894954904</c:v>
                </c:pt>
                <c:pt idx="141">
                  <c:v>20.335466717655986</c:v>
                </c:pt>
                <c:pt idx="142">
                  <c:v>20.30509898972517</c:v>
                </c:pt>
                <c:pt idx="143">
                  <c:v>20.274984243870151</c:v>
                </c:pt>
                <c:pt idx="144">
                  <c:v>20.245126975038339</c:v>
                </c:pt>
                <c:pt idx="145">
                  <c:v>20.215531639745961</c:v>
                </c:pt>
                <c:pt idx="146">
                  <c:v>20.18620265541286</c:v>
                </c:pt>
                <c:pt idx="147">
                  <c:v>20.157144399703157</c:v>
                </c:pt>
                <c:pt idx="148">
                  <c:v>20.128361209871827</c:v>
                </c:pt>
                <c:pt idx="149">
                  <c:v>20.099857382117335</c:v>
                </c:pt>
                <c:pt idx="150">
                  <c:v>20.07163717094037</c:v>
                </c:pt>
                <c:pt idx="151">
                  <c:v>20.043704788508812</c:v>
                </c:pt>
                <c:pt idx="152">
                  <c:v>20.016064404029031</c:v>
                </c:pt>
                <c:pt idx="153">
                  <c:v>19.98872014312359</c:v>
                </c:pt>
                <c:pt idx="154">
                  <c:v>19.961676087215441</c:v>
                </c:pt>
                <c:pt idx="155">
                  <c:v>19.934936272918726</c:v>
                </c:pt>
                <c:pt idx="156">
                  <c:v>19.908504691436296</c:v>
                </c:pt>
                <c:pt idx="157">
                  <c:v>19.882385287963949</c:v>
                </c:pt>
                <c:pt idx="158">
                  <c:v>19.856581961101583</c:v>
                </c:pt>
                <c:pt idx="159">
                  <c:v>19.831098562271286</c:v>
                </c:pt>
                <c:pt idx="160">
                  <c:v>19.805938895142482</c:v>
                </c:pt>
                <c:pt idx="161">
                  <c:v>19.781106715064162</c:v>
                </c:pt>
                <c:pt idx="162">
                  <c:v>19.756605728504397</c:v>
                </c:pt>
                <c:pt idx="163">
                  <c:v>19.732439592497073</c:v>
                </c:pt>
                <c:pt idx="164">
                  <c:v>19.708611914096068</c:v>
                </c:pt>
                <c:pt idx="165">
                  <c:v>19.685126249836834</c:v>
                </c:pt>
                <c:pt idx="166">
                  <c:v>19.661986105205571</c:v>
                </c:pt>
                <c:pt idx="167">
                  <c:v>19.639194934115984</c:v>
                </c:pt>
                <c:pt idx="168">
                  <c:v>19.61675613839374</c:v>
                </c:pt>
                <c:pt idx="169">
                  <c:v>19.594673067268733</c:v>
                </c:pt>
                <c:pt idx="170">
                  <c:v>19.572949016875153</c:v>
                </c:pt>
                <c:pt idx="171">
                  <c:v>19.551587229759516</c:v>
                </c:pt>
                <c:pt idx="172">
                  <c:v>19.530590894396671</c:v>
                </c:pt>
                <c:pt idx="173">
                  <c:v>19.509963144713893</c:v>
                </c:pt>
                <c:pt idx="174">
                  <c:v>19.489707059623115</c:v>
                </c:pt>
                <c:pt idx="175">
                  <c:v>19.469825662561341</c:v>
                </c:pt>
                <c:pt idx="176">
                  <c:v>19.450321921039407</c:v>
                </c:pt>
                <c:pt idx="177">
                  <c:v>19.431198746199016</c:v>
                </c:pt>
                <c:pt idx="178">
                  <c:v>19.412458992378227</c:v>
                </c:pt>
                <c:pt idx="179">
                  <c:v>19.394105456685427</c:v>
                </c:pt>
                <c:pt idx="180">
                  <c:v>19.376140878581811</c:v>
                </c:pt>
                <c:pt idx="181">
                  <c:v>19.358567939472515</c:v>
                </c:pt>
                <c:pt idx="182">
                  <c:v>19.341389262306357</c:v>
                </c:pt>
                <c:pt idx="183">
                  <c:v>19.32460741118436</c:v>
                </c:pt>
                <c:pt idx="184">
                  <c:v>19.308224890977016</c:v>
                </c:pt>
                <c:pt idx="185">
                  <c:v>19.29224414695042</c:v>
                </c:pt>
                <c:pt idx="186">
                  <c:v>19.276667564401276</c:v>
                </c:pt>
                <c:pt idx="187">
                  <c:v>19.261497468300874</c:v>
                </c:pt>
                <c:pt idx="188">
                  <c:v>19.246736122948057</c:v>
                </c:pt>
                <c:pt idx="189">
                  <c:v>19.232385731631265</c:v>
                </c:pt>
                <c:pt idx="190">
                  <c:v>19.218448436299639</c:v>
                </c:pt>
                <c:pt idx="191">
                  <c:v>19.204926317243356</c:v>
                </c:pt>
                <c:pt idx="192">
                  <c:v>19.191821392783083</c:v>
                </c:pt>
                <c:pt idx="193">
                  <c:v>19.179135618968747</c:v>
                </c:pt>
                <c:pt idx="194">
                  <c:v>19.166870889287559</c:v>
                </c:pt>
                <c:pt idx="195">
                  <c:v>19.155029034381407</c:v>
                </c:pt>
                <c:pt idx="196">
                  <c:v>19.143611821773586</c:v>
                </c:pt>
                <c:pt idx="197">
                  <c:v>19.132620955605013</c:v>
                </c:pt>
                <c:pt idx="198">
                  <c:v>19.12205807637983</c:v>
                </c:pt>
                <c:pt idx="199">
                  <c:v>19.111924760720566</c:v>
                </c:pt>
                <c:pt idx="200">
                  <c:v>19.102222521132799</c:v>
                </c:pt>
              </c:numCache>
            </c:numRef>
          </c:xVal>
          <c:yVal>
            <c:numRef>
              <c:f>试加重示意!$H$209:$H$409</c:f>
              <c:numCache>
                <c:formatCode>General</c:formatCode>
                <c:ptCount val="201"/>
                <c:pt idx="0">
                  <c:v>23.267854785222099</c:v>
                </c:pt>
                <c:pt idx="1">
                  <c:v>23.300977253762632</c:v>
                </c:pt>
                <c:pt idx="2">
                  <c:v>23.333905537554784</c:v>
                </c:pt>
                <c:pt idx="3">
                  <c:v>23.366634721700546</c:v>
                </c:pt>
                <c:pt idx="4">
                  <c:v>23.399159921019674</c:v>
                </c:pt>
                <c:pt idx="5">
                  <c:v>23.431476280778824</c:v>
                </c:pt>
                <c:pt idx="6">
                  <c:v>23.463578977416198</c:v>
                </c:pt>
                <c:pt idx="7">
                  <c:v>23.495463219261492</c:v>
                </c:pt>
                <c:pt idx="8">
                  <c:v>23.527124247251113</c:v>
                </c:pt>
                <c:pt idx="9">
                  <c:v>23.558557335638529</c:v>
                </c:pt>
                <c:pt idx="10">
                  <c:v>23.589757792699615</c:v>
                </c:pt>
                <c:pt idx="11">
                  <c:v>23.620720961432966</c:v>
                </c:pt>
                <c:pt idx="12">
                  <c:v>23.651442220254985</c:v>
                </c:pt>
                <c:pt idx="13">
                  <c:v>23.681916983689725</c:v>
                </c:pt>
                <c:pt idx="14">
                  <c:v>23.712140703053294</c:v>
                </c:pt>
                <c:pt idx="15">
                  <c:v>23.742108867132821</c:v>
                </c:pt>
                <c:pt idx="16">
                  <c:v>23.771817002859777</c:v>
                </c:pt>
                <c:pt idx="17">
                  <c:v>23.801260675977652</c:v>
                </c:pt>
                <c:pt idx="18">
                  <c:v>23.830435491703803</c:v>
                </c:pt>
                <c:pt idx="19">
                  <c:v>23.85933709538542</c:v>
                </c:pt>
                <c:pt idx="20">
                  <c:v>23.887961173149513</c:v>
                </c:pt>
                <c:pt idx="21">
                  <c:v>23.916303452546792</c:v>
                </c:pt>
                <c:pt idx="22">
                  <c:v>23.944359703189395</c:v>
                </c:pt>
                <c:pt idx="23">
                  <c:v>23.972125737382289</c:v>
                </c:pt>
                <c:pt idx="24">
                  <c:v>23.999597410748358</c:v>
                </c:pt>
                <c:pt idx="25">
                  <c:v>24.026770622846982</c:v>
                </c:pt>
                <c:pt idx="26">
                  <c:v>24.053641317786067</c:v>
                </c:pt>
                <c:pt idx="27">
                  <c:v>24.080205484827442</c:v>
                </c:pt>
                <c:pt idx="28">
                  <c:v>24.106459158985487</c:v>
                </c:pt>
                <c:pt idx="29">
                  <c:v>24.13239842161898</c:v>
                </c:pt>
                <c:pt idx="30">
                  <c:v>24.158019401015956</c:v>
                </c:pt>
                <c:pt idx="31">
                  <c:v>24.183318272971633</c:v>
                </c:pt>
                <c:pt idx="32">
                  <c:v>24.208291261359204</c:v>
                </c:pt>
                <c:pt idx="33">
                  <c:v>24.232934638693465</c:v>
                </c:pt>
                <c:pt idx="34">
                  <c:v>24.257244726687176</c:v>
                </c:pt>
                <c:pt idx="35">
                  <c:v>24.281217896800094</c:v>
                </c:pt>
                <c:pt idx="36">
                  <c:v>24.304850570780573</c:v>
                </c:pt>
                <c:pt idx="37">
                  <c:v>24.328139221199642</c:v>
                </c:pt>
                <c:pt idx="38">
                  <c:v>24.35108037197752</c:v>
                </c:pt>
                <c:pt idx="39">
                  <c:v>24.373670598902471</c:v>
                </c:pt>
                <c:pt idx="40">
                  <c:v>24.395906530141882</c:v>
                </c:pt>
                <c:pt idx="41">
                  <c:v>24.417784846745551</c:v>
                </c:pt>
                <c:pt idx="42">
                  <c:v>24.439302283141085</c:v>
                </c:pt>
                <c:pt idx="43">
                  <c:v>24.460455627621318</c:v>
                </c:pt>
                <c:pt idx="44">
                  <c:v>24.48124172282369</c:v>
                </c:pt>
                <c:pt idx="45">
                  <c:v>24.501657466201507</c:v>
                </c:pt>
                <c:pt idx="46">
                  <c:v>24.521699810487057</c:v>
                </c:pt>
                <c:pt idx="47">
                  <c:v>24.541365764146413</c:v>
                </c:pt>
                <c:pt idx="48">
                  <c:v>24.560652391825986</c:v>
                </c:pt>
                <c:pt idx="49">
                  <c:v>24.579556814790621</c:v>
                </c:pt>
                <c:pt idx="50">
                  <c:v>24.59807621135332</c:v>
                </c:pt>
                <c:pt idx="51">
                  <c:v>24.616207817296363</c:v>
                </c:pt>
                <c:pt idx="52">
                  <c:v>24.633948926283946</c:v>
                </c:pt>
                <c:pt idx="53">
                  <c:v>24.651296890266082</c:v>
                </c:pt>
                <c:pt idx="54">
                  <c:v>24.668249119873895</c:v>
                </c:pt>
                <c:pt idx="55">
                  <c:v>24.684803084806077</c:v>
                </c:pt>
                <c:pt idx="56">
                  <c:v>24.700956314206582</c:v>
                </c:pt>
                <c:pt idx="57">
                  <c:v>24.71670639703342</c:v>
                </c:pt>
                <c:pt idx="58">
                  <c:v>24.732050982418535</c:v>
                </c:pt>
                <c:pt idx="59">
                  <c:v>24.746987780018685</c:v>
                </c:pt>
                <c:pt idx="60">
                  <c:v>24.761514560357323</c:v>
                </c:pt>
                <c:pt idx="61">
                  <c:v>24.775629155157347</c:v>
                </c:pt>
                <c:pt idx="62">
                  <c:v>24.789329457664756</c:v>
                </c:pt>
                <c:pt idx="63">
                  <c:v>24.802613422963091</c:v>
                </c:pt>
                <c:pt idx="64">
                  <c:v>24.81547906827867</c:v>
                </c:pt>
                <c:pt idx="65">
                  <c:v>24.827924473276539</c:v>
                </c:pt>
                <c:pt idx="66">
                  <c:v>24.839947780347092</c:v>
                </c:pt>
                <c:pt idx="67">
                  <c:v>24.851547194883352</c:v>
                </c:pt>
                <c:pt idx="68">
                  <c:v>24.862720985548833</c:v>
                </c:pt>
                <c:pt idx="69">
                  <c:v>24.873467484535947</c:v>
                </c:pt>
                <c:pt idx="70">
                  <c:v>24.88378508781496</c:v>
                </c:pt>
                <c:pt idx="71">
                  <c:v>24.893672255373396</c:v>
                </c:pt>
                <c:pt idx="72">
                  <c:v>24.903127511445916</c:v>
                </c:pt>
                <c:pt idx="73">
                  <c:v>24.912149444734574</c:v>
                </c:pt>
                <c:pt idx="74">
                  <c:v>24.920736708619483</c:v>
                </c:pt>
                <c:pt idx="75">
                  <c:v>24.928888021359803</c:v>
                </c:pt>
                <c:pt idx="76">
                  <c:v>24.936602166285056</c:v>
                </c:pt>
                <c:pt idx="77">
                  <c:v>24.943877991976738</c:v>
                </c:pt>
                <c:pt idx="78">
                  <c:v>24.95071441244016</c:v>
                </c:pt>
                <c:pt idx="79">
                  <c:v>24.957110407266562</c:v>
                </c:pt>
                <c:pt idx="80">
                  <c:v>24.963065021785415</c:v>
                </c:pt>
                <c:pt idx="81">
                  <c:v>24.968577367206912</c:v>
                </c:pt>
                <c:pt idx="82">
                  <c:v>24.973646620754629</c:v>
                </c:pt>
                <c:pt idx="83">
                  <c:v>24.978272025788339</c:v>
                </c:pt>
                <c:pt idx="84">
                  <c:v>24.982452891916946</c:v>
                </c:pt>
                <c:pt idx="85">
                  <c:v>24.986188595101538</c:v>
                </c:pt>
                <c:pt idx="86">
                  <c:v>24.989478577748514</c:v>
                </c:pt>
                <c:pt idx="87">
                  <c:v>24.992322348792833</c:v>
                </c:pt>
                <c:pt idx="88">
                  <c:v>24.994719483771298</c:v>
                </c:pt>
                <c:pt idx="89">
                  <c:v>24.996669624885911</c:v>
                </c:pt>
                <c:pt idx="90">
                  <c:v>24.998172481057289</c:v>
                </c:pt>
                <c:pt idx="91">
                  <c:v>24.999227827968095</c:v>
                </c:pt>
                <c:pt idx="92">
                  <c:v>24.999835508096538</c:v>
                </c:pt>
                <c:pt idx="93">
                  <c:v>24.999995430739865</c:v>
                </c:pt>
                <c:pt idx="94">
                  <c:v>24.999707572027912</c:v>
                </c:pt>
                <c:pt idx="95">
                  <c:v>24.998971974926672</c:v>
                </c:pt>
                <c:pt idx="96">
                  <c:v>24.997788749231862</c:v>
                </c:pt>
                <c:pt idx="97">
                  <c:v>24.996158071552557</c:v>
                </c:pt>
                <c:pt idx="98">
                  <c:v>24.994080185284815</c:v>
                </c:pt>
                <c:pt idx="99">
                  <c:v>24.991555400575347</c:v>
                </c:pt>
                <c:pt idx="100">
                  <c:v>24.988584094275236</c:v>
                </c:pt>
                <c:pt idx="101">
                  <c:v>24.985166709883678</c:v>
                </c:pt>
                <c:pt idx="102">
                  <c:v>24.98130375748179</c:v>
                </c:pt>
                <c:pt idx="103">
                  <c:v>24.976995813656465</c:v>
                </c:pt>
                <c:pt idx="104">
                  <c:v>24.972243521414327</c:v>
                </c:pt>
                <c:pt idx="105">
                  <c:v>24.967047590085748</c:v>
                </c:pt>
                <c:pt idx="106">
                  <c:v>24.961408795218961</c:v>
                </c:pt>
                <c:pt idx="107">
                  <c:v>24.955327978464318</c:v>
                </c:pt>
                <c:pt idx="108">
                  <c:v>24.948806047448659</c:v>
                </c:pt>
                <c:pt idx="109">
                  <c:v>24.941843975639838</c:v>
                </c:pt>
                <c:pt idx="110">
                  <c:v>24.934442802201414</c:v>
                </c:pt>
                <c:pt idx="111">
                  <c:v>24.926603631837565</c:v>
                </c:pt>
                <c:pt idx="112">
                  <c:v>24.918327634628188</c:v>
                </c:pt>
                <c:pt idx="113">
                  <c:v>24.909616045854236</c:v>
                </c:pt>
                <c:pt idx="114">
                  <c:v>24.900470165813374</c:v>
                </c:pt>
                <c:pt idx="115">
                  <c:v>24.890891359625865</c:v>
                </c:pt>
                <c:pt idx="116">
                  <c:v>24.880881057030827</c:v>
                </c:pt>
                <c:pt idx="117">
                  <c:v>24.870440752172819</c:v>
                </c:pt>
                <c:pt idx="118">
                  <c:v>24.859572003378837</c:v>
                </c:pt>
                <c:pt idx="119">
                  <c:v>24.848276432925708</c:v>
                </c:pt>
                <c:pt idx="120">
                  <c:v>24.836555726797947</c:v>
                </c:pt>
                <c:pt idx="121">
                  <c:v>24.82441163443611</c:v>
                </c:pt>
                <c:pt idx="122">
                  <c:v>24.811845968475669</c:v>
                </c:pt>
                <c:pt idx="123">
                  <c:v>24.798860604476463</c:v>
                </c:pt>
                <c:pt idx="124">
                  <c:v>24.785457480642734</c:v>
                </c:pt>
                <c:pt idx="125">
                  <c:v>24.771638597533855</c:v>
                </c:pt>
                <c:pt idx="126">
                  <c:v>24.757406017765696</c:v>
                </c:pt>
                <c:pt idx="127">
                  <c:v>24.742761865702786</c:v>
                </c:pt>
                <c:pt idx="128">
                  <c:v>24.727708327141197</c:v>
                </c:pt>
                <c:pt idx="129">
                  <c:v>24.712247648982327</c:v>
                </c:pt>
                <c:pt idx="130">
                  <c:v>24.696382138897494</c:v>
                </c:pt>
                <c:pt idx="131">
                  <c:v>24.680114164983504</c:v>
                </c:pt>
                <c:pt idx="132">
                  <c:v>24.663446155409197</c:v>
                </c:pt>
                <c:pt idx="133">
                  <c:v>24.646380598052996</c:v>
                </c:pt>
                <c:pt idx="134">
                  <c:v>24.628920040131582</c:v>
                </c:pt>
                <c:pt idx="135">
                  <c:v>24.611067087819691</c:v>
                </c:pt>
                <c:pt idx="136">
                  <c:v>24.592824405861105</c:v>
                </c:pt>
                <c:pt idx="137">
                  <c:v>24.574194717170926</c:v>
                </c:pt>
                <c:pt idx="138">
                  <c:v>24.555180802429135</c:v>
                </c:pt>
                <c:pt idx="139">
                  <c:v>24.535785499665558</c:v>
                </c:pt>
                <c:pt idx="140">
                  <c:v>24.516011703836263</c:v>
                </c:pt>
                <c:pt idx="141">
                  <c:v>24.495862366391439</c:v>
                </c:pt>
                <c:pt idx="142">
                  <c:v>24.475340494834875</c:v>
                </c:pt>
                <c:pt idx="143">
                  <c:v>24.45444915227506</c:v>
                </c:pt>
                <c:pt idx="144">
                  <c:v>24.433191456967968</c:v>
                </c:pt>
                <c:pt idx="145">
                  <c:v>24.411570581851642</c:v>
                </c:pt>
                <c:pt idx="146">
                  <c:v>24.389589754072578</c:v>
                </c:pt>
                <c:pt idx="147">
                  <c:v>24.367252254504059</c:v>
                </c:pt>
                <c:pt idx="148">
                  <c:v>24.344561417256443</c:v>
                </c:pt>
                <c:pt idx="149">
                  <c:v>24.321520629179506</c:v>
                </c:pt>
                <c:pt idx="150">
                  <c:v>24.298133329356922</c:v>
                </c:pt>
                <c:pt idx="151">
                  <c:v>24.274403008592945</c:v>
                </c:pt>
                <c:pt idx="152">
                  <c:v>24.250333208891366</c:v>
                </c:pt>
                <c:pt idx="153">
                  <c:v>24.225927522926838</c:v>
                </c:pt>
                <c:pt idx="154">
                  <c:v>24.201189593508619</c:v>
                </c:pt>
                <c:pt idx="155">
                  <c:v>24.176123113036851</c:v>
                </c:pt>
                <c:pt idx="156">
                  <c:v>24.150731822951439</c:v>
                </c:pt>
                <c:pt idx="157">
                  <c:v>24.125019513173577</c:v>
                </c:pt>
                <c:pt idx="158">
                  <c:v>24.098990021540086</c:v>
                </c:pt>
                <c:pt idx="159">
                  <c:v>24.072647233230565</c:v>
                </c:pt>
                <c:pt idx="160">
                  <c:v>24.045995080187488</c:v>
                </c:pt>
                <c:pt idx="161">
                  <c:v>24.019037540529311</c:v>
                </c:pt>
                <c:pt idx="162">
                  <c:v>23.991778637956717</c:v>
                </c:pt>
                <c:pt idx="163">
                  <c:v>23.96422244115201</c:v>
                </c:pt>
                <c:pt idx="164">
                  <c:v>23.936373063171846</c:v>
                </c:pt>
                <c:pt idx="165">
                  <c:v>23.908234660833283</c:v>
                </c:pt>
                <c:pt idx="166">
                  <c:v>23.879811434093376</c:v>
                </c:pt>
                <c:pt idx="167">
                  <c:v>23.851107625422241</c:v>
                </c:pt>
                <c:pt idx="168">
                  <c:v>23.822127519169854</c:v>
                </c:pt>
                <c:pt idx="169">
                  <c:v>23.792875440926558</c:v>
                </c:pt>
                <c:pt idx="170">
                  <c:v>23.763355756877417</c:v>
                </c:pt>
                <c:pt idx="171">
                  <c:v>23.733572873150511</c:v>
                </c:pt>
                <c:pt idx="172">
                  <c:v>23.7035312351593</c:v>
                </c:pt>
                <c:pt idx="173">
                  <c:v>23.673235326939068</c:v>
                </c:pt>
                <c:pt idx="174">
                  <c:v>23.642689670477647</c:v>
                </c:pt>
                <c:pt idx="175">
                  <c:v>23.61189882504047</c:v>
                </c:pt>
                <c:pt idx="176">
                  <c:v>23.580867386490031</c:v>
                </c:pt>
                <c:pt idx="177">
                  <c:v>23.549599986599926</c:v>
                </c:pt>
                <c:pt idx="178">
                  <c:v>23.51810129236349</c:v>
                </c:pt>
                <c:pt idx="179">
                  <c:v>23.486376005297224</c:v>
                </c:pt>
                <c:pt idx="180">
                  <c:v>23.454428860739011</c:v>
                </c:pt>
                <c:pt idx="181">
                  <c:v>23.422264627141349</c:v>
                </c:pt>
                <c:pt idx="182">
                  <c:v>23.389888105359585</c:v>
                </c:pt>
                <c:pt idx="183">
                  <c:v>23.35730412793535</c:v>
                </c:pt>
                <c:pt idx="184">
                  <c:v>23.324517558375238</c:v>
                </c:pt>
                <c:pt idx="185">
                  <c:v>23.291533290424887</c:v>
                </c:pt>
                <c:pt idx="186">
                  <c:v>23.258356247338533</c:v>
                </c:pt>
                <c:pt idx="187">
                  <c:v>23.224991381144157</c:v>
                </c:pt>
                <c:pt idx="188">
                  <c:v>23.191443671904345</c:v>
                </c:pt>
                <c:pt idx="189">
                  <c:v>23.157718126972963</c:v>
                </c:pt>
                <c:pt idx="190">
                  <c:v>23.123819780247743</c:v>
                </c:pt>
                <c:pt idx="191">
                  <c:v>23.089753691418942</c:v>
                </c:pt>
                <c:pt idx="192">
                  <c:v>23.055524945214113</c:v>
                </c:pt>
                <c:pt idx="193">
                  <c:v>23.021138650639159</c:v>
                </c:pt>
                <c:pt idx="194">
                  <c:v>22.986599940215758</c:v>
                </c:pt>
                <c:pt idx="195">
                  <c:v>22.951913969215287</c:v>
                </c:pt>
                <c:pt idx="196">
                  <c:v>22.917085914889327</c:v>
                </c:pt>
                <c:pt idx="197">
                  <c:v>22.882120975696921</c:v>
                </c:pt>
                <c:pt idx="198">
                  <c:v>22.84702437052864</c:v>
                </c:pt>
                <c:pt idx="199">
                  <c:v>22.811801337927601</c:v>
                </c:pt>
                <c:pt idx="200">
                  <c:v>22.776457135307574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试加重示意!$L$19</c:f>
              <c:strCache>
                <c:ptCount val="1"/>
                <c:pt idx="0">
                  <c:v>140°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试加重示意!$G$411</c:f>
              <c:numCache>
                <c:formatCode>General</c:formatCode>
                <c:ptCount val="1"/>
                <c:pt idx="0">
                  <c:v>21.607799157635522</c:v>
                </c:pt>
              </c:numCache>
            </c:numRef>
          </c:xVal>
          <c:yVal>
            <c:numRef>
              <c:f>试加重示意!$H$411</c:f>
              <c:numCache>
                <c:formatCode>General</c:formatCode>
                <c:ptCount val="1"/>
                <c:pt idx="0">
                  <c:v>26.482876141412852</c:v>
                </c:pt>
              </c:numCache>
            </c:numRef>
          </c:yVal>
          <c:smooth val="1"/>
        </c:ser>
        <c:ser>
          <c:idx val="21"/>
          <c:order val="21"/>
          <c:tx>
            <c:v>Ay矢量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试加重示意!$D$107:$D$108</c:f>
              <c:numCache>
                <c:formatCode>General</c:formatCode>
                <c:ptCount val="2"/>
                <c:pt idx="0">
                  <c:v>22</c:v>
                </c:pt>
                <c:pt idx="1">
                  <c:v>7.904610688211374</c:v>
                </c:pt>
              </c:numCache>
            </c:numRef>
          </c:xVal>
          <c:yVal>
            <c:numRef>
              <c:f>试加重示意!$E$107:$E$108</c:f>
              <c:numCache>
                <c:formatCode>General</c:formatCode>
                <c:ptCount val="2"/>
                <c:pt idx="0">
                  <c:v>22</c:v>
                </c:pt>
                <c:pt idx="1">
                  <c:v>16.869697850114971</c:v>
                </c:pt>
              </c:numCache>
            </c:numRef>
          </c:yVal>
          <c:smooth val="1"/>
        </c:ser>
        <c:ser>
          <c:idx val="22"/>
          <c:order val="22"/>
          <c:tx>
            <c:v>Ay矢量箭头</c:v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试加重示意!$D$109:$D$111</c:f>
              <c:numCache>
                <c:formatCode>General</c:formatCode>
                <c:ptCount val="3"/>
                <c:pt idx="0">
                  <c:v>8.8109184752480232</c:v>
                </c:pt>
                <c:pt idx="1">
                  <c:v>7.904610688211374</c:v>
                </c:pt>
                <c:pt idx="2">
                  <c:v>8.3272289499520724</c:v>
                </c:pt>
              </c:numCache>
            </c:numRef>
          </c:xVal>
          <c:yVal>
            <c:numRef>
              <c:f>试加重示意!$E$109:$E$111</c:f>
              <c:numCache>
                <c:formatCode>General</c:formatCode>
                <c:ptCount val="3"/>
                <c:pt idx="0">
                  <c:v>16.447079588374272</c:v>
                </c:pt>
                <c:pt idx="1">
                  <c:v>16.869697850114971</c:v>
                </c:pt>
                <c:pt idx="2">
                  <c:v>17.77600563715162</c:v>
                </c:pt>
              </c:numCache>
            </c:numRef>
          </c:yVal>
          <c:smooth val="0"/>
        </c:ser>
        <c:ser>
          <c:idx val="23"/>
          <c:order val="23"/>
          <c:tx>
            <c:strRef>
              <c:f>试加重示意!$L$22</c:f>
              <c:strCache>
                <c:ptCount val="1"/>
                <c:pt idx="0">
                  <c:v>Ay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试加重示意!$D$112</c:f>
              <c:numCache>
                <c:formatCode>General</c:formatCode>
                <c:ptCount val="1"/>
                <c:pt idx="0">
                  <c:v>5.79030229144308</c:v>
                </c:pt>
              </c:numCache>
            </c:numRef>
          </c:xVal>
          <c:yVal>
            <c:numRef>
              <c:f>试加重示意!$E$112</c:f>
              <c:numCache>
                <c:formatCode>General</c:formatCode>
                <c:ptCount val="1"/>
                <c:pt idx="0">
                  <c:v>16.100152527632215</c:v>
                </c:pt>
              </c:numCache>
            </c:numRef>
          </c:yVal>
          <c:smooth val="1"/>
        </c:ser>
        <c:ser>
          <c:idx val="24"/>
          <c:order val="24"/>
          <c:tx>
            <c:v>Py矢量</c:v>
          </c:tx>
          <c:marker>
            <c:symbol val="none"/>
          </c:marker>
          <c:dPt>
            <c:idx val="1"/>
            <c:bubble3D val="0"/>
            <c:spPr>
              <a:ln>
                <a:solidFill>
                  <a:schemeClr val="tx2">
                    <a:lumMod val="75000"/>
                  </a:schemeClr>
                </a:solidFill>
              </a:ln>
            </c:spPr>
          </c:dPt>
          <c:xVal>
            <c:numRef>
              <c:f>试加重示意!$D$113:$D$114</c:f>
              <c:numCache>
                <c:formatCode>General</c:formatCode>
                <c:ptCount val="2"/>
                <c:pt idx="0">
                  <c:v>22</c:v>
                </c:pt>
                <c:pt idx="1">
                  <c:v>29.5</c:v>
                </c:pt>
              </c:numCache>
            </c:numRef>
          </c:xVal>
          <c:yVal>
            <c:numRef>
              <c:f>试加重示意!$E$113:$E$114</c:f>
              <c:numCache>
                <c:formatCode>General</c:formatCode>
                <c:ptCount val="2"/>
                <c:pt idx="0">
                  <c:v>22</c:v>
                </c:pt>
                <c:pt idx="1">
                  <c:v>34.99038105676658</c:v>
                </c:pt>
              </c:numCache>
            </c:numRef>
          </c:yVal>
          <c:smooth val="1"/>
        </c:ser>
        <c:ser>
          <c:idx val="25"/>
          <c:order val="25"/>
          <c:tx>
            <c:v>Py矢量箭头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试加重示意!$D$115:$D$117</c:f>
              <c:numCache>
                <c:formatCode>General</c:formatCode>
                <c:ptCount val="3"/>
                <c:pt idx="0">
                  <c:v>28.53407417371093</c:v>
                </c:pt>
                <c:pt idx="1">
                  <c:v>29.5</c:v>
                </c:pt>
                <c:pt idx="2">
                  <c:v>29.75881904510252</c:v>
                </c:pt>
              </c:numCache>
            </c:numRef>
          </c:xVal>
          <c:yVal>
            <c:numRef>
              <c:f>试加重示意!$E$115:$E$117</c:f>
              <c:numCache>
                <c:formatCode>General</c:formatCode>
                <c:ptCount val="3"/>
                <c:pt idx="0">
                  <c:v>34.73156201166406</c:v>
                </c:pt>
                <c:pt idx="1">
                  <c:v>34.99038105676658</c:v>
                </c:pt>
                <c:pt idx="2">
                  <c:v>34.024455230477514</c:v>
                </c:pt>
              </c:numCache>
            </c:numRef>
          </c:yVal>
          <c:smooth val="0"/>
        </c:ser>
        <c:ser>
          <c:idx val="26"/>
          <c:order val="26"/>
          <c:tx>
            <c:strRef>
              <c:f>试加重示意!$L$21</c:f>
              <c:strCache>
                <c:ptCount val="1"/>
                <c:pt idx="0">
                  <c:v>Py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试加重示意!$D$118</c:f>
              <c:numCache>
                <c:formatCode>General</c:formatCode>
                <c:ptCount val="1"/>
                <c:pt idx="0">
                  <c:v>30.625</c:v>
                </c:pt>
              </c:numCache>
            </c:numRef>
          </c:xVal>
          <c:yVal>
            <c:numRef>
              <c:f>试加重示意!$E$118</c:f>
              <c:numCache>
                <c:formatCode>General</c:formatCode>
                <c:ptCount val="1"/>
                <c:pt idx="0">
                  <c:v>36.938938215281567</c:v>
                </c:pt>
              </c:numCache>
            </c:numRef>
          </c:yVal>
          <c:smooth val="1"/>
        </c:ser>
        <c:ser>
          <c:idx val="27"/>
          <c:order val="27"/>
          <c:tx>
            <c:v>Py夹角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试加重示意!$J$4:$J$204</c:f>
              <c:numCache>
                <c:formatCode>General</c:formatCode>
                <c:ptCount val="201"/>
                <c:pt idx="0">
                  <c:v>16</c:v>
                </c:pt>
                <c:pt idx="1">
                  <c:v>16.001315899150928</c:v>
                </c:pt>
                <c:pt idx="2">
                  <c:v>16.005263019406851</c:v>
                </c:pt>
                <c:pt idx="3">
                  <c:v>16.011839629430369</c:v>
                </c:pt>
                <c:pt idx="4">
                  <c:v>16.021042844502972</c:v>
                </c:pt>
                <c:pt idx="5">
                  <c:v>16.032868627790357</c:v>
                </c:pt>
                <c:pt idx="6">
                  <c:v>16.047311792113131</c:v>
                </c:pt>
                <c:pt idx="7">
                  <c:v>16.064366002222069</c:v>
                </c:pt>
                <c:pt idx="8">
                  <c:v>16.084023777576967</c:v>
                </c:pt>
                <c:pt idx="9">
                  <c:v>16.106276495627867</c:v>
                </c:pt>
                <c:pt idx="10">
                  <c:v>16.131114395597162</c:v>
                </c:pt>
                <c:pt idx="11">
                  <c:v>16.158526582761034</c:v>
                </c:pt>
                <c:pt idx="12">
                  <c:v>16.188501033228206</c:v>
                </c:pt>
                <c:pt idx="13">
                  <c:v>16.221024599214047</c:v>
                </c:pt>
                <c:pt idx="14">
                  <c:v>16.25608301480759</c:v>
                </c:pt>
                <c:pt idx="15">
                  <c:v>16.293660902229071</c:v>
                </c:pt>
                <c:pt idx="16">
                  <c:v>16.333741778575106</c:v>
                </c:pt>
                <c:pt idx="17">
                  <c:v>16.376308063048644</c:v>
                </c:pt>
                <c:pt idx="18">
                  <c:v>16.42134108467048</c:v>
                </c:pt>
                <c:pt idx="19">
                  <c:v>16.468821090468985</c:v>
                </c:pt>
                <c:pt idx="20">
                  <c:v>16.518727254144384</c:v>
                </c:pt>
                <c:pt idx="21">
                  <c:v>16.571037685203869</c:v>
                </c:pt>
                <c:pt idx="22">
                  <c:v>16.625729438563511</c:v>
                </c:pt>
                <c:pt idx="23">
                  <c:v>16.682778524612701</c:v>
                </c:pt>
                <c:pt idx="24">
                  <c:v>16.742159919736803</c:v>
                </c:pt>
                <c:pt idx="25">
                  <c:v>16.803847577293354</c:v>
                </c:pt>
                <c:pt idx="26">
                  <c:v>16.867814439036945</c:v>
                </c:pt>
                <c:pt idx="27">
                  <c:v>16.934032446987892</c:v>
                </c:pt>
                <c:pt idx="28">
                  <c:v>17.002472555739384</c:v>
                </c:pt>
                <c:pt idx="29">
                  <c:v>17.073104745197757</c:v>
                </c:pt>
                <c:pt idx="30">
                  <c:v>17.145898033750292</c:v>
                </c:pt>
                <c:pt idx="31">
                  <c:v>17.220820491854802</c:v>
                </c:pt>
                <c:pt idx="32">
                  <c:v>17.297839256044938</c:v>
                </c:pt>
                <c:pt idx="33">
                  <c:v>17.376920543345239</c:v>
                </c:pt>
                <c:pt idx="34">
                  <c:v>17.458029666089434</c:v>
                </c:pt>
                <c:pt idx="35">
                  <c:v>17.541131047135607</c:v>
                </c:pt>
                <c:pt idx="36">
                  <c:v>17.626188235471503</c:v>
                </c:pt>
                <c:pt idx="37">
                  <c:v>17.713163922203147</c:v>
                </c:pt>
                <c:pt idx="38">
                  <c:v>17.802019956919775</c:v>
                </c:pt>
                <c:pt idx="39">
                  <c:v>17.892717364427831</c:v>
                </c:pt>
                <c:pt idx="40">
                  <c:v>17.985216361846817</c:v>
                </c:pt>
                <c:pt idx="41">
                  <c:v>18.079476376059329</c:v>
                </c:pt>
                <c:pt idx="42">
                  <c:v>18.175456061507823</c:v>
                </c:pt>
                <c:pt idx="43">
                  <c:v>18.273113318330093</c:v>
                </c:pt>
                <c:pt idx="44">
                  <c:v>18.372405310825709</c:v>
                </c:pt>
                <c:pt idx="45">
                  <c:v>18.473288486245117</c:v>
                </c:pt>
                <c:pt idx="46">
                  <c:v>18.575718593893363</c:v>
                </c:pt>
                <c:pt idx="47">
                  <c:v>18.679650704539885</c:v>
                </c:pt>
                <c:pt idx="48">
                  <c:v>18.785039230125975</c:v>
                </c:pt>
                <c:pt idx="49">
                  <c:v>18.891837943761168</c:v>
                </c:pt>
                <c:pt idx="50">
                  <c:v>18.999999999999947</c:v>
                </c:pt>
                <c:pt idx="51">
                  <c:v>19.109477955389654</c:v>
                </c:pt>
                <c:pt idx="52">
                  <c:v>19.220223789280777</c:v>
                </c:pt>
                <c:pt idx="53">
                  <c:v>19.332188924890378</c:v>
                </c:pt>
                <c:pt idx="54">
                  <c:v>19.445324250609502</c:v>
                </c:pt>
                <c:pt idx="55">
                  <c:v>19.559580141545137</c:v>
                </c:pt>
                <c:pt idx="56">
                  <c:v>19.674906481287316</c:v>
                </c:pt>
                <c:pt idx="57">
                  <c:v>19.791252683891869</c:v>
                </c:pt>
                <c:pt idx="58">
                  <c:v>19.908567716069044</c:v>
                </c:pt>
                <c:pt idx="59">
                  <c:v>20.026800119568431</c:v>
                </c:pt>
                <c:pt idx="60">
                  <c:v>20.145898033750242</c:v>
                </c:pt>
                <c:pt idx="61">
                  <c:v>20.2658092183331</c:v>
                </c:pt>
                <c:pt idx="62">
                  <c:v>20.386481076308332</c:v>
                </c:pt>
                <c:pt idx="63">
                  <c:v>20.507860677010797</c:v>
                </c:pt>
                <c:pt idx="64">
                  <c:v>20.629894779335988</c:v>
                </c:pt>
                <c:pt idx="65">
                  <c:v>20.752529855093364</c:v>
                </c:pt>
                <c:pt idx="66">
                  <c:v>20.875712112485573</c:v>
                </c:pt>
                <c:pt idx="67">
                  <c:v>20.999387519703305</c:v>
                </c:pt>
                <c:pt idx="68">
                  <c:v>21.12350182862545</c:v>
                </c:pt>
                <c:pt idx="69">
                  <c:v>21.248000598614095</c:v>
                </c:pt>
                <c:pt idx="70">
                  <c:v>21.372829220393996</c:v>
                </c:pt>
                <c:pt idx="71">
                  <c:v>21.497932940006027</c:v>
                </c:pt>
                <c:pt idx="72">
                  <c:v>21.623256882824034</c:v>
                </c:pt>
                <c:pt idx="73">
                  <c:v>21.748746077624716</c:v>
                </c:pt>
                <c:pt idx="74">
                  <c:v>21.87434548069977</c:v>
                </c:pt>
                <c:pt idx="75">
                  <c:v>21.999999999999915</c:v>
                </c:pt>
                <c:pt idx="76">
                  <c:v>22.125654519300053</c:v>
                </c:pt>
                <c:pt idx="77">
                  <c:v>22.251253922375106</c:v>
                </c:pt>
                <c:pt idx="78">
                  <c:v>22.376743117175785</c:v>
                </c:pt>
                <c:pt idx="79">
                  <c:v>22.502067059993799</c:v>
                </c:pt>
                <c:pt idx="80">
                  <c:v>22.627170779605827</c:v>
                </c:pt>
                <c:pt idx="81">
                  <c:v>22.751999401385731</c:v>
                </c:pt>
                <c:pt idx="82">
                  <c:v>22.876498171374372</c:v>
                </c:pt>
                <c:pt idx="83">
                  <c:v>23.000612480296514</c:v>
                </c:pt>
                <c:pt idx="84">
                  <c:v>23.124287887514253</c:v>
                </c:pt>
                <c:pt idx="85">
                  <c:v>23.247470144906458</c:v>
                </c:pt>
                <c:pt idx="86">
                  <c:v>23.370105220663834</c:v>
                </c:pt>
                <c:pt idx="87">
                  <c:v>23.492139322989026</c:v>
                </c:pt>
                <c:pt idx="88">
                  <c:v>23.61351892369149</c:v>
                </c:pt>
                <c:pt idx="89">
                  <c:v>23.734190781666729</c:v>
                </c:pt>
                <c:pt idx="90">
                  <c:v>23.854101966249583</c:v>
                </c:pt>
                <c:pt idx="91">
                  <c:v>23.973199880431395</c:v>
                </c:pt>
                <c:pt idx="92">
                  <c:v>24.091432283930786</c:v>
                </c:pt>
                <c:pt idx="93">
                  <c:v>24.208747316107967</c:v>
                </c:pt>
                <c:pt idx="94">
                  <c:v>24.325093518712514</c:v>
                </c:pt>
                <c:pt idx="95">
                  <c:v>24.440419858454696</c:v>
                </c:pt>
                <c:pt idx="96">
                  <c:v>24.554675749390331</c:v>
                </c:pt>
                <c:pt idx="97">
                  <c:v>24.667811075109459</c:v>
                </c:pt>
                <c:pt idx="98">
                  <c:v>24.779776210719067</c:v>
                </c:pt>
                <c:pt idx="99">
                  <c:v>24.890522044610186</c:v>
                </c:pt>
                <c:pt idx="100">
                  <c:v>24.999999999999893</c:v>
                </c:pt>
                <c:pt idx="101">
                  <c:v>25.108162056238676</c:v>
                </c:pt>
                <c:pt idx="102">
                  <c:v>25.214960769873876</c:v>
                </c:pt>
                <c:pt idx="103">
                  <c:v>25.320349295459962</c:v>
                </c:pt>
                <c:pt idx="104">
                  <c:v>25.424281406106488</c:v>
                </c:pt>
                <c:pt idx="105">
                  <c:v>25.526711513754734</c:v>
                </c:pt>
                <c:pt idx="106">
                  <c:v>25.627594689174149</c:v>
                </c:pt>
                <c:pt idx="107">
                  <c:v>25.726886681669761</c:v>
                </c:pt>
                <c:pt idx="108">
                  <c:v>25.824543938492038</c:v>
                </c:pt>
                <c:pt idx="109">
                  <c:v>25.920523623940532</c:v>
                </c:pt>
                <c:pt idx="110">
                  <c:v>26.014783638153048</c:v>
                </c:pt>
                <c:pt idx="111">
                  <c:v>26.107282635572034</c:v>
                </c:pt>
                <c:pt idx="112">
                  <c:v>26.197980043080094</c:v>
                </c:pt>
                <c:pt idx="113">
                  <c:v>26.286836077796728</c:v>
                </c:pt>
                <c:pt idx="114">
                  <c:v>26.373811764528377</c:v>
                </c:pt>
                <c:pt idx="115">
                  <c:v>26.458868952864272</c:v>
                </c:pt>
                <c:pt idx="116">
                  <c:v>26.541970333910449</c:v>
                </c:pt>
                <c:pt idx="117">
                  <c:v>26.623079456654647</c:v>
                </c:pt>
                <c:pt idx="118">
                  <c:v>26.702160743954952</c:v>
                </c:pt>
                <c:pt idx="119">
                  <c:v>26.779179508145091</c:v>
                </c:pt>
                <c:pt idx="120">
                  <c:v>26.854101966249601</c:v>
                </c:pt>
                <c:pt idx="121">
                  <c:v>26.926895254802144</c:v>
                </c:pt>
                <c:pt idx="122">
                  <c:v>26.997527444260516</c:v>
                </c:pt>
                <c:pt idx="123">
                  <c:v>27.065967553012012</c:v>
                </c:pt>
                <c:pt idx="124">
                  <c:v>27.132185560962963</c:v>
                </c:pt>
                <c:pt idx="125">
                  <c:v>27.196152422706557</c:v>
                </c:pt>
                <c:pt idx="126">
                  <c:v>27.257840080263108</c:v>
                </c:pt>
                <c:pt idx="127">
                  <c:v>27.317221475387218</c:v>
                </c:pt>
                <c:pt idx="128">
                  <c:v>27.374270561436411</c:v>
                </c:pt>
                <c:pt idx="129">
                  <c:v>27.428962314796053</c:v>
                </c:pt>
                <c:pt idx="130">
                  <c:v>27.481272745855541</c:v>
                </c:pt>
                <c:pt idx="131">
                  <c:v>27.531178909530944</c:v>
                </c:pt>
                <c:pt idx="132">
                  <c:v>27.578658915329449</c:v>
                </c:pt>
                <c:pt idx="133">
                  <c:v>27.623691936951293</c:v>
                </c:pt>
                <c:pt idx="134">
                  <c:v>27.666258221424833</c:v>
                </c:pt>
                <c:pt idx="135">
                  <c:v>27.706339097770872</c:v>
                </c:pt>
                <c:pt idx="136">
                  <c:v>27.743916985192357</c:v>
                </c:pt>
                <c:pt idx="137">
                  <c:v>27.778975400785903</c:v>
                </c:pt>
                <c:pt idx="138">
                  <c:v>27.811498966771747</c:v>
                </c:pt>
                <c:pt idx="139">
                  <c:v>27.841473417238923</c:v>
                </c:pt>
                <c:pt idx="140">
                  <c:v>27.868885604402799</c:v>
                </c:pt>
                <c:pt idx="141">
                  <c:v>27.893723504372101</c:v>
                </c:pt>
                <c:pt idx="142">
                  <c:v>27.915976222423001</c:v>
                </c:pt>
                <c:pt idx="143">
                  <c:v>27.935633997777906</c:v>
                </c:pt>
                <c:pt idx="144">
                  <c:v>27.952688207886844</c:v>
                </c:pt>
                <c:pt idx="145">
                  <c:v>27.967131372209622</c:v>
                </c:pt>
                <c:pt idx="146">
                  <c:v>27.97895715549701</c:v>
                </c:pt>
                <c:pt idx="147">
                  <c:v>27.98816037056962</c:v>
                </c:pt>
                <c:pt idx="148">
                  <c:v>27.994736980593142</c:v>
                </c:pt>
                <c:pt idx="149">
                  <c:v>27.998684100849069</c:v>
                </c:pt>
                <c:pt idx="150">
                  <c:v>28</c:v>
                </c:pt>
                <c:pt idx="151">
                  <c:v>27.998684100849076</c:v>
                </c:pt>
                <c:pt idx="152">
                  <c:v>27.99473698059316</c:v>
                </c:pt>
                <c:pt idx="153">
                  <c:v>27.988160370569641</c:v>
                </c:pt>
                <c:pt idx="154">
                  <c:v>27.978957155497042</c:v>
                </c:pt>
                <c:pt idx="155">
                  <c:v>27.967131372209661</c:v>
                </c:pt>
                <c:pt idx="156">
                  <c:v>27.95268820788689</c:v>
                </c:pt>
                <c:pt idx="157">
                  <c:v>27.935633997777956</c:v>
                </c:pt>
                <c:pt idx="158">
                  <c:v>27.915976222423062</c:v>
                </c:pt>
                <c:pt idx="159">
                  <c:v>27.893723504372165</c:v>
                </c:pt>
                <c:pt idx="160">
                  <c:v>27.86888560440287</c:v>
                </c:pt>
                <c:pt idx="161">
                  <c:v>27.841473417239001</c:v>
                </c:pt>
                <c:pt idx="162">
                  <c:v>27.811498966771833</c:v>
                </c:pt>
                <c:pt idx="163">
                  <c:v>27.778975400785995</c:v>
                </c:pt>
                <c:pt idx="164">
                  <c:v>27.743916985192456</c:v>
                </c:pt>
                <c:pt idx="165">
                  <c:v>27.706339097770979</c:v>
                </c:pt>
                <c:pt idx="166">
                  <c:v>27.666258221424947</c:v>
                </c:pt>
                <c:pt idx="167">
                  <c:v>27.623691936951413</c:v>
                </c:pt>
                <c:pt idx="168">
                  <c:v>27.578658915329576</c:v>
                </c:pt>
                <c:pt idx="169">
                  <c:v>27.531178909531071</c:v>
                </c:pt>
                <c:pt idx="170">
                  <c:v>27.48127274585568</c:v>
                </c:pt>
                <c:pt idx="171">
                  <c:v>27.428962314796195</c:v>
                </c:pt>
                <c:pt idx="172">
                  <c:v>27.374270561436557</c:v>
                </c:pt>
                <c:pt idx="173">
                  <c:v>27.317221475387374</c:v>
                </c:pt>
                <c:pt idx="174">
                  <c:v>27.257840080263268</c:v>
                </c:pt>
                <c:pt idx="175">
                  <c:v>27.196152422706724</c:v>
                </c:pt>
                <c:pt idx="176">
                  <c:v>27.132185560963133</c:v>
                </c:pt>
                <c:pt idx="177">
                  <c:v>27.065967553012186</c:v>
                </c:pt>
                <c:pt idx="178">
                  <c:v>26.997527444260697</c:v>
                </c:pt>
                <c:pt idx="179">
                  <c:v>26.926895254802329</c:v>
                </c:pt>
                <c:pt idx="180">
                  <c:v>26.854101966249793</c:v>
                </c:pt>
                <c:pt idx="181">
                  <c:v>26.779179508145287</c:v>
                </c:pt>
                <c:pt idx="182">
                  <c:v>26.702160743955151</c:v>
                </c:pt>
                <c:pt idx="183">
                  <c:v>26.62307945665485</c:v>
                </c:pt>
                <c:pt idx="184">
                  <c:v>26.541970333910655</c:v>
                </c:pt>
                <c:pt idx="185">
                  <c:v>26.458868952864485</c:v>
                </c:pt>
                <c:pt idx="186">
                  <c:v>26.37381176452859</c:v>
                </c:pt>
                <c:pt idx="187">
                  <c:v>26.286836077796945</c:v>
                </c:pt>
                <c:pt idx="188">
                  <c:v>26.197980043080321</c:v>
                </c:pt>
                <c:pt idx="189">
                  <c:v>26.107282635572261</c:v>
                </c:pt>
                <c:pt idx="190">
                  <c:v>26.014783638153283</c:v>
                </c:pt>
                <c:pt idx="191">
                  <c:v>25.920523623940767</c:v>
                </c:pt>
                <c:pt idx="192">
                  <c:v>25.824543938492276</c:v>
                </c:pt>
                <c:pt idx="193">
                  <c:v>25.726886681670003</c:v>
                </c:pt>
                <c:pt idx="194">
                  <c:v>25.627594689174391</c:v>
                </c:pt>
                <c:pt idx="195">
                  <c:v>25.526711513754982</c:v>
                </c:pt>
                <c:pt idx="196">
                  <c:v>25.424281406106736</c:v>
                </c:pt>
                <c:pt idx="197">
                  <c:v>25.320349295460211</c:v>
                </c:pt>
                <c:pt idx="198">
                  <c:v>25.214960769874125</c:v>
                </c:pt>
                <c:pt idx="199">
                  <c:v>25.108162056238932</c:v>
                </c:pt>
                <c:pt idx="200">
                  <c:v>25.000000000000149</c:v>
                </c:pt>
              </c:numCache>
            </c:numRef>
          </c:xVal>
          <c:yVal>
            <c:numRef>
              <c:f>试加重示意!$K$4:$K$204</c:f>
              <c:numCache>
                <c:formatCode>General</c:formatCode>
                <c:ptCount val="201"/>
                <c:pt idx="0">
                  <c:v>22</c:v>
                </c:pt>
                <c:pt idx="1">
                  <c:v>21.874345480699862</c:v>
                </c:pt>
                <c:pt idx="2">
                  <c:v>21.748746077624805</c:v>
                </c:pt>
                <c:pt idx="3">
                  <c:v>21.623256882824126</c:v>
                </c:pt>
                <c:pt idx="4">
                  <c:v>21.497932940006113</c:v>
                </c:pt>
                <c:pt idx="5">
                  <c:v>21.372829220394088</c:v>
                </c:pt>
                <c:pt idx="6">
                  <c:v>21.248000598614183</c:v>
                </c:pt>
                <c:pt idx="7">
                  <c:v>21.123501828625539</c:v>
                </c:pt>
                <c:pt idx="8">
                  <c:v>20.999387519703397</c:v>
                </c:pt>
                <c:pt idx="9">
                  <c:v>20.875712112485665</c:v>
                </c:pt>
                <c:pt idx="10">
                  <c:v>20.752529855093456</c:v>
                </c:pt>
                <c:pt idx="11">
                  <c:v>20.62989477933608</c:v>
                </c:pt>
                <c:pt idx="12">
                  <c:v>20.507860677010889</c:v>
                </c:pt>
                <c:pt idx="13">
                  <c:v>20.386481076308421</c:v>
                </c:pt>
                <c:pt idx="14">
                  <c:v>20.265809218333189</c:v>
                </c:pt>
                <c:pt idx="15">
                  <c:v>20.145898033750335</c:v>
                </c:pt>
                <c:pt idx="16">
                  <c:v>20.02680011956852</c:v>
                </c:pt>
                <c:pt idx="17">
                  <c:v>19.908567716069129</c:v>
                </c:pt>
                <c:pt idx="18">
                  <c:v>19.791252683891955</c:v>
                </c:pt>
                <c:pt idx="19">
                  <c:v>19.674906481287405</c:v>
                </c:pt>
                <c:pt idx="20">
                  <c:v>19.559580141545222</c:v>
                </c:pt>
                <c:pt idx="21">
                  <c:v>19.445324250609591</c:v>
                </c:pt>
                <c:pt idx="22">
                  <c:v>19.33218892489046</c:v>
                </c:pt>
                <c:pt idx="23">
                  <c:v>19.220223789280851</c:v>
                </c:pt>
                <c:pt idx="24">
                  <c:v>19.109477955389732</c:v>
                </c:pt>
                <c:pt idx="25">
                  <c:v>19.000000000000025</c:v>
                </c:pt>
                <c:pt idx="26">
                  <c:v>18.891837943761246</c:v>
                </c:pt>
                <c:pt idx="27">
                  <c:v>18.785039230126046</c:v>
                </c:pt>
                <c:pt idx="28">
                  <c:v>18.679650704539963</c:v>
                </c:pt>
                <c:pt idx="29">
                  <c:v>18.575718593893438</c:v>
                </c:pt>
                <c:pt idx="30">
                  <c:v>18.473288486245188</c:v>
                </c:pt>
                <c:pt idx="31">
                  <c:v>18.37240531082578</c:v>
                </c:pt>
                <c:pt idx="32">
                  <c:v>18.273113318330168</c:v>
                </c:pt>
                <c:pt idx="33">
                  <c:v>18.175456061507894</c:v>
                </c:pt>
                <c:pt idx="34">
                  <c:v>18.079476376059397</c:v>
                </c:pt>
                <c:pt idx="35">
                  <c:v>17.985216361846881</c:v>
                </c:pt>
                <c:pt idx="36">
                  <c:v>17.892717364427899</c:v>
                </c:pt>
                <c:pt idx="37">
                  <c:v>17.802019956919839</c:v>
                </c:pt>
                <c:pt idx="38">
                  <c:v>17.713163922203211</c:v>
                </c:pt>
                <c:pt idx="39">
                  <c:v>17.626188235471563</c:v>
                </c:pt>
                <c:pt idx="40">
                  <c:v>17.541131047135664</c:v>
                </c:pt>
                <c:pt idx="41">
                  <c:v>17.458029666089494</c:v>
                </c:pt>
                <c:pt idx="42">
                  <c:v>17.3769205433453</c:v>
                </c:pt>
                <c:pt idx="43">
                  <c:v>17.297839256044995</c:v>
                </c:pt>
                <c:pt idx="44">
                  <c:v>17.220820491854852</c:v>
                </c:pt>
                <c:pt idx="45">
                  <c:v>17.145898033750349</c:v>
                </c:pt>
                <c:pt idx="46">
                  <c:v>17.07310474519781</c:v>
                </c:pt>
                <c:pt idx="47">
                  <c:v>17.002472555739438</c:v>
                </c:pt>
                <c:pt idx="48">
                  <c:v>16.934032446987938</c:v>
                </c:pt>
                <c:pt idx="49">
                  <c:v>16.867814439036991</c:v>
                </c:pt>
                <c:pt idx="50">
                  <c:v>16.8038475772934</c:v>
                </c:pt>
                <c:pt idx="51">
                  <c:v>16.742159919736849</c:v>
                </c:pt>
                <c:pt idx="52">
                  <c:v>16.68277852461274</c:v>
                </c:pt>
                <c:pt idx="53">
                  <c:v>16.62572943856355</c:v>
                </c:pt>
                <c:pt idx="54">
                  <c:v>16.571037685203912</c:v>
                </c:pt>
                <c:pt idx="55">
                  <c:v>16.518727254144423</c:v>
                </c:pt>
                <c:pt idx="56">
                  <c:v>16.468821090469024</c:v>
                </c:pt>
                <c:pt idx="57">
                  <c:v>16.421341084670516</c:v>
                </c:pt>
                <c:pt idx="58">
                  <c:v>16.376308063048675</c:v>
                </c:pt>
                <c:pt idx="59">
                  <c:v>16.333741778575138</c:v>
                </c:pt>
                <c:pt idx="60">
                  <c:v>16.293660902229103</c:v>
                </c:pt>
                <c:pt idx="61">
                  <c:v>16.256083014807615</c:v>
                </c:pt>
                <c:pt idx="62">
                  <c:v>16.221024599214072</c:v>
                </c:pt>
                <c:pt idx="63">
                  <c:v>16.188501033228231</c:v>
                </c:pt>
                <c:pt idx="64">
                  <c:v>16.158526582761056</c:v>
                </c:pt>
                <c:pt idx="65">
                  <c:v>16.131114395597184</c:v>
                </c:pt>
                <c:pt idx="66">
                  <c:v>16.106276495627881</c:v>
                </c:pt>
                <c:pt idx="67">
                  <c:v>16.084023777576984</c:v>
                </c:pt>
                <c:pt idx="68">
                  <c:v>16.06436600222208</c:v>
                </c:pt>
                <c:pt idx="69">
                  <c:v>16.047311792113142</c:v>
                </c:pt>
                <c:pt idx="70">
                  <c:v>16.032868627790368</c:v>
                </c:pt>
                <c:pt idx="71">
                  <c:v>16.021042844502979</c:v>
                </c:pt>
                <c:pt idx="72">
                  <c:v>16.011839629430376</c:v>
                </c:pt>
                <c:pt idx="73">
                  <c:v>16.005263019406854</c:v>
                </c:pt>
                <c:pt idx="74">
                  <c:v>16.001315899150928</c:v>
                </c:pt>
                <c:pt idx="75">
                  <c:v>16</c:v>
                </c:pt>
                <c:pt idx="76">
                  <c:v>16.001315899150924</c:v>
                </c:pt>
                <c:pt idx="77">
                  <c:v>16.005263019406847</c:v>
                </c:pt>
                <c:pt idx="78">
                  <c:v>16.011839629430362</c:v>
                </c:pt>
                <c:pt idx="79">
                  <c:v>16.021042844502965</c:v>
                </c:pt>
                <c:pt idx="80">
                  <c:v>16.03286862779035</c:v>
                </c:pt>
                <c:pt idx="81">
                  <c:v>16.047311792113121</c:v>
                </c:pt>
                <c:pt idx="82">
                  <c:v>16.064366002222055</c:v>
                </c:pt>
                <c:pt idx="83">
                  <c:v>16.084023777576952</c:v>
                </c:pt>
                <c:pt idx="84">
                  <c:v>16.106276495627849</c:v>
                </c:pt>
                <c:pt idx="85">
                  <c:v>16.131114395597145</c:v>
                </c:pt>
                <c:pt idx="86">
                  <c:v>16.158526582761013</c:v>
                </c:pt>
                <c:pt idx="87">
                  <c:v>16.188501033228185</c:v>
                </c:pt>
                <c:pt idx="88">
                  <c:v>16.221024599214022</c:v>
                </c:pt>
                <c:pt idx="89">
                  <c:v>16.256083014807565</c:v>
                </c:pt>
                <c:pt idx="90">
                  <c:v>16.293660902229046</c:v>
                </c:pt>
                <c:pt idx="91">
                  <c:v>16.333741778575078</c:v>
                </c:pt>
                <c:pt idx="92">
                  <c:v>16.376308063048612</c:v>
                </c:pt>
                <c:pt idx="93">
                  <c:v>16.421341084670452</c:v>
                </c:pt>
                <c:pt idx="94">
                  <c:v>16.468821090468953</c:v>
                </c:pt>
                <c:pt idx="95">
                  <c:v>16.518727254144348</c:v>
                </c:pt>
                <c:pt idx="96">
                  <c:v>16.571037685203834</c:v>
                </c:pt>
                <c:pt idx="97">
                  <c:v>16.625729438563468</c:v>
                </c:pt>
                <c:pt idx="98">
                  <c:v>16.682778524612658</c:v>
                </c:pt>
                <c:pt idx="99">
                  <c:v>16.742159919736761</c:v>
                </c:pt>
                <c:pt idx="100">
                  <c:v>16.803847577293308</c:v>
                </c:pt>
                <c:pt idx="101">
                  <c:v>16.867814439036895</c:v>
                </c:pt>
                <c:pt idx="102">
                  <c:v>16.934032446987842</c:v>
                </c:pt>
                <c:pt idx="103">
                  <c:v>17.002472555739335</c:v>
                </c:pt>
                <c:pt idx="104">
                  <c:v>17.073104745197703</c:v>
                </c:pt>
                <c:pt idx="105">
                  <c:v>17.145898033750239</c:v>
                </c:pt>
                <c:pt idx="106">
                  <c:v>17.220820491854745</c:v>
                </c:pt>
                <c:pt idx="107">
                  <c:v>17.297839256044881</c:v>
                </c:pt>
                <c:pt idx="108">
                  <c:v>17.376920543345179</c:v>
                </c:pt>
                <c:pt idx="109">
                  <c:v>17.458029666089374</c:v>
                </c:pt>
                <c:pt idx="110">
                  <c:v>17.541131047135543</c:v>
                </c:pt>
                <c:pt idx="111">
                  <c:v>17.626188235471439</c:v>
                </c:pt>
                <c:pt idx="112">
                  <c:v>17.713163922203083</c:v>
                </c:pt>
                <c:pt idx="113">
                  <c:v>17.802019956919711</c:v>
                </c:pt>
                <c:pt idx="114">
                  <c:v>17.892717364427767</c:v>
                </c:pt>
                <c:pt idx="115">
                  <c:v>17.985216361846746</c:v>
                </c:pt>
                <c:pt idx="116">
                  <c:v>18.079476376059265</c:v>
                </c:pt>
                <c:pt idx="117">
                  <c:v>18.175456061507756</c:v>
                </c:pt>
                <c:pt idx="118">
                  <c:v>18.273113318330026</c:v>
                </c:pt>
                <c:pt idx="119">
                  <c:v>18.372405310825638</c:v>
                </c:pt>
                <c:pt idx="120">
                  <c:v>18.473288486245043</c:v>
                </c:pt>
                <c:pt idx="121">
                  <c:v>18.575718593893292</c:v>
                </c:pt>
                <c:pt idx="122">
                  <c:v>18.679650704539814</c:v>
                </c:pt>
                <c:pt idx="123">
                  <c:v>18.785039230125896</c:v>
                </c:pt>
                <c:pt idx="124">
                  <c:v>18.891837943761089</c:v>
                </c:pt>
                <c:pt idx="125">
                  <c:v>18.999999999999872</c:v>
                </c:pt>
                <c:pt idx="126">
                  <c:v>19.109477955389579</c:v>
                </c:pt>
                <c:pt idx="127">
                  <c:v>19.220223789280695</c:v>
                </c:pt>
                <c:pt idx="128">
                  <c:v>19.332188924890296</c:v>
                </c:pt>
                <c:pt idx="129">
                  <c:v>19.445324250609421</c:v>
                </c:pt>
                <c:pt idx="130">
                  <c:v>19.559580141545059</c:v>
                </c:pt>
                <c:pt idx="131">
                  <c:v>19.674906481287238</c:v>
                </c:pt>
                <c:pt idx="132">
                  <c:v>19.791252683891784</c:v>
                </c:pt>
                <c:pt idx="133">
                  <c:v>19.908567716068958</c:v>
                </c:pt>
                <c:pt idx="134">
                  <c:v>20.02680011956835</c:v>
                </c:pt>
                <c:pt idx="135">
                  <c:v>20.145898033750161</c:v>
                </c:pt>
                <c:pt idx="136">
                  <c:v>20.265809218333015</c:v>
                </c:pt>
                <c:pt idx="137">
                  <c:v>20.386481076308247</c:v>
                </c:pt>
                <c:pt idx="138">
                  <c:v>20.507860677010711</c:v>
                </c:pt>
                <c:pt idx="139">
                  <c:v>20.629894779335903</c:v>
                </c:pt>
                <c:pt idx="140">
                  <c:v>20.752529855093279</c:v>
                </c:pt>
                <c:pt idx="141">
                  <c:v>20.875712112485484</c:v>
                </c:pt>
                <c:pt idx="142">
                  <c:v>20.999387519703216</c:v>
                </c:pt>
                <c:pt idx="143">
                  <c:v>21.123501828625361</c:v>
                </c:pt>
                <c:pt idx="144">
                  <c:v>21.248000598614002</c:v>
                </c:pt>
                <c:pt idx="145">
                  <c:v>21.372829220393903</c:v>
                </c:pt>
                <c:pt idx="146">
                  <c:v>21.497932940005931</c:v>
                </c:pt>
                <c:pt idx="147">
                  <c:v>21.623256882823945</c:v>
                </c:pt>
                <c:pt idx="148">
                  <c:v>21.748746077624624</c:v>
                </c:pt>
                <c:pt idx="149">
                  <c:v>21.874345480699677</c:v>
                </c:pt>
                <c:pt idx="150">
                  <c:v>21.999999999999819</c:v>
                </c:pt>
                <c:pt idx="151">
                  <c:v>22.12565451929996</c:v>
                </c:pt>
                <c:pt idx="152">
                  <c:v>22.251253922375017</c:v>
                </c:pt>
                <c:pt idx="153">
                  <c:v>22.3767431171757</c:v>
                </c:pt>
                <c:pt idx="154">
                  <c:v>22.502067059993713</c:v>
                </c:pt>
                <c:pt idx="155">
                  <c:v>22.627170779605741</c:v>
                </c:pt>
                <c:pt idx="156">
                  <c:v>22.751999401385646</c:v>
                </c:pt>
                <c:pt idx="157">
                  <c:v>22.876498171374291</c:v>
                </c:pt>
                <c:pt idx="158">
                  <c:v>23.000612480296436</c:v>
                </c:pt>
                <c:pt idx="159">
                  <c:v>23.124287887514171</c:v>
                </c:pt>
                <c:pt idx="160">
                  <c:v>23.24747014490638</c:v>
                </c:pt>
                <c:pt idx="161">
                  <c:v>23.37010522066376</c:v>
                </c:pt>
                <c:pt idx="162">
                  <c:v>23.492139322988955</c:v>
                </c:pt>
                <c:pt idx="163">
                  <c:v>23.613518923691419</c:v>
                </c:pt>
                <c:pt idx="164">
                  <c:v>23.734190781666658</c:v>
                </c:pt>
                <c:pt idx="165">
                  <c:v>23.854101966249512</c:v>
                </c:pt>
                <c:pt idx="166">
                  <c:v>23.973199880431331</c:v>
                </c:pt>
                <c:pt idx="167">
                  <c:v>24.091432283930722</c:v>
                </c:pt>
                <c:pt idx="168">
                  <c:v>24.2087473161079</c:v>
                </c:pt>
                <c:pt idx="169">
                  <c:v>24.325093518712453</c:v>
                </c:pt>
                <c:pt idx="170">
                  <c:v>24.440419858454636</c:v>
                </c:pt>
                <c:pt idx="171">
                  <c:v>24.55467574939027</c:v>
                </c:pt>
                <c:pt idx="172">
                  <c:v>24.667811075109405</c:v>
                </c:pt>
                <c:pt idx="173">
                  <c:v>24.77977621071901</c:v>
                </c:pt>
                <c:pt idx="174">
                  <c:v>24.890522044610133</c:v>
                </c:pt>
                <c:pt idx="175">
                  <c:v>24.999999999999844</c:v>
                </c:pt>
                <c:pt idx="176">
                  <c:v>25.108162056238626</c:v>
                </c:pt>
                <c:pt idx="177">
                  <c:v>25.214960769873827</c:v>
                </c:pt>
                <c:pt idx="178">
                  <c:v>25.320349295459913</c:v>
                </c:pt>
                <c:pt idx="179">
                  <c:v>25.424281406106441</c:v>
                </c:pt>
                <c:pt idx="180">
                  <c:v>25.526711513754694</c:v>
                </c:pt>
                <c:pt idx="181">
                  <c:v>25.627594689174106</c:v>
                </c:pt>
                <c:pt idx="182">
                  <c:v>25.726886681669722</c:v>
                </c:pt>
                <c:pt idx="183">
                  <c:v>25.824543938491999</c:v>
                </c:pt>
                <c:pt idx="184">
                  <c:v>25.920523623940497</c:v>
                </c:pt>
                <c:pt idx="185">
                  <c:v>26.014783638153016</c:v>
                </c:pt>
                <c:pt idx="186">
                  <c:v>26.107282635572002</c:v>
                </c:pt>
                <c:pt idx="187">
                  <c:v>26.197980043080065</c:v>
                </c:pt>
                <c:pt idx="188">
                  <c:v>26.286836077796696</c:v>
                </c:pt>
                <c:pt idx="189">
                  <c:v>26.373811764528348</c:v>
                </c:pt>
                <c:pt idx="190">
                  <c:v>26.458868952864247</c:v>
                </c:pt>
                <c:pt idx="191">
                  <c:v>26.541970333910424</c:v>
                </c:pt>
                <c:pt idx="192">
                  <c:v>26.623079456654622</c:v>
                </c:pt>
                <c:pt idx="193">
                  <c:v>26.702160743954927</c:v>
                </c:pt>
                <c:pt idx="194">
                  <c:v>26.77917950814507</c:v>
                </c:pt>
                <c:pt idx="195">
                  <c:v>26.85410196624958</c:v>
                </c:pt>
                <c:pt idx="196">
                  <c:v>26.926895254802126</c:v>
                </c:pt>
                <c:pt idx="197">
                  <c:v>26.997527444260498</c:v>
                </c:pt>
                <c:pt idx="198">
                  <c:v>27.065967553011998</c:v>
                </c:pt>
                <c:pt idx="199">
                  <c:v>27.132185560962949</c:v>
                </c:pt>
                <c:pt idx="200">
                  <c:v>27.196152422706547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试加重示意!$L$23</c:f>
              <c:strCache>
                <c:ptCount val="1"/>
                <c:pt idx="0">
                  <c:v>240°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试加重示意!$J$206</c:f>
              <c:numCache>
                <c:formatCode>General</c:formatCode>
                <c:ptCount val="1"/>
                <c:pt idx="0">
                  <c:v>25.468626453532224</c:v>
                </c:pt>
              </c:numCache>
            </c:numRef>
          </c:xVal>
          <c:yVal>
            <c:numRef>
              <c:f>试加重示意!$K$206</c:f>
              <c:numCache>
                <c:formatCode>General</c:formatCode>
                <c:ptCount val="1"/>
                <c:pt idx="0">
                  <c:v>15.690591903684112</c:v>
                </c:pt>
              </c:numCache>
            </c:numRef>
          </c:yVal>
          <c:smooth val="1"/>
        </c:ser>
        <c:ser>
          <c:idx val="29"/>
          <c:order val="29"/>
          <c:tx>
            <c:v>Ay夹角</c:v>
          </c:tx>
          <c:spPr>
            <a:ln w="19050">
              <a:prstDash val="sysDash"/>
            </a:ln>
          </c:spPr>
          <c:marker>
            <c:symbol val="none"/>
          </c:marker>
          <c:xVal>
            <c:numRef>
              <c:f>试加重示意!$J$209:$J$409</c:f>
              <c:numCache>
                <c:formatCode>General</c:formatCode>
                <c:ptCount val="201"/>
                <c:pt idx="0">
                  <c:v>25.375</c:v>
                </c:pt>
                <c:pt idx="1">
                  <c:v>25.303331549304712</c:v>
                </c:pt>
                <c:pt idx="2">
                  <c:v>25.231170041099094</c:v>
                </c:pt>
                <c:pt idx="3">
                  <c:v>25.158526246258869</c:v>
                </c:pt>
                <c:pt idx="4">
                  <c:v>25.085411007646186</c:v>
                </c:pt>
                <c:pt idx="5">
                  <c:v>25.011835238491209</c:v>
                </c:pt>
                <c:pt idx="6">
                  <c:v>24.937809920763208</c:v>
                </c:pt>
                <c:pt idx="7">
                  <c:v>24.863346103531381</c:v>
                </c:pt>
                <c:pt idx="8">
                  <c:v>24.788454901315657</c:v>
                </c:pt>
                <c:pt idx="9">
                  <c:v>24.71314749242773</c:v>
                </c:pt>
                <c:pt idx="10">
                  <c:v>24.637435117302594</c:v>
                </c:pt>
                <c:pt idx="11">
                  <c:v>24.561329076820783</c:v>
                </c:pt>
                <c:pt idx="12">
                  <c:v>24.484840730621574</c:v>
                </c:pt>
                <c:pt idx="13">
                  <c:v>24.407981495407466</c:v>
                </c:pt>
                <c:pt idx="14">
                  <c:v>24.330762843240105</c:v>
                </c:pt>
                <c:pt idx="15">
                  <c:v>24.253196299827948</c:v>
                </c:pt>
                <c:pt idx="16">
                  <c:v>24.175293442805945</c:v>
                </c:pt>
                <c:pt idx="17">
                  <c:v>24.097065900007436</c:v>
                </c:pt>
                <c:pt idx="18">
                  <c:v>24.01852534772858</c:v>
                </c:pt>
                <c:pt idx="19">
                  <c:v>23.939683508985549</c:v>
                </c:pt>
                <c:pt idx="20">
                  <c:v>23.86055215176474</c:v>
                </c:pt>
                <c:pt idx="21">
                  <c:v>23.781143087266262</c:v>
                </c:pt>
                <c:pt idx="22">
                  <c:v>23.701468168141009</c:v>
                </c:pt>
                <c:pt idx="23">
                  <c:v>23.621539286721521</c:v>
                </c:pt>
                <c:pt idx="24">
                  <c:v>23.541368373246918</c:v>
                </c:pt>
                <c:pt idx="25">
                  <c:v>23.460967394082186</c:v>
                </c:pt>
                <c:pt idx="26">
                  <c:v>23.380348349932078</c:v>
                </c:pt>
                <c:pt idx="27">
                  <c:v>23.299523274049868</c:v>
                </c:pt>
                <c:pt idx="28">
                  <c:v>23.218504230441269</c:v>
                </c:pt>
                <c:pt idx="29">
                  <c:v>23.137303312063757</c:v>
                </c:pt>
                <c:pt idx="30">
                  <c:v>23.055932639021549</c:v>
                </c:pt>
                <c:pt idx="31">
                  <c:v>22.974404356756558</c:v>
                </c:pt>
                <c:pt idx="32">
                  <c:v>22.892730634235566</c:v>
                </c:pt>
                <c:pt idx="33">
                  <c:v>22.81092366213386</c:v>
                </c:pt>
                <c:pt idx="34">
                  <c:v>22.728995651015641</c:v>
                </c:pt>
                <c:pt idx="35">
                  <c:v>22.646958829511501</c:v>
                </c:pt>
                <c:pt idx="36">
                  <c:v>22.56482544249312</c:v>
                </c:pt>
                <c:pt idx="37">
                  <c:v>22.48260774924562</c:v>
                </c:pt>
                <c:pt idx="38">
                  <c:v>22.40031802163773</c:v>
                </c:pt>
                <c:pt idx="39">
                  <c:v>22.317968542290075</c:v>
                </c:pt>
                <c:pt idx="40">
                  <c:v>22.235571602741867</c:v>
                </c:pt>
                <c:pt idx="41">
                  <c:v>22.153139501616259</c:v>
                </c:pt>
                <c:pt idx="42">
                  <c:v>22.070684542784647</c:v>
                </c:pt>
                <c:pt idx="43">
                  <c:v>21.988219033530171</c:v>
                </c:pt>
                <c:pt idx="44">
                  <c:v>21.905755282710754</c:v>
                </c:pt>
                <c:pt idx="45">
                  <c:v>21.823305598921841</c:v>
                </c:pt>
                <c:pt idx="46">
                  <c:v>21.740882288659225</c:v>
                </c:pt>
                <c:pt idx="47">
                  <c:v>21.658497654482169</c:v>
                </c:pt>
                <c:pt idx="48">
                  <c:v>21.576163993177119</c:v>
                </c:pt>
                <c:pt idx="49">
                  <c:v>21.493893593922273</c:v>
                </c:pt>
                <c:pt idx="50">
                  <c:v>21.411698736453289</c:v>
                </c:pt>
                <c:pt idx="51">
                  <c:v>21.329591689230419</c:v>
                </c:pt>
                <c:pt idx="52">
                  <c:v>21.247584707607288</c:v>
                </c:pt>
                <c:pt idx="53">
                  <c:v>21.165690032001656</c:v>
                </c:pt>
                <c:pt idx="54">
                  <c:v>21.083919886068426</c:v>
                </c:pt>
                <c:pt idx="55">
                  <c:v>21.002286474875113</c:v>
                </c:pt>
                <c:pt idx="56">
                  <c:v>20.920801983080096</c:v>
                </c:pt>
                <c:pt idx="57">
                  <c:v>20.839478573113965</c:v>
                </c:pt>
                <c:pt idx="58">
                  <c:v>20.758328383364123</c:v>
                </c:pt>
                <c:pt idx="59">
                  <c:v>20.677363526362988</c:v>
                </c:pt>
                <c:pt idx="60">
                  <c:v>20.596596086980103</c:v>
                </c:pt>
                <c:pt idx="61">
                  <c:v>20.51603812061833</c:v>
                </c:pt>
                <c:pt idx="62">
                  <c:v>20.435701651414419</c:v>
                </c:pt>
                <c:pt idx="63">
                  <c:v>20.355598670444326</c:v>
                </c:pt>
                <c:pt idx="64">
                  <c:v>20.275741133933394</c:v>
                </c:pt>
                <c:pt idx="65">
                  <c:v>20.196140961471745</c:v>
                </c:pt>
                <c:pt idx="66">
                  <c:v>20.116810034235183</c:v>
                </c:pt>
                <c:pt idx="67">
                  <c:v>20.037760193211774</c:v>
                </c:pt>
                <c:pt idx="68">
                  <c:v>19.95900323743448</c:v>
                </c:pt>
                <c:pt idx="69">
                  <c:v>19.880550922219996</c:v>
                </c:pt>
                <c:pt idx="70">
                  <c:v>19.802414957414172</c:v>
                </c:pt>
                <c:pt idx="71">
                  <c:v>19.724607005644174</c:v>
                </c:pt>
                <c:pt idx="72">
                  <c:v>19.647138680577726</c:v>
                </c:pt>
                <c:pt idx="73">
                  <c:v>19.570021545189633</c:v>
                </c:pt>
                <c:pt idx="74">
                  <c:v>19.493267110035895</c:v>
                </c:pt>
                <c:pt idx="75">
                  <c:v>19.416886831535621</c:v>
                </c:pt>
                <c:pt idx="76">
                  <c:v>19.340892110261059</c:v>
                </c:pt>
                <c:pt idx="77">
                  <c:v>19.265294289235904</c:v>
                </c:pt>
                <c:pt idx="78">
                  <c:v>19.190104652242269</c:v>
                </c:pt>
                <c:pt idx="79">
                  <c:v>19.115334422136428</c:v>
                </c:pt>
                <c:pt idx="80">
                  <c:v>19.040994759173707</c:v>
                </c:pt>
                <c:pt idx="81">
                  <c:v>18.967096759342674</c:v>
                </c:pt>
                <c:pt idx="82">
                  <c:v>18.893651452708976</c:v>
                </c:pt>
                <c:pt idx="83">
                  <c:v>18.820669801768958</c:v>
                </c:pt>
                <c:pt idx="84">
                  <c:v>18.748162699813399</c:v>
                </c:pt>
                <c:pt idx="85">
                  <c:v>18.676140969301574</c:v>
                </c:pt>
                <c:pt idx="86">
                  <c:v>18.604615360245891</c:v>
                </c:pt>
                <c:pt idx="87">
                  <c:v>18.533596548607324</c:v>
                </c:pt>
                <c:pt idx="88">
                  <c:v>18.463095134701941</c:v>
                </c:pt>
                <c:pt idx="89">
                  <c:v>18.393121641618649</c:v>
                </c:pt>
                <c:pt idx="90">
                  <c:v>18.323686513648543</c:v>
                </c:pt>
                <c:pt idx="91">
                  <c:v>18.254800114725981</c:v>
                </c:pt>
                <c:pt idx="92">
                  <c:v>18.186472726881643</c:v>
                </c:pt>
                <c:pt idx="93">
                  <c:v>18.118714548707846</c:v>
                </c:pt>
                <c:pt idx="94">
                  <c:v>18.051535693836271</c:v>
                </c:pt>
                <c:pt idx="95">
                  <c:v>17.98494618942842</c:v>
                </c:pt>
                <c:pt idx="96">
                  <c:v>17.918955974678944</c:v>
                </c:pt>
                <c:pt idx="97">
                  <c:v>17.853574899332109</c:v>
                </c:pt>
                <c:pt idx="98">
                  <c:v>17.788812722211617</c:v>
                </c:pt>
                <c:pt idx="99">
                  <c:v>17.724679109764011</c:v>
                </c:pt>
                <c:pt idx="100">
                  <c:v>17.661183634615838</c:v>
                </c:pt>
                <c:pt idx="101">
                  <c:v>17.598335774144832</c:v>
                </c:pt>
                <c:pt idx="102">
                  <c:v>17.536144909065328</c:v>
                </c:pt>
                <c:pt idx="103">
                  <c:v>17.474620322028088</c:v>
                </c:pt>
                <c:pt idx="104">
                  <c:v>17.413771196234745</c:v>
                </c:pt>
                <c:pt idx="105">
                  <c:v>17.353606614067147</c:v>
                </c:pt>
                <c:pt idx="106">
                  <c:v>17.294135555731671</c:v>
                </c:pt>
                <c:pt idx="107">
                  <c:v>17.235366897918887</c:v>
                </c:pt>
                <c:pt idx="108">
                  <c:v>17.177309412478564</c:v>
                </c:pt>
                <c:pt idx="109">
                  <c:v>17.1199717651104</c:v>
                </c:pt>
                <c:pt idx="110">
                  <c:v>17.06336251407059</c:v>
                </c:pt>
                <c:pt idx="111">
                  <c:v>17.007490108894377</c:v>
                </c:pt>
                <c:pt idx="112">
                  <c:v>16.9523628891349</c:v>
                </c:pt>
                <c:pt idx="113">
                  <c:v>16.897989083118425</c:v>
                </c:pt>
                <c:pt idx="114">
                  <c:v>16.844376806716159</c:v>
                </c:pt>
                <c:pt idx="115">
                  <c:v>16.791534062132882</c:v>
                </c:pt>
                <c:pt idx="116">
                  <c:v>16.739468736712546</c:v>
                </c:pt>
                <c:pt idx="117">
                  <c:v>16.68818860176097</c:v>
                </c:pt>
                <c:pt idx="118">
                  <c:v>16.637701311385925</c:v>
                </c:pt>
                <c:pt idx="119">
                  <c:v>16.588014401354659</c:v>
                </c:pt>
                <c:pt idx="120">
                  <c:v>16.539135287969103</c:v>
                </c:pt>
                <c:pt idx="121">
                  <c:v>16.491071266958919</c:v>
                </c:pt>
                <c:pt idx="122">
                  <c:v>16.443829512392519</c:v>
                </c:pt>
                <c:pt idx="123">
                  <c:v>16.39741707560627</c:v>
                </c:pt>
                <c:pt idx="124">
                  <c:v>16.351840884152011</c:v>
                </c:pt>
                <c:pt idx="125">
                  <c:v>16.307107740763023</c:v>
                </c:pt>
                <c:pt idx="126">
                  <c:v>16.263224322338672</c:v>
                </c:pt>
                <c:pt idx="127">
                  <c:v>16.220197178947789</c:v>
                </c:pt>
                <c:pt idx="128">
                  <c:v>16.178032732851015</c:v>
                </c:pt>
                <c:pt idx="129">
                  <c:v>16.136737277542213</c:v>
                </c:pt>
                <c:pt idx="130">
                  <c:v>16.096316976809085</c:v>
                </c:pt>
                <c:pt idx="131">
                  <c:v>16.05677786381316</c:v>
                </c:pt>
                <c:pt idx="132">
                  <c:v>16.018125840189306</c:v>
                </c:pt>
                <c:pt idx="133">
                  <c:v>15.980366675164813</c:v>
                </c:pt>
                <c:pt idx="134">
                  <c:v>15.943506004698289</c:v>
                </c:pt>
                <c:pt idx="135">
                  <c:v>15.907549330638448</c:v>
                </c:pt>
                <c:pt idx="136">
                  <c:v>15.872502019902875</c:v>
                </c:pt>
                <c:pt idx="137">
                  <c:v>15.83836930367697</c:v>
                </c:pt>
                <c:pt idx="138">
                  <c:v>15.805156276633134</c:v>
                </c:pt>
                <c:pt idx="139">
                  <c:v>15.772867896170347</c:v>
                </c:pt>
                <c:pt idx="140">
                  <c:v>15.741508981674194</c:v>
                </c:pt>
                <c:pt idx="141">
                  <c:v>15.711084213797552</c:v>
                </c:pt>
                <c:pt idx="142">
                  <c:v>15.681598133761939</c:v>
                </c:pt>
                <c:pt idx="143">
                  <c:v>15.653055142679683</c:v>
                </c:pt>
                <c:pt idx="144">
                  <c:v>15.625459500897012</c:v>
                </c:pt>
                <c:pt idx="145">
                  <c:v>15.598815327358164</c:v>
                </c:pt>
                <c:pt idx="146">
                  <c:v>15.573126598990573</c:v>
                </c:pt>
                <c:pt idx="147">
                  <c:v>15.548397150111281</c:v>
                </c:pt>
                <c:pt idx="148">
                  <c:v>15.52463067185462</c:v>
                </c:pt>
                <c:pt idx="149">
                  <c:v>15.501830711621277</c:v>
                </c:pt>
                <c:pt idx="150">
                  <c:v>15.480000672548798</c:v>
                </c:pt>
                <c:pt idx="151">
                  <c:v>15.459143813003639</c:v>
                </c:pt>
                <c:pt idx="152">
                  <c:v>15.439263246094821</c:v>
                </c:pt>
                <c:pt idx="153">
                  <c:v>15.420361939209261</c:v>
                </c:pt>
                <c:pt idx="154">
                  <c:v>15.402442713568862</c:v>
                </c:pt>
                <c:pt idx="155">
                  <c:v>15.385508243809408</c:v>
                </c:pt>
                <c:pt idx="156">
                  <c:v>15.369561057581361</c:v>
                </c:pt>
                <c:pt idx="157">
                  <c:v>15.354603535172561</c:v>
                </c:pt>
                <c:pt idx="158">
                  <c:v>15.340637909152964</c:v>
                </c:pt>
                <c:pt idx="159">
                  <c:v>15.327666264041394</c:v>
                </c:pt>
                <c:pt idx="160">
                  <c:v>15.315690535994406</c:v>
                </c:pt>
                <c:pt idx="161">
                  <c:v>15.304712512517305</c:v>
                </c:pt>
                <c:pt idx="162">
                  <c:v>15.294733832197331</c:v>
                </c:pt>
                <c:pt idx="163">
                  <c:v>15.28575598445908</c:v>
                </c:pt>
                <c:pt idx="164">
                  <c:v>15.277780309342205</c:v>
                </c:pt>
                <c:pt idx="165">
                  <c:v>15.270807997301391</c:v>
                </c:pt>
                <c:pt idx="166">
                  <c:v>15.264840089028667</c:v>
                </c:pt>
                <c:pt idx="167">
                  <c:v>15.259877475298074</c:v>
                </c:pt>
                <c:pt idx="168">
                  <c:v>15.255920896832709</c:v>
                </c:pt>
                <c:pt idx="169">
                  <c:v>15.252970944194159</c:v>
                </c:pt>
                <c:pt idx="170">
                  <c:v>15.251028057694359</c:v>
                </c:pt>
                <c:pt idx="171">
                  <c:v>15.250092527329869</c:v>
                </c:pt>
                <c:pt idx="172">
                  <c:v>15.250164492738584</c:v>
                </c:pt>
                <c:pt idx="173">
                  <c:v>15.251243943178899</c:v>
                </c:pt>
                <c:pt idx="174">
                  <c:v>15.253330717531309</c:v>
                </c:pt>
                <c:pt idx="175">
                  <c:v>15.256424504322457</c:v>
                </c:pt>
                <c:pt idx="176">
                  <c:v>15.260524841771623</c:v>
                </c:pt>
                <c:pt idx="177">
                  <c:v>15.265631117859659</c:v>
                </c:pt>
                <c:pt idx="178">
                  <c:v>15.271742570420326</c:v>
                </c:pt>
                <c:pt idx="179">
                  <c:v>15.278858287254064</c:v>
                </c:pt>
                <c:pt idx="180">
                  <c:v>15.286977206264147</c:v>
                </c:pt>
                <c:pt idx="181">
                  <c:v>15.296098115615209</c:v>
                </c:pt>
                <c:pt idx="182">
                  <c:v>15.30621965391413</c:v>
                </c:pt>
                <c:pt idx="183">
                  <c:v>15.317340310413226</c:v>
                </c:pt>
                <c:pt idx="184">
                  <c:v>15.329458425235757</c:v>
                </c:pt>
                <c:pt idx="185">
                  <c:v>15.342572189623674</c:v>
                </c:pt>
                <c:pt idx="186">
                  <c:v>15.356679646207603</c:v>
                </c:pt>
                <c:pt idx="187">
                  <c:v>15.371778689298988</c:v>
                </c:pt>
                <c:pt idx="188">
                  <c:v>15.387867065204409</c:v>
                </c:pt>
                <c:pt idx="189">
                  <c:v>15.404942372561951</c:v>
                </c:pt>
                <c:pt idx="190">
                  <c:v>15.423002062699641</c:v>
                </c:pt>
                <c:pt idx="191">
                  <c:v>15.442043440015865</c:v>
                </c:pt>
                <c:pt idx="192">
                  <c:v>15.462063662381716</c:v>
                </c:pt>
                <c:pt idx="193">
                  <c:v>15.483059741565206</c:v>
                </c:pt>
                <c:pt idx="194">
                  <c:v>15.505028543677298</c:v>
                </c:pt>
                <c:pt idx="195">
                  <c:v>15.527966789639668</c:v>
                </c:pt>
                <c:pt idx="196">
                  <c:v>15.55187105567415</c:v>
                </c:pt>
                <c:pt idx="197">
                  <c:v>15.576737773813761</c:v>
                </c:pt>
                <c:pt idx="198">
                  <c:v>15.602563232435266</c:v>
                </c:pt>
                <c:pt idx="199">
                  <c:v>15.629343576813167</c:v>
                </c:pt>
                <c:pt idx="200">
                  <c:v>15.657074809695084</c:v>
                </c:pt>
              </c:numCache>
            </c:numRef>
          </c:xVal>
          <c:yVal>
            <c:numRef>
              <c:f>试加重示意!$K$209:$K$409</c:f>
              <c:numCache>
                <c:formatCode>General</c:formatCode>
                <c:ptCount val="201"/>
                <c:pt idx="0">
                  <c:v>27.845671475544961</c:v>
                </c:pt>
                <c:pt idx="1">
                  <c:v>27.886467588916815</c:v>
                </c:pt>
                <c:pt idx="2">
                  <c:v>27.926385084138868</c:v>
                </c:pt>
                <c:pt idx="3">
                  <c:v>27.96541800309868</c:v>
                </c:pt>
                <c:pt idx="4">
                  <c:v>28.00356051971626</c:v>
                </c:pt>
                <c:pt idx="5">
                  <c:v>28.04080694081367</c:v>
                </c:pt>
                <c:pt idx="6">
                  <c:v>28.077151706964806</c:v>
                </c:pt>
                <c:pt idx="7">
                  <c:v>28.112589393325194</c:v>
                </c:pt>
                <c:pt idx="8">
                  <c:v>28.147114710441699</c:v>
                </c:pt>
                <c:pt idx="9">
                  <c:v>28.180722505042038</c:v>
                </c:pt>
                <c:pt idx="10">
                  <c:v>28.213407760803975</c:v>
                </c:pt>
                <c:pt idx="11">
                  <c:v>28.24516559910403</c:v>
                </c:pt>
                <c:pt idx="12">
                  <c:v>28.2759912797457</c:v>
                </c:pt>
                <c:pt idx="13">
                  <c:v>28.305880201666952</c:v>
                </c:pt>
                <c:pt idx="14">
                  <c:v>28.334827903627005</c:v>
                </c:pt>
                <c:pt idx="15">
                  <c:v>28.362830064872206</c:v>
                </c:pt>
                <c:pt idx="16">
                  <c:v>28.389882505780953</c:v>
                </c:pt>
                <c:pt idx="17">
                  <c:v>28.415981188487542</c:v>
                </c:pt>
                <c:pt idx="18">
                  <c:v>28.441122217484871</c:v>
                </c:pt>
                <c:pt idx="19">
                  <c:v>28.465301840205878</c:v>
                </c:pt>
                <c:pt idx="20">
                  <c:v>28.488516447583656</c:v>
                </c:pt>
                <c:pt idx="21">
                  <c:v>28.510762574590139</c:v>
                </c:pt>
                <c:pt idx="22">
                  <c:v>28.532036900753308</c:v>
                </c:pt>
                <c:pt idx="23">
                  <c:v>28.55233625065279</c:v>
                </c:pt>
                <c:pt idx="24">
                  <c:v>28.571657594393834</c:v>
                </c:pt>
                <c:pt idx="25">
                  <c:v>28.589998048059552</c:v>
                </c:pt>
                <c:pt idx="26">
                  <c:v>28.607354874141375</c:v>
                </c:pt>
                <c:pt idx="27">
                  <c:v>28.623725481947659</c:v>
                </c:pt>
                <c:pt idx="28">
                  <c:v>28.639107427990357</c:v>
                </c:pt>
                <c:pt idx="29">
                  <c:v>28.653498416349763</c:v>
                </c:pt>
                <c:pt idx="30">
                  <c:v>28.666896299017182</c:v>
                </c:pt>
                <c:pt idx="31">
                  <c:v>28.679299076215546</c:v>
                </c:pt>
                <c:pt idx="32">
                  <c:v>28.690704896697909</c:v>
                </c:pt>
                <c:pt idx="33">
                  <c:v>28.70111205802376</c:v>
                </c:pt>
                <c:pt idx="34">
                  <c:v>28.710519006813129</c:v>
                </c:pt>
                <c:pt idx="35">
                  <c:v>28.718924338978457</c:v>
                </c:pt>
                <c:pt idx="36">
                  <c:v>28.726326799934156</c:v>
                </c:pt>
                <c:pt idx="37">
                  <c:v>28.732725284783871</c:v>
                </c:pt>
                <c:pt idx="38">
                  <c:v>28.738118838485416</c:v>
                </c:pt>
                <c:pt idx="39">
                  <c:v>28.742506655993296</c:v>
                </c:pt>
                <c:pt idx="40">
                  <c:v>28.745888082378897</c:v>
                </c:pt>
                <c:pt idx="41">
                  <c:v>28.748262612928215</c:v>
                </c:pt>
                <c:pt idx="42">
                  <c:v>28.749629893217207</c:v>
                </c:pt>
                <c:pt idx="43">
                  <c:v>28.749989719164692</c:v>
                </c:pt>
                <c:pt idx="44">
                  <c:v>28.749342037062803</c:v>
                </c:pt>
                <c:pt idx="45">
                  <c:v>28.747686943585013</c:v>
                </c:pt>
                <c:pt idx="46">
                  <c:v>28.745024685771693</c:v>
                </c:pt>
                <c:pt idx="47">
                  <c:v>28.741355660993257</c:v>
                </c:pt>
                <c:pt idx="48">
                  <c:v>28.736680416890831</c:v>
                </c:pt>
                <c:pt idx="49">
                  <c:v>28.730999651294532</c:v>
                </c:pt>
                <c:pt idx="50">
                  <c:v>28.724314212119282</c:v>
                </c:pt>
                <c:pt idx="51">
                  <c:v>28.716625097238275</c:v>
                </c:pt>
                <c:pt idx="52">
                  <c:v>28.707933454334025</c:v>
                </c:pt>
                <c:pt idx="53">
                  <c:v>28.698240580727045</c:v>
                </c:pt>
                <c:pt idx="54">
                  <c:v>28.687547923182244</c:v>
                </c:pt>
                <c:pt idx="55">
                  <c:v>28.675857077692935</c:v>
                </c:pt>
                <c:pt idx="56">
                  <c:v>28.663169789242666</c:v>
                </c:pt>
                <c:pt idx="57">
                  <c:v>28.649487951544721</c:v>
                </c:pt>
                <c:pt idx="58">
                  <c:v>28.634813606759487</c:v>
                </c:pt>
                <c:pt idx="59">
                  <c:v>28.619148945189636</c:v>
                </c:pt>
                <c:pt idx="60">
                  <c:v>28.602496304953185</c:v>
                </c:pt>
                <c:pt idx="61">
                  <c:v>28.584858171634529</c:v>
                </c:pt>
                <c:pt idx="62">
                  <c:v>28.566237177913422</c:v>
                </c:pt>
                <c:pt idx="63">
                  <c:v>28.546636103172034</c:v>
                </c:pt>
                <c:pt idx="64">
                  <c:v>28.526057873080095</c:v>
                </c:pt>
                <c:pt idx="65">
                  <c:v>28.504505559158201</c:v>
                </c:pt>
                <c:pt idx="66">
                  <c:v>28.481982378319358</c:v>
                </c:pt>
                <c:pt idx="67">
                  <c:v>28.458491692388844</c:v>
                </c:pt>
                <c:pt idx="68">
                  <c:v>28.434037007602385</c:v>
                </c:pt>
                <c:pt idx="69">
                  <c:v>28.408621974082845</c:v>
                </c:pt>
                <c:pt idx="70">
                  <c:v>28.382250385295382</c:v>
                </c:pt>
                <c:pt idx="71">
                  <c:v>28.354926177481246</c:v>
                </c:pt>
                <c:pt idx="72">
                  <c:v>28.326653429070259</c:v>
                </c:pt>
                <c:pt idx="73">
                  <c:v>28.297436360072041</c:v>
                </c:pt>
                <c:pt idx="74">
                  <c:v>28.267279331446158</c:v>
                </c:pt>
                <c:pt idx="75">
                  <c:v>28.236186844451176</c:v>
                </c:pt>
                <c:pt idx="76">
                  <c:v>28.204163539972825</c:v>
                </c:pt>
                <c:pt idx="77">
                  <c:v>28.171214197831269</c:v>
                </c:pt>
                <c:pt idx="78">
                  <c:v>28.137343736067702</c:v>
                </c:pt>
                <c:pt idx="79">
                  <c:v>28.102557210210243</c:v>
                </c:pt>
                <c:pt idx="80">
                  <c:v>28.066859812519368</c:v>
                </c:pt>
                <c:pt idx="81">
                  <c:v>28.030256871212892</c:v>
                </c:pt>
                <c:pt idx="82">
                  <c:v>27.992753849670699</c:v>
                </c:pt>
                <c:pt idx="83">
                  <c:v>27.954356345619246</c:v>
                </c:pt>
                <c:pt idx="84">
                  <c:v>27.915070090296066</c:v>
                </c:pt>
                <c:pt idx="85">
                  <c:v>27.874900947594313</c:v>
                </c:pt>
                <c:pt idx="86">
                  <c:v>27.833854913187494</c:v>
                </c:pt>
                <c:pt idx="87">
                  <c:v>27.791938113634586</c:v>
                </c:pt>
                <c:pt idx="88">
                  <c:v>27.749156805465557</c:v>
                </c:pt>
                <c:pt idx="89">
                  <c:v>27.705517374247513</c:v>
                </c:pt>
                <c:pt idx="90">
                  <c:v>27.661026333631597</c:v>
                </c:pt>
                <c:pt idx="91">
                  <c:v>27.615690324380743</c:v>
                </c:pt>
                <c:pt idx="92">
                  <c:v>27.569516113378477</c:v>
                </c:pt>
                <c:pt idx="93">
                  <c:v>27.522510592618893</c:v>
                </c:pt>
                <c:pt idx="94">
                  <c:v>27.474680778177937</c:v>
                </c:pt>
                <c:pt idx="95">
                  <c:v>27.426033809166199</c:v>
                </c:pt>
                <c:pt idx="96">
                  <c:v>27.376576946663306</c:v>
                </c:pt>
                <c:pt idx="97">
                  <c:v>27.326317572634142</c:v>
                </c:pt>
                <c:pt idx="98">
                  <c:v>27.275263188827008</c:v>
                </c:pt>
                <c:pt idx="99">
                  <c:v>27.223421415653895</c:v>
                </c:pt>
                <c:pt idx="100">
                  <c:v>27.17079999105308</c:v>
                </c:pt>
                <c:pt idx="101">
                  <c:v>27.117406769334135</c:v>
                </c:pt>
                <c:pt idx="102">
                  <c:v>27.063249720005587</c:v>
                </c:pt>
                <c:pt idx="103">
                  <c:v>27.008336926585393</c:v>
                </c:pt>
                <c:pt idx="104">
                  <c:v>26.9526765853944</c:v>
                </c:pt>
                <c:pt idx="105">
                  <c:v>26.896277004332926</c:v>
                </c:pt>
                <c:pt idx="106">
                  <c:v>26.839146601640742</c:v>
                </c:pt>
                <c:pt idx="107">
                  <c:v>26.781293904640556</c:v>
                </c:pt>
                <c:pt idx="108">
                  <c:v>26.722727548465201</c:v>
                </c:pt>
                <c:pt idx="109">
                  <c:v>26.66345627476878</c:v>
                </c:pt>
                <c:pt idx="110">
                  <c:v>26.603488930421854</c:v>
                </c:pt>
                <c:pt idx="111">
                  <c:v>26.542834466190961</c:v>
                </c:pt>
                <c:pt idx="112">
                  <c:v>26.481501935402619</c:v>
                </c:pt>
                <c:pt idx="113">
                  <c:v>26.419500492592036</c:v>
                </c:pt>
                <c:pt idx="114">
                  <c:v>26.35683939213666</c:v>
                </c:pt>
                <c:pt idx="115">
                  <c:v>26.293527986874899</c:v>
                </c:pt>
                <c:pt idx="116">
                  <c:v>26.229575726710102</c:v>
                </c:pt>
                <c:pt idx="117">
                  <c:v>26.164992157200047</c:v>
                </c:pt>
                <c:pt idx="118">
                  <c:v>26.099786918132182</c:v>
                </c:pt>
                <c:pt idx="119">
                  <c:v>26.033969742084764</c:v>
                </c:pt>
                <c:pt idx="120">
                  <c:v>25.967550452974191</c:v>
                </c:pt>
                <c:pt idx="121">
                  <c:v>25.900538964588662</c:v>
                </c:pt>
                <c:pt idx="122">
                  <c:v>25.832945279108433</c:v>
                </c:pt>
                <c:pt idx="123">
                  <c:v>25.764779485612909</c:v>
                </c:pt>
                <c:pt idx="124">
                  <c:v>25.696051758574718</c:v>
                </c:pt>
                <c:pt idx="125">
                  <c:v>25.626772356341064</c:v>
                </c:pt>
                <c:pt idx="126">
                  <c:v>25.556951619602579</c:v>
                </c:pt>
                <c:pt idx="127">
                  <c:v>25.486599969849838</c:v>
                </c:pt>
                <c:pt idx="128">
                  <c:v>25.415727907817864</c:v>
                </c:pt>
                <c:pt idx="129">
                  <c:v>25.344346011918759</c:v>
                </c:pt>
                <c:pt idx="130">
                  <c:v>25.272464936662786</c:v>
                </c:pt>
                <c:pt idx="131">
                  <c:v>25.200095411068045</c:v>
                </c:pt>
                <c:pt idx="132">
                  <c:v>25.127248237059078</c:v>
                </c:pt>
                <c:pt idx="133">
                  <c:v>25.053934287854549</c:v>
                </c:pt>
                <c:pt idx="134">
                  <c:v>24.980164506344295</c:v>
                </c:pt>
                <c:pt idx="135">
                  <c:v>24.905949903456008</c:v>
                </c:pt>
                <c:pt idx="136">
                  <c:v>24.831301556511715</c:v>
                </c:pt>
                <c:pt idx="137">
                  <c:v>24.75623060757437</c:v>
                </c:pt>
                <c:pt idx="138">
                  <c:v>24.680748261784789</c:v>
                </c:pt>
                <c:pt idx="139">
                  <c:v>24.604865785689171</c:v>
                </c:pt>
                <c:pt idx="140">
                  <c:v>24.528594505557429</c:v>
                </c:pt>
                <c:pt idx="141">
                  <c:v>24.451945805692628</c:v>
                </c:pt>
                <c:pt idx="142">
                  <c:v>24.374931126731763</c:v>
                </c:pt>
                <c:pt idx="143">
                  <c:v>24.297561963938115</c:v>
                </c:pt>
                <c:pt idx="144">
                  <c:v>24.219849865485465</c:v>
                </c:pt>
                <c:pt idx="145">
                  <c:v>24.141806430734402</c:v>
                </c:pt>
                <c:pt idx="146">
                  <c:v>24.063443308500993</c:v>
                </c:pt>
                <c:pt idx="147">
                  <c:v>23.984772195318087</c:v>
                </c:pt>
                <c:pt idx="148">
                  <c:v>23.905804833689448</c:v>
                </c:pt>
                <c:pt idx="149">
                  <c:v>23.826553010337115</c:v>
                </c:pt>
                <c:pt idx="150">
                  <c:v>23.747028554442053</c:v>
                </c:pt>
                <c:pt idx="151">
                  <c:v>23.667243335878549</c:v>
                </c:pt>
                <c:pt idx="152">
                  <c:v>23.587209263442521</c:v>
                </c:pt>
                <c:pt idx="153">
                  <c:v>23.506938283073961</c:v>
                </c:pt>
                <c:pt idx="154">
                  <c:v>23.426442376073915</c:v>
                </c:pt>
                <c:pt idx="155">
                  <c:v>23.345733557316127</c:v>
                </c:pt>
                <c:pt idx="156">
                  <c:v>23.264823873453686</c:v>
                </c:pt>
                <c:pt idx="157">
                  <c:v>23.183725401120959</c:v>
                </c:pt>
                <c:pt idx="158">
                  <c:v>23.102450245130999</c:v>
                </c:pt>
                <c:pt idx="159">
                  <c:v>23.021010536668779</c:v>
                </c:pt>
                <c:pt idx="160">
                  <c:v>22.939418431480494</c:v>
                </c:pt>
                <c:pt idx="161">
                  <c:v>22.857686108059166</c:v>
                </c:pt>
                <c:pt idx="162">
                  <c:v>22.775825765826905</c:v>
                </c:pt>
                <c:pt idx="163">
                  <c:v>22.693849623313973</c:v>
                </c:pt>
                <c:pt idx="164">
                  <c:v>22.611769916335071</c:v>
                </c:pt>
                <c:pt idx="165">
                  <c:v>22.529598896163012</c:v>
                </c:pt>
                <c:pt idx="166">
                  <c:v>22.447348827700061</c:v>
                </c:pt>
                <c:pt idx="167">
                  <c:v>22.365031987647292</c:v>
                </c:pt>
                <c:pt idx="168">
                  <c:v>22.282660662672157</c:v>
                </c:pt>
                <c:pt idx="169">
                  <c:v>22.200247147574562</c:v>
                </c:pt>
                <c:pt idx="170">
                  <c:v>22.117803743451731</c:v>
                </c:pt>
                <c:pt idx="171">
                  <c:v>22.035342755862146</c:v>
                </c:pt>
                <c:pt idx="172">
                  <c:v>21.952876492988828</c:v>
                </c:pt>
                <c:pt idx="173">
                  <c:v>21.870417263802164</c:v>
                </c:pt>
                <c:pt idx="174">
                  <c:v>21.787977376222706</c:v>
                </c:pt>
                <c:pt idx="175">
                  <c:v>21.705569135284055</c:v>
                </c:pt>
                <c:pt idx="176">
                  <c:v>21.623204841296218</c:v>
                </c:pt>
                <c:pt idx="177">
                  <c:v>21.54089678800965</c:v>
                </c:pt>
                <c:pt idx="178">
                  <c:v>21.458657260780278</c:v>
                </c:pt>
                <c:pt idx="179">
                  <c:v>21.376498534735788</c:v>
                </c:pt>
                <c:pt idx="180">
                  <c:v>21.294432872943418</c:v>
                </c:pt>
                <c:pt idx="181">
                  <c:v>21.212472524579582</c:v>
                </c:pt>
                <c:pt idx="182">
                  <c:v>21.130629723101531</c:v>
                </c:pt>
                <c:pt idx="183">
                  <c:v>21.048916684421396</c:v>
                </c:pt>
                <c:pt idx="184">
                  <c:v>20.967345605082826</c:v>
                </c:pt>
                <c:pt idx="185">
                  <c:v>20.885928660440509</c:v>
                </c:pt>
                <c:pt idx="186">
                  <c:v>20.804678002842898</c:v>
                </c:pt>
                <c:pt idx="187">
                  <c:v>20.723605759818319</c:v>
                </c:pt>
                <c:pt idx="188">
                  <c:v>20.642724032264827</c:v>
                </c:pt>
                <c:pt idx="189">
                  <c:v>20.562044892643996</c:v>
                </c:pt>
                <c:pt idx="190">
                  <c:v>20.481580383179001</c:v>
                </c:pt>
                <c:pt idx="191">
                  <c:v>20.401342514057163</c:v>
                </c:pt>
                <c:pt idx="192">
                  <c:v>20.32134326163732</c:v>
                </c:pt>
                <c:pt idx="193">
                  <c:v>20.241594566662215</c:v>
                </c:pt>
                <c:pt idx="194">
                  <c:v>20.162108332476215</c:v>
                </c:pt>
                <c:pt idx="195">
                  <c:v>20.082896423248616</c:v>
                </c:pt>
                <c:pt idx="196">
                  <c:v>20.003970662202779</c:v>
                </c:pt>
                <c:pt idx="197">
                  <c:v>19.925342829851395</c:v>
                </c:pt>
                <c:pt idx="198">
                  <c:v>19.847024662238123</c:v>
                </c:pt>
                <c:pt idx="199">
                  <c:v>19.769027849185843</c:v>
                </c:pt>
                <c:pt idx="200">
                  <c:v>19.691364032551832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试加重示意!$L$24</c:f>
              <c:strCache>
                <c:ptCount val="1"/>
                <c:pt idx="0">
                  <c:v>140°</c:v>
                </c:pt>
              </c:strCache>
            </c:strRef>
          </c:tx>
          <c:marker>
            <c:symbol val="none"/>
          </c:marker>
          <c:dLbls>
            <c:txPr>
              <a:bodyPr/>
              <a:lstStyle/>
              <a:p>
                <a:pPr>
                  <a:defRPr sz="1200" b="1"/>
                </a:pPr>
                <a:endParaRPr lang="zh-CN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试加重示意!$J$411</c:f>
              <c:numCache>
                <c:formatCode>General</c:formatCode>
                <c:ptCount val="1"/>
                <c:pt idx="0">
                  <c:v>16.793420361539006</c:v>
                </c:pt>
              </c:numCache>
            </c:numRef>
          </c:xVal>
          <c:yVal>
            <c:numRef>
              <c:f>试加重示意!$K$411</c:f>
              <c:numCache>
                <c:formatCode>General</c:formatCode>
                <c:ptCount val="1"/>
                <c:pt idx="0">
                  <c:v>28.204959989263696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625088"/>
        <c:axId val="317626624"/>
      </c:scatterChart>
      <c:valAx>
        <c:axId val="317625088"/>
        <c:scaling>
          <c:orientation val="minMax"/>
          <c:max val="45"/>
        </c:scaling>
        <c:delete val="1"/>
        <c:axPos val="b"/>
        <c:numFmt formatCode="General" sourceLinked="1"/>
        <c:majorTickMark val="none"/>
        <c:minorTickMark val="none"/>
        <c:tickLblPos val="none"/>
        <c:crossAx val="317626624"/>
        <c:crosses val="autoZero"/>
        <c:crossBetween val="midCat"/>
      </c:valAx>
      <c:valAx>
        <c:axId val="317626624"/>
        <c:scaling>
          <c:orientation val="minMax"/>
          <c:max val="45"/>
          <c:min val="0"/>
        </c:scaling>
        <c:delete val="1"/>
        <c:axPos val="l"/>
        <c:majorGridlines>
          <c:spPr>
            <a:ln>
              <a:noFill/>
            </a:ln>
          </c:spPr>
        </c:majorGridlines>
        <c:numFmt formatCode="General" sourceLinked="1"/>
        <c:majorTickMark val="none"/>
        <c:minorTickMark val="none"/>
        <c:tickLblPos val="none"/>
        <c:crossAx val="317625088"/>
        <c:crosses val="autoZero"/>
        <c:crossBetween val="midCat"/>
      </c:valAx>
      <c:spPr>
        <a:ln>
          <a:noFill/>
        </a:ln>
      </c:spPr>
    </c:plotArea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523876</xdr:colOff>
      <xdr:row>0</xdr:row>
      <xdr:rowOff>19049</xdr:rowOff>
    </xdr:from>
    <xdr:to>
      <xdr:col>22</xdr:col>
      <xdr:colOff>514350</xdr:colOff>
      <xdr:row>26</xdr:row>
      <xdr:rowOff>133351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80"/>
  <sheetViews>
    <sheetView topLeftCell="A61" workbookViewId="0">
      <selection activeCell="C81" sqref="C81"/>
    </sheetView>
  </sheetViews>
  <sheetFormatPr defaultRowHeight="13.5"/>
  <cols>
    <col min="1" max="1" width="31.75" bestFit="1" customWidth="1"/>
    <col min="2" max="2" width="7.625" style="1" customWidth="1"/>
    <col min="3" max="3" width="26.875" style="8" bestFit="1" customWidth="1"/>
    <col min="4" max="4" width="19.125" bestFit="1" customWidth="1"/>
    <col min="5" max="5" width="19.125" style="1" customWidth="1"/>
    <col min="6" max="6" width="16.875" bestFit="1" customWidth="1"/>
  </cols>
  <sheetData>
    <row r="1" spans="1:6" s="1" customFormat="1">
      <c r="A1" s="7" t="s">
        <v>28</v>
      </c>
      <c r="C1" s="8"/>
      <c r="F1" s="6" t="s">
        <v>88</v>
      </c>
    </row>
    <row r="2" spans="1:6" s="1" customFormat="1">
      <c r="A2" s="4" t="s">
        <v>8</v>
      </c>
      <c r="B2" s="1" t="s">
        <v>10</v>
      </c>
      <c r="C2" s="9">
        <v>1480</v>
      </c>
      <c r="F2" s="2">
        <f>C2</f>
        <v>1480</v>
      </c>
    </row>
    <row r="3" spans="1:6" s="1" customFormat="1">
      <c r="A3" s="5" t="s">
        <v>9</v>
      </c>
      <c r="B3" s="1" t="s">
        <v>11</v>
      </c>
      <c r="C3" s="9">
        <v>150</v>
      </c>
      <c r="F3" s="2">
        <f t="shared" ref="F3:F16" si="0">C3</f>
        <v>150</v>
      </c>
    </row>
    <row r="4" spans="1:6" s="1" customFormat="1">
      <c r="A4" s="5" t="s">
        <v>13</v>
      </c>
      <c r="B4" s="1" t="s">
        <v>14</v>
      </c>
      <c r="C4" s="9">
        <v>300</v>
      </c>
      <c r="F4" s="2">
        <f t="shared" si="0"/>
        <v>300</v>
      </c>
    </row>
    <row r="5" spans="1:6" s="1" customFormat="1">
      <c r="A5" s="5" t="s">
        <v>15</v>
      </c>
      <c r="B5" s="1" t="s">
        <v>16</v>
      </c>
      <c r="C5" s="9">
        <f>(C2/60*2*PI())^2*C4/1000000/9.8</f>
        <v>0.73531909796415396</v>
      </c>
      <c r="F5" s="2">
        <f t="shared" si="0"/>
        <v>0.73531909796415396</v>
      </c>
    </row>
    <row r="6" spans="1:6" s="1" customFormat="1">
      <c r="A6" s="5" t="s">
        <v>17</v>
      </c>
      <c r="C6" s="9">
        <v>0.1</v>
      </c>
      <c r="F6" s="2">
        <f t="shared" si="0"/>
        <v>0.1</v>
      </c>
    </row>
    <row r="7" spans="1:6" s="1" customFormat="1">
      <c r="A7" s="5" t="s">
        <v>89</v>
      </c>
      <c r="C7" s="9">
        <v>5</v>
      </c>
      <c r="F7" s="2">
        <f t="shared" si="0"/>
        <v>5</v>
      </c>
    </row>
    <row r="8" spans="1:6" s="1" customFormat="1">
      <c r="A8" s="1" t="s">
        <v>18</v>
      </c>
      <c r="B8" s="1" t="s">
        <v>12</v>
      </c>
      <c r="C8" s="9">
        <f>C3/C5*C6*C7</f>
        <v>101.99653484813497</v>
      </c>
      <c r="F8" s="2">
        <f t="shared" si="0"/>
        <v>101.99653484813497</v>
      </c>
    </row>
    <row r="9" spans="1:6" s="1" customFormat="1">
      <c r="A9" s="4" t="s">
        <v>24</v>
      </c>
      <c r="B9" s="1" t="s">
        <v>12</v>
      </c>
      <c r="C9" s="9">
        <v>98</v>
      </c>
      <c r="F9" s="2">
        <f t="shared" si="0"/>
        <v>98</v>
      </c>
    </row>
    <row r="10" spans="1:6" s="1" customFormat="1">
      <c r="A10" s="4" t="s">
        <v>23</v>
      </c>
      <c r="B10" s="1" t="s">
        <v>136</v>
      </c>
      <c r="C10" s="9">
        <v>20</v>
      </c>
      <c r="F10" s="2">
        <f t="shared" si="0"/>
        <v>20</v>
      </c>
    </row>
    <row r="11" spans="1:6" s="1" customFormat="1">
      <c r="A11" s="4" t="s">
        <v>25</v>
      </c>
      <c r="B11" s="1" t="s">
        <v>19</v>
      </c>
      <c r="C11" s="9">
        <v>20</v>
      </c>
      <c r="F11" s="2">
        <f t="shared" si="0"/>
        <v>20</v>
      </c>
    </row>
    <row r="12" spans="1:6">
      <c r="A12" s="4" t="s">
        <v>0</v>
      </c>
      <c r="B12" s="3" t="s">
        <v>20</v>
      </c>
      <c r="C12" s="8" t="s">
        <v>29</v>
      </c>
      <c r="D12" s="1"/>
      <c r="F12" s="2" t="str">
        <f t="shared" si="0"/>
        <v>60∠80°</v>
      </c>
    </row>
    <row r="13" spans="1:6" s="1" customFormat="1">
      <c r="A13" s="1" t="s">
        <v>27</v>
      </c>
      <c r="B13" s="1" t="s">
        <v>19</v>
      </c>
      <c r="C13" s="9">
        <f>MOD(360+C10+C11-IFERROR(MID(C12,FIND("∠",C12)+1,FIND("°",C12)-FIND("∠",C12)-1),MID(C12,FIND("∠",C12)+1,LEN(C12)-FIND("∠",C12))),360)</f>
        <v>320</v>
      </c>
      <c r="F13" s="2">
        <f t="shared" si="0"/>
        <v>320</v>
      </c>
    </row>
    <row r="14" spans="1:6" s="1" customFormat="1">
      <c r="A14" s="4" t="s">
        <v>26</v>
      </c>
      <c r="B14" s="1" t="s">
        <v>19</v>
      </c>
      <c r="C14" s="9">
        <v>190</v>
      </c>
      <c r="F14" s="2">
        <f t="shared" si="0"/>
        <v>190</v>
      </c>
    </row>
    <row r="15" spans="1:6">
      <c r="A15" s="1" t="s">
        <v>2</v>
      </c>
      <c r="B15" s="3" t="s">
        <v>21</v>
      </c>
      <c r="C15" s="10" t="str">
        <f>ROUND(C8+C9,0) &amp;"∠" &amp;ROUND(MOD(C13+C14,360),0) &amp; "°"</f>
        <v>200∠150°</v>
      </c>
      <c r="D15" s="1"/>
      <c r="F15" s="2" t="str">
        <f t="shared" si="0"/>
        <v>200∠150°</v>
      </c>
    </row>
    <row r="16" spans="1:6">
      <c r="A16" s="4" t="s">
        <v>1</v>
      </c>
      <c r="B16" s="3" t="s">
        <v>20</v>
      </c>
      <c r="C16" s="8" t="s">
        <v>30</v>
      </c>
      <c r="D16" s="1"/>
      <c r="F16" s="2" t="str">
        <f t="shared" si="0"/>
        <v>40∠140°</v>
      </c>
    </row>
    <row r="17" spans="1:6">
      <c r="A17" s="1" t="s">
        <v>3</v>
      </c>
      <c r="B17" s="1" t="s">
        <v>22</v>
      </c>
      <c r="C17" s="8" t="str">
        <f>Vecdiv(Vecsub(C16,C12),C15)</f>
        <v>.264575∠69.106602°</v>
      </c>
      <c r="D17" s="1"/>
      <c r="F17" s="2" t="str">
        <f>VecDisp(C17,2)</f>
        <v>.26∠69.11°</v>
      </c>
    </row>
    <row r="18" spans="1:6">
      <c r="A18" s="1" t="s">
        <v>78</v>
      </c>
      <c r="B18" s="3" t="s">
        <v>21</v>
      </c>
      <c r="C18" s="10" t="str">
        <f>Vecdiv(VecNegative(C12),C17,1)</f>
        <v>226.8∠190.9°</v>
      </c>
      <c r="D18" s="1"/>
      <c r="F18" s="2" t="str">
        <f>VecDisp(C18)</f>
        <v>227∠191°</v>
      </c>
    </row>
    <row r="19" spans="1:6">
      <c r="A19" s="1" t="s">
        <v>4</v>
      </c>
      <c r="B19" s="3" t="s">
        <v>21</v>
      </c>
      <c r="C19" s="10" t="str">
        <f>Vecdiv(VecNegative(C16),C17,1)</f>
        <v>151.2∠250.9°</v>
      </c>
      <c r="D19" s="1"/>
      <c r="F19" s="2" t="str">
        <f>VecDisp(C19)</f>
        <v>151∠251°</v>
      </c>
    </row>
    <row r="20" spans="1:6" s="1" customFormat="1">
      <c r="A20" s="1" t="s">
        <v>79</v>
      </c>
      <c r="B20" s="3" t="s">
        <v>21</v>
      </c>
      <c r="F20" s="6" t="str">
        <f>VecAverage(C18:E18)</f>
        <v>input error</v>
      </c>
    </row>
    <row r="21" spans="1:6" s="1" customFormat="1">
      <c r="A21" s="1" t="s">
        <v>80</v>
      </c>
      <c r="B21" s="3" t="s">
        <v>21</v>
      </c>
      <c r="F21" s="6" t="str">
        <f>VecAverage(C19:E19)</f>
        <v>input error</v>
      </c>
    </row>
    <row r="23" spans="1:6">
      <c r="A23" s="7" t="s">
        <v>31</v>
      </c>
    </row>
    <row r="24" spans="1:6">
      <c r="A24" s="4" t="s">
        <v>32</v>
      </c>
      <c r="B24" s="3" t="s">
        <v>20</v>
      </c>
      <c r="C24" s="11" t="s">
        <v>5</v>
      </c>
      <c r="F24" s="2" t="str">
        <f t="shared" ref="F24:F32" si="1">C24</f>
        <v>60∠30°</v>
      </c>
    </row>
    <row r="25" spans="1:6">
      <c r="A25" s="5" t="s">
        <v>33</v>
      </c>
      <c r="B25" s="3" t="s">
        <v>20</v>
      </c>
      <c r="C25" s="12" t="s">
        <v>53</v>
      </c>
      <c r="F25" s="2" t="str">
        <f t="shared" si="1"/>
        <v>80∠60°</v>
      </c>
    </row>
    <row r="26" spans="1:6">
      <c r="A26" s="5" t="s">
        <v>34</v>
      </c>
      <c r="B26" s="3" t="s">
        <v>21</v>
      </c>
      <c r="C26" s="12" t="s">
        <v>7</v>
      </c>
      <c r="F26" s="2" t="str">
        <f t="shared" si="1"/>
        <v>200∠150°</v>
      </c>
    </row>
    <row r="27" spans="1:6">
      <c r="A27" s="5" t="s">
        <v>35</v>
      </c>
      <c r="B27" s="3" t="s">
        <v>20</v>
      </c>
      <c r="C27" s="12" t="s">
        <v>6</v>
      </c>
      <c r="F27" s="2" t="str">
        <f t="shared" si="1"/>
        <v>40∠90°</v>
      </c>
    </row>
    <row r="28" spans="1:6">
      <c r="A28" s="5" t="s">
        <v>36</v>
      </c>
      <c r="B28" s="3" t="s">
        <v>20</v>
      </c>
      <c r="C28" s="12" t="s">
        <v>54</v>
      </c>
      <c r="F28" s="2" t="str">
        <f t="shared" si="1"/>
        <v>60∠120°</v>
      </c>
    </row>
    <row r="29" spans="1:6">
      <c r="A29" s="5" t="s">
        <v>37</v>
      </c>
      <c r="C29" s="13" t="b">
        <v>1</v>
      </c>
      <c r="F29" s="2" t="b">
        <f t="shared" si="1"/>
        <v>1</v>
      </c>
    </row>
    <row r="30" spans="1:6">
      <c r="A30" s="5" t="s">
        <v>38</v>
      </c>
      <c r="B30" s="3" t="s">
        <v>21</v>
      </c>
      <c r="C30" s="12" t="s">
        <v>55</v>
      </c>
      <c r="F30" s="2" t="str">
        <f t="shared" si="1"/>
        <v>400∠60°</v>
      </c>
    </row>
    <row r="31" spans="1:6">
      <c r="A31" s="5" t="s">
        <v>39</v>
      </c>
      <c r="B31" s="3" t="s">
        <v>20</v>
      </c>
      <c r="C31" s="12" t="s">
        <v>57</v>
      </c>
      <c r="F31" s="2" t="str">
        <f t="shared" si="1"/>
        <v>30∠200°</v>
      </c>
    </row>
    <row r="32" spans="1:6">
      <c r="A32" s="5" t="s">
        <v>40</v>
      </c>
      <c r="B32" s="3" t="s">
        <v>20</v>
      </c>
      <c r="C32" s="12" t="s">
        <v>56</v>
      </c>
      <c r="F32" s="2" t="str">
        <f t="shared" si="1"/>
        <v>40∠60°</v>
      </c>
    </row>
    <row r="33" spans="1:6">
      <c r="A33" s="1" t="s">
        <v>41</v>
      </c>
      <c r="B33" s="1" t="s">
        <v>22</v>
      </c>
      <c r="C33" s="8" t="str">
        <f>Vecdiv(Vecsub(C27,C24),C26)</f>
        <v>.264575∠19.106602°</v>
      </c>
      <c r="F33" s="2" t="str">
        <f t="shared" ref="F33:F40" si="2">VecDisp(C33,2)</f>
        <v>.26∠19.11°</v>
      </c>
    </row>
    <row r="34" spans="1:6">
      <c r="A34" s="1" t="s">
        <v>42</v>
      </c>
      <c r="B34" s="1" t="s">
        <v>22</v>
      </c>
      <c r="C34" s="8" t="str">
        <f>IF(C29,Vecdiv(Vecsub(C31,C24),C30),Vecdiv(Vecsub(C31,C27),C30))</f>
        <v>.224239∠146.670434°</v>
      </c>
      <c r="F34" s="2" t="str">
        <f t="shared" si="2"/>
        <v>.22∠146.67°</v>
      </c>
    </row>
    <row r="35" spans="1:6">
      <c r="A35" s="1" t="s">
        <v>43</v>
      </c>
      <c r="B35" s="1" t="s">
        <v>22</v>
      </c>
      <c r="C35" s="8" t="str">
        <f>Vecdiv(Vecsub(C28,C25),C26)</f>
        <v>.360555∠43.897883°</v>
      </c>
      <c r="F35" s="2" t="str">
        <f t="shared" si="2"/>
        <v>.36∠43.9°</v>
      </c>
    </row>
    <row r="36" spans="1:6">
      <c r="A36" s="1" t="s">
        <v>44</v>
      </c>
      <c r="B36" s="1" t="s">
        <v>22</v>
      </c>
      <c r="C36" s="8" t="str">
        <f>IF(C29,Vecdiv(Vecsub(C32,C25),C30),Vecdiv(Vecsub(C32,C28),C30))</f>
        <v>.1∠179.999994°</v>
      </c>
      <c r="F36" s="2" t="str">
        <f t="shared" si="2"/>
        <v>.1∠180°</v>
      </c>
    </row>
    <row r="37" spans="1:6">
      <c r="A37" s="1" t="s">
        <v>45</v>
      </c>
      <c r="B37" s="1" t="s">
        <v>22</v>
      </c>
      <c r="C37" s="8" t="str">
        <f>C36</f>
        <v>.1∠179.999994°</v>
      </c>
      <c r="F37" s="2" t="str">
        <f t="shared" si="2"/>
        <v>.1∠180°</v>
      </c>
    </row>
    <row r="38" spans="1:6">
      <c r="A38" s="1" t="s">
        <v>46</v>
      </c>
      <c r="B38" s="1" t="s">
        <v>22</v>
      </c>
      <c r="C38" s="9" t="str">
        <f>LEFT(C34,FIND("∠",C34)-1) &amp; "∠" &amp; MOD(540+IFERROR(MID(C34,FIND("∠",C34)+1,FIND("°",C34)-FIND("∠",C34)-1),MID(C12,FIND("∠",C34)+1,LEN(C12)-FIND("∠",C34))),360) &amp; "°"</f>
        <v>.224239∠326.670434°</v>
      </c>
      <c r="F38" s="2" t="str">
        <f t="shared" si="2"/>
        <v>.22∠326.67°</v>
      </c>
    </row>
    <row r="39" spans="1:6">
      <c r="A39" s="1" t="s">
        <v>47</v>
      </c>
      <c r="B39" s="1" t="s">
        <v>22</v>
      </c>
      <c r="C39" s="9" t="str">
        <f>LEFT(C35,FIND("∠",C35)-1) &amp; "∠" &amp; MOD(540+IFERROR(MID(C35,FIND("∠",C35)+1,FIND("°",C35)-FIND("∠",C35)-1),MID(C13,FIND("∠",C35)+1,LEN(C13)-FIND("∠",C35))),360) &amp; "°"</f>
        <v>.360555∠223.897883°</v>
      </c>
      <c r="F39" s="2" t="str">
        <f t="shared" si="2"/>
        <v>.36∠223.9°</v>
      </c>
    </row>
    <row r="40" spans="1:6">
      <c r="A40" s="1" t="s">
        <v>48</v>
      </c>
      <c r="B40" s="1" t="s">
        <v>22</v>
      </c>
      <c r="C40" s="8" t="str">
        <f>C33</f>
        <v>.264575∠19.106602°</v>
      </c>
      <c r="F40" s="2" t="str">
        <f t="shared" si="2"/>
        <v>.26∠19.11°</v>
      </c>
    </row>
    <row r="41" spans="1:6">
      <c r="A41" s="1" t="s">
        <v>58</v>
      </c>
      <c r="B41" s="1" t="s">
        <v>22</v>
      </c>
      <c r="C41" s="8" t="str">
        <f>Vecdiv("1∠0°",Vecsub(VecProduct(C33,C36),VecProduct(C34,C35)))</f>
        <v>18.239521∠353.54038°</v>
      </c>
      <c r="F41" s="2" t="str">
        <f>VecDisp(C41,2)</f>
        <v>18.24∠353.54°</v>
      </c>
    </row>
    <row r="42" spans="1:6">
      <c r="A42" s="1" t="s">
        <v>49</v>
      </c>
      <c r="B42" s="3" t="s">
        <v>21</v>
      </c>
      <c r="C42" s="10" t="str">
        <f>VecProduct(C41,VecAdd(VecProduct(C37,VecNegative(C24)),VecProduct(C38,VecNegative(C25))),2)</f>
        <v>218.04∠198.54°</v>
      </c>
      <c r="F42" s="2" t="str">
        <f>VecDisp(C42)</f>
        <v>218∠199°</v>
      </c>
    </row>
    <row r="43" spans="1:6">
      <c r="A43" s="1" t="s">
        <v>50</v>
      </c>
      <c r="B43" s="3" t="s">
        <v>21</v>
      </c>
      <c r="C43" s="10" t="str">
        <f>VecProduct(C41,VecAdd(VecProduct(C39,VecNegative(C24)),VecProduct(C40,VecNegative(C25))),2)</f>
        <v>36.48∠353.54°</v>
      </c>
      <c r="F43" s="2" t="str">
        <f t="shared" ref="F43:F45" si="3">VecDisp(C43)</f>
        <v>36∠354°</v>
      </c>
    </row>
    <row r="44" spans="1:6">
      <c r="A44" s="1" t="s">
        <v>51</v>
      </c>
      <c r="B44" s="3" t="s">
        <v>21</v>
      </c>
      <c r="C44" s="10" t="str">
        <f>VecProduct(C41,VecAdd(VecProduct(C37,VecNegative(C31)),VecProduct(C38,VecNegative(C32))),2)</f>
        <v>218.04∠198.54°</v>
      </c>
      <c r="F44" s="2" t="str">
        <f t="shared" si="3"/>
        <v>218∠199°</v>
      </c>
    </row>
    <row r="45" spans="1:6">
      <c r="A45" s="1" t="s">
        <v>52</v>
      </c>
      <c r="B45" s="3" t="s">
        <v>21</v>
      </c>
      <c r="C45" s="10" t="str">
        <f>VecProduct(C41,VecAdd(VecProduct(C39,VecNegative(C31)),VecProduct(C40,VecNegative(C32))),2)</f>
        <v>386.89∠244.96°</v>
      </c>
      <c r="F45" s="2" t="str">
        <f t="shared" si="3"/>
        <v>387∠245°</v>
      </c>
    </row>
    <row r="47" spans="1:6">
      <c r="A47" s="7" t="s">
        <v>59</v>
      </c>
    </row>
    <row r="48" spans="1:6">
      <c r="A48" s="4" t="s">
        <v>60</v>
      </c>
      <c r="B48" s="3" t="s">
        <v>81</v>
      </c>
      <c r="C48" s="8" t="s">
        <v>82</v>
      </c>
      <c r="F48" t="str">
        <f>C48</f>
        <v>80∠345°</v>
      </c>
    </row>
    <row r="49" spans="1:6">
      <c r="A49" s="5" t="s">
        <v>61</v>
      </c>
      <c r="B49" s="3" t="s">
        <v>20</v>
      </c>
      <c r="C49" s="8" t="s">
        <v>83</v>
      </c>
      <c r="F49" s="1" t="str">
        <f t="shared" ref="F49:F53" si="4">C49</f>
        <v>20∠215°</v>
      </c>
    </row>
    <row r="50" spans="1:6">
      <c r="A50" s="5" t="s">
        <v>62</v>
      </c>
      <c r="B50" s="3" t="s">
        <v>21</v>
      </c>
      <c r="C50" s="8" t="s">
        <v>87</v>
      </c>
      <c r="F50" s="1" t="str">
        <f t="shared" si="4"/>
        <v>680∠99°</v>
      </c>
    </row>
    <row r="51" spans="1:6">
      <c r="A51" s="5" t="s">
        <v>63</v>
      </c>
      <c r="B51" s="3" t="s">
        <v>21</v>
      </c>
      <c r="C51" s="8" t="s">
        <v>84</v>
      </c>
      <c r="F51" s="1" t="str">
        <f t="shared" si="4"/>
        <v>259∠17°</v>
      </c>
    </row>
    <row r="52" spans="1:6">
      <c r="A52" s="5" t="s">
        <v>64</v>
      </c>
      <c r="B52" s="3" t="s">
        <v>20</v>
      </c>
      <c r="C52" s="8" t="s">
        <v>85</v>
      </c>
      <c r="F52" s="1" t="str">
        <f t="shared" si="4"/>
        <v>25∠225°</v>
      </c>
    </row>
    <row r="53" spans="1:6">
      <c r="A53" s="5" t="s">
        <v>65</v>
      </c>
      <c r="B53" s="3" t="s">
        <v>20</v>
      </c>
      <c r="C53" s="8" t="s">
        <v>86</v>
      </c>
      <c r="F53" s="1" t="str">
        <f t="shared" si="4"/>
        <v>20∠27°</v>
      </c>
    </row>
    <row r="54" spans="1:6">
      <c r="A54" s="1" t="s">
        <v>66</v>
      </c>
      <c r="B54" s="3" t="s">
        <v>20</v>
      </c>
      <c r="C54" s="8" t="str">
        <f>Vecdiv(VecAdd(C48,C49),"2∠0")</f>
        <v>34.43501∠332.146377°</v>
      </c>
      <c r="F54" s="2" t="str">
        <f t="shared" ref="F54:F63" si="5">VecDisp(C54,2)</f>
        <v>34.44∠332.15°</v>
      </c>
    </row>
    <row r="55" spans="1:6">
      <c r="A55" s="1" t="s">
        <v>67</v>
      </c>
      <c r="B55" s="3" t="s">
        <v>20</v>
      </c>
      <c r="C55" s="8" t="str">
        <f>Vecdiv(Vecsub(C48,C49),"2∠0")</f>
        <v>47.055606∠354.369193°</v>
      </c>
      <c r="F55" s="2" t="str">
        <f t="shared" si="5"/>
        <v>47.06∠354.37°</v>
      </c>
    </row>
    <row r="56" spans="1:6">
      <c r="A56" s="1" t="s">
        <v>68</v>
      </c>
      <c r="B56" s="3" t="s">
        <v>21</v>
      </c>
      <c r="C56" s="8" t="str">
        <f>Vecdiv(VecAdd(C50,C51),"2∠0")</f>
        <v>380.297036∠79.293056°</v>
      </c>
      <c r="F56" s="2" t="str">
        <f t="shared" si="5"/>
        <v>380.3∠79.29°</v>
      </c>
    </row>
    <row r="57" spans="1:6">
      <c r="A57" s="1" t="s">
        <v>69</v>
      </c>
      <c r="B57" s="3" t="s">
        <v>21</v>
      </c>
      <c r="C57" s="8" t="str">
        <f>Vecdiv(Vecsub(C50,C51),"2∠0")</f>
        <v>346.575633∠120.716812°</v>
      </c>
      <c r="F57" s="2" t="str">
        <f t="shared" si="5"/>
        <v>346.58∠120.72°</v>
      </c>
    </row>
    <row r="58" spans="1:6">
      <c r="A58" s="1" t="s">
        <v>70</v>
      </c>
      <c r="B58" s="3" t="s">
        <v>20</v>
      </c>
      <c r="C58" s="8" t="str">
        <f>Vecdiv(VecAdd(C52,C53),"2∠0")</f>
        <v>4.29952∠270.949258°</v>
      </c>
      <c r="F58" s="2" t="str">
        <f t="shared" si="5"/>
        <v>4.3∠270.95°</v>
      </c>
    </row>
    <row r="59" spans="1:6">
      <c r="A59" s="1" t="s">
        <v>71</v>
      </c>
      <c r="B59" s="3" t="s">
        <v>20</v>
      </c>
      <c r="C59" s="8" t="str">
        <f>Vecdiv(Vecsub(C52,C53),"2∠0")</f>
        <v>22.226428∠217.0082°</v>
      </c>
      <c r="F59" s="2" t="str">
        <f t="shared" si="5"/>
        <v>22.23∠217.01°</v>
      </c>
    </row>
    <row r="60" spans="1:6">
      <c r="A60" s="1" t="s">
        <v>72</v>
      </c>
      <c r="B60" s="1" t="s">
        <v>22</v>
      </c>
      <c r="C60" s="8" t="str">
        <f>Vecdiv(Vecsub(C58,C54),C56)</f>
        <v>.085675∠79.493503°</v>
      </c>
      <c r="F60" s="2" t="str">
        <f t="shared" si="5"/>
        <v>.09∠79.49°</v>
      </c>
    </row>
    <row r="61" spans="1:6">
      <c r="A61" s="1" t="s">
        <v>73</v>
      </c>
      <c r="B61" s="1" t="s">
        <v>22</v>
      </c>
      <c r="C61" s="8" t="str">
        <f>Vecdiv(Vecsub(C59,C55),C57)</f>
        <v>.188037∠67.009773°</v>
      </c>
      <c r="F61" s="2" t="str">
        <f t="shared" si="5"/>
        <v>.19∠67.01°</v>
      </c>
    </row>
    <row r="62" spans="1:6">
      <c r="A62" s="1" t="s">
        <v>74</v>
      </c>
      <c r="B62" s="3" t="s">
        <v>21</v>
      </c>
      <c r="C62" s="8" t="str">
        <f>Vecdiv(VecNegative(C54),C60)</f>
        <v>401.925999∠72.652874°</v>
      </c>
      <c r="F62" s="2" t="str">
        <f t="shared" si="5"/>
        <v>401.93∠72.65°</v>
      </c>
    </row>
    <row r="63" spans="1:6">
      <c r="A63" s="1" t="s">
        <v>75</v>
      </c>
      <c r="B63" s="3" t="s">
        <v>21</v>
      </c>
      <c r="C63" s="8" t="str">
        <f>Vecdiv(VecNegative(C55),C61)</f>
        <v>250.246526∠107.35942°</v>
      </c>
      <c r="F63" s="2" t="str">
        <f t="shared" si="5"/>
        <v>250.25∠107.36°</v>
      </c>
    </row>
    <row r="64" spans="1:6">
      <c r="A64" s="1" t="s">
        <v>76</v>
      </c>
      <c r="B64" s="3" t="s">
        <v>158</v>
      </c>
      <c r="C64" s="10" t="str">
        <f>VecAdd(C62,C63,1)</f>
        <v>624.1∠85.8°</v>
      </c>
      <c r="F64" s="2" t="str">
        <f>VecDisp(C64)</f>
        <v>624∠86°</v>
      </c>
    </row>
    <row r="65" spans="1:6">
      <c r="A65" s="1" t="s">
        <v>77</v>
      </c>
      <c r="B65" s="3" t="s">
        <v>21</v>
      </c>
      <c r="C65" s="10" t="str">
        <f>Vecsub(C62,C63,1)</f>
        <v>242.5∠36.7°</v>
      </c>
      <c r="F65" s="2" t="str">
        <f>VecDisp(C65)</f>
        <v>242∠37°</v>
      </c>
    </row>
    <row r="68" spans="1:6">
      <c r="A68" s="31" t="s">
        <v>151</v>
      </c>
      <c r="B68" s="31"/>
      <c r="C68" s="31"/>
      <c r="D68" s="31"/>
      <c r="E68" s="31"/>
      <c r="F68" s="31"/>
    </row>
    <row r="69" spans="1:6" ht="19.5">
      <c r="B69" s="22" t="s">
        <v>152</v>
      </c>
      <c r="C69" s="26">
        <v>46</v>
      </c>
      <c r="D69" s="27" t="s">
        <v>157</v>
      </c>
      <c r="E69" s="26">
        <v>180</v>
      </c>
      <c r="F69" s="27" t="s">
        <v>19</v>
      </c>
    </row>
    <row r="70" spans="1:6" ht="19.5">
      <c r="B70" s="22" t="s">
        <v>154</v>
      </c>
      <c r="C70" s="26">
        <v>10</v>
      </c>
      <c r="D70" s="27" t="s">
        <v>157</v>
      </c>
      <c r="E70" s="26">
        <v>122</v>
      </c>
      <c r="F70" s="27" t="s">
        <v>153</v>
      </c>
    </row>
    <row r="71" spans="1:6" ht="19.5">
      <c r="B71" s="22" t="s">
        <v>155</v>
      </c>
      <c r="C71" s="22">
        <f>1/2*SQRT((C69*COS(E69/180*PI())+C70*COS(E70/180*PI()))^2+(C69*SIN(E69/180*PI())+C70*SIN(E70/180*PI()))^2)</f>
        <v>25.997719722576381</v>
      </c>
      <c r="D71" s="27" t="s">
        <v>157</v>
      </c>
      <c r="E71" s="22">
        <f>MOD(360+180/PI()*IMARGUMENT(C69*COS(E69/180*PI())+C70*COS(E70/180*PI()) &amp; "+" &amp; C69*SIN(E69/180*PI())+C70*SIN(E70/180*PI())&amp; "i"),360)</f>
        <v>170.61309496057675</v>
      </c>
      <c r="F71" s="27" t="s">
        <v>136</v>
      </c>
    </row>
    <row r="72" spans="1:6" ht="19.5">
      <c r="B72" s="22" t="s">
        <v>156</v>
      </c>
      <c r="C72" s="22">
        <f>1/2*SQRT((C69*COS(E69/180*PI())-C70*COS(E70/180*PI()))^2+(C69*SIN(E69/180*PI())-C70*SIN(E70/180*PI()))^2)</f>
        <v>20.78746182741806</v>
      </c>
      <c r="D72" s="27" t="s">
        <v>157</v>
      </c>
      <c r="E72" s="22">
        <f>MOD(360+180/PI()*IMARGUMENT(C69*COS(E69/180*PI())-C70*COS(E70/180*PI()) &amp; "+" &amp; C69*SIN(E69/180*PI())-C70*SIN(E70/180*PI())&amp; "i"),360)</f>
        <v>191.76983520419591</v>
      </c>
      <c r="F72" s="27" t="s">
        <v>136</v>
      </c>
    </row>
    <row r="74" spans="1:6">
      <c r="A74" s="31" t="s">
        <v>159</v>
      </c>
      <c r="B74" s="31"/>
      <c r="C74" s="31"/>
      <c r="D74" s="31"/>
      <c r="E74" s="31"/>
      <c r="F74" s="31"/>
    </row>
    <row r="75" spans="1:6" ht="19.5">
      <c r="B75" s="28" t="s">
        <v>160</v>
      </c>
      <c r="C75" s="8">
        <v>30</v>
      </c>
      <c r="D75" s="27" t="s">
        <v>157</v>
      </c>
      <c r="E75" s="1">
        <v>40</v>
      </c>
      <c r="F75" s="27" t="s">
        <v>136</v>
      </c>
    </row>
    <row r="76" spans="1:6" ht="19.5">
      <c r="B76" s="28" t="s">
        <v>161</v>
      </c>
      <c r="C76" s="8">
        <v>40</v>
      </c>
      <c r="D76" s="27" t="s">
        <v>157</v>
      </c>
      <c r="E76" s="1">
        <v>40</v>
      </c>
      <c r="F76" s="27" t="s">
        <v>136</v>
      </c>
    </row>
    <row r="77" spans="1:6">
      <c r="B77" s="30" t="s">
        <v>163</v>
      </c>
      <c r="D77" s="22"/>
      <c r="E77" s="22"/>
      <c r="F77" s="22"/>
    </row>
    <row r="78" spans="1:6" ht="19.5">
      <c r="B78" s="28" t="s">
        <v>162</v>
      </c>
      <c r="C78" s="29">
        <f>IF(B77="÷",C75/C76,IF(B77="×",C75*C76,IF(B77="+",INDEX(VecAdd(C75&amp;"∠"&amp;E75,C76&amp;"∠"&amp;E76,6,1),1),IF(B77="-",INDEX(Vecsub(C75&amp;"∠"&amp;E75,C76&amp;"∠"&amp;E76,6,1),1),""))))</f>
        <v>10</v>
      </c>
      <c r="D78" s="27" t="s">
        <v>157</v>
      </c>
      <c r="E78" s="24">
        <f>IF(B77="÷",MOD(E75-E76+720,360),IF(B77="×",MOD(E75+E76+720,360),IF(B77="+",INDEX(VecAdd(C75&amp;"∠"&amp;E75,C76&amp;"∠"&amp;E76,6,1),2),IF(B77="-",INDEX(Vecsub(C75&amp;"∠"&amp;E75,C76&amp;"∠"&amp;E76,6,1),2),""))))</f>
        <v>219.999988</v>
      </c>
      <c r="F78" s="27" t="s">
        <v>136</v>
      </c>
    </row>
    <row r="80" spans="1:6">
      <c r="C80" s="29"/>
    </row>
  </sheetData>
  <mergeCells count="2">
    <mergeCell ref="A68:F68"/>
    <mergeCell ref="A74:F74"/>
  </mergeCells>
  <phoneticPr fontId="1" type="noConversion"/>
  <dataValidations count="2">
    <dataValidation type="list" allowBlank="1" showInputMessage="1" showErrorMessage="1" sqref="C29">
      <formula1>"TRUE,FALSE"</formula1>
    </dataValidation>
    <dataValidation type="list" allowBlank="1" showInputMessage="1" showErrorMessage="1" sqref="B77">
      <formula1>"+,-,×,÷"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411"/>
  <sheetViews>
    <sheetView tabSelected="1" topLeftCell="N1" zoomScaleNormal="100" workbookViewId="0">
      <selection activeCell="O15" sqref="O15"/>
    </sheetView>
  </sheetViews>
  <sheetFormatPr defaultRowHeight="13.5"/>
  <cols>
    <col min="1" max="1" width="0" style="14" hidden="1" customWidth="1"/>
    <col min="2" max="2" width="5.25" hidden="1" customWidth="1"/>
    <col min="3" max="3" width="12.75" hidden="1" customWidth="1"/>
    <col min="4" max="4" width="9" style="14" hidden="1" customWidth="1"/>
    <col min="5" max="5" width="9.375" style="14" hidden="1" customWidth="1"/>
    <col min="6" max="6" width="8.5" style="14" hidden="1" customWidth="1"/>
    <col min="7" max="8" width="9" style="14" hidden="1" customWidth="1"/>
    <col min="9" max="9" width="12.625" style="15" hidden="1" customWidth="1"/>
    <col min="10" max="10" width="14.125" style="15" hidden="1" customWidth="1"/>
    <col min="11" max="11" width="14.875" style="15" hidden="1" customWidth="1"/>
    <col min="12" max="12" width="13.5" hidden="1" customWidth="1"/>
    <col min="13" max="13" width="15.375" hidden="1" customWidth="1"/>
    <col min="14" max="14" width="28.875" bestFit="1" customWidth="1"/>
    <col min="15" max="15" width="9.125" bestFit="1" customWidth="1"/>
  </cols>
  <sheetData>
    <row r="1" spans="1:15">
      <c r="A1" s="14">
        <v>0</v>
      </c>
      <c r="B1">
        <f t="shared" ref="B1:B64" si="0">COS(A1/180*PI())*$E$1+$E$2</f>
        <v>37</v>
      </c>
      <c r="C1">
        <f t="shared" ref="C1:C64" si="1">SIN(A1/180*PI())*$E$1+$E$3</f>
        <v>22</v>
      </c>
      <c r="D1" t="s">
        <v>126</v>
      </c>
      <c r="E1" s="4">
        <v>15</v>
      </c>
      <c r="F1" s="6"/>
      <c r="G1" s="6" t="s">
        <v>122</v>
      </c>
      <c r="H1" s="6"/>
      <c r="I1" s="6"/>
      <c r="J1" s="6" t="s">
        <v>129</v>
      </c>
      <c r="K1" s="6"/>
      <c r="L1" t="s">
        <v>92</v>
      </c>
      <c r="M1" t="str">
        <f>O3</f>
        <v>顺时针</v>
      </c>
      <c r="N1" s="33" t="s">
        <v>150</v>
      </c>
      <c r="O1" s="34"/>
    </row>
    <row r="2" spans="1:15">
      <c r="A2" s="14">
        <f>A1+1</f>
        <v>1</v>
      </c>
      <c r="B2" s="14">
        <f t="shared" si="0"/>
        <v>36.997715427345867</v>
      </c>
      <c r="C2" s="14">
        <f t="shared" si="1"/>
        <v>22.261786096559252</v>
      </c>
      <c r="D2" t="s">
        <v>90</v>
      </c>
      <c r="E2" s="4">
        <v>22</v>
      </c>
      <c r="F2" s="4">
        <f>MOD(M2+720,360)</f>
        <v>180</v>
      </c>
      <c r="G2" s="4">
        <f>MOD(M3-E6*(M7-M8)+720,360)</f>
        <v>25</v>
      </c>
      <c r="H2" s="4">
        <f>MOD(IF(E6=1,F2-G2+720,720-F2+G2),360)/200</f>
        <v>1.0249999999999999</v>
      </c>
      <c r="I2" s="4">
        <f>MOD(M2+720,360)</f>
        <v>180</v>
      </c>
      <c r="J2" s="4">
        <f>MOD(M4-E6*(M11-M12)+720,360)</f>
        <v>60</v>
      </c>
      <c r="K2" s="4">
        <f>MOD(IF(E6=1,I2-J2+720,720-I2+J2),360)/200</f>
        <v>1.2</v>
      </c>
      <c r="L2" t="s">
        <v>94</v>
      </c>
      <c r="M2">
        <f>O4</f>
        <v>180</v>
      </c>
      <c r="N2" s="34"/>
      <c r="O2" s="34"/>
    </row>
    <row r="3" spans="1:15">
      <c r="A3" s="14">
        <f t="shared" ref="A3:A22" si="2">A2+1</f>
        <v>2</v>
      </c>
      <c r="B3" s="14">
        <f t="shared" si="0"/>
        <v>36.990862405286435</v>
      </c>
      <c r="C3" s="14">
        <f t="shared" si="1"/>
        <v>22.523492450537514</v>
      </c>
      <c r="D3" t="s">
        <v>91</v>
      </c>
      <c r="E3" s="4">
        <v>22</v>
      </c>
      <c r="F3" s="21" t="s">
        <v>121</v>
      </c>
      <c r="G3" s="4" t="str">
        <f>MOD(H2*200,360) &amp;"°"</f>
        <v>205°</v>
      </c>
      <c r="H3" s="4"/>
      <c r="I3" s="21" t="s">
        <v>121</v>
      </c>
      <c r="J3" s="4" t="str">
        <f>MOD(K2*200,360) &amp;"°"</f>
        <v>240°</v>
      </c>
      <c r="K3" s="4"/>
      <c r="L3" t="s">
        <v>99</v>
      </c>
      <c r="M3" s="15">
        <f>IF($O$15="只显示Y向",O6,O5)</f>
        <v>135</v>
      </c>
      <c r="N3" s="15" t="s">
        <v>92</v>
      </c>
      <c r="O3" s="15" t="s">
        <v>124</v>
      </c>
    </row>
    <row r="4" spans="1:15">
      <c r="A4" s="14">
        <f t="shared" si="2"/>
        <v>3</v>
      </c>
      <c r="B4" s="14">
        <f t="shared" si="0"/>
        <v>36.979443021318609</v>
      </c>
      <c r="C4" s="14">
        <f t="shared" si="1"/>
        <v>22.785039343644158</v>
      </c>
      <c r="D4" s="14" t="s">
        <v>93</v>
      </c>
      <c r="E4" s="4">
        <v>1.4</v>
      </c>
      <c r="F4" s="20">
        <f>MOD(F2,360)</f>
        <v>180</v>
      </c>
      <c r="G4" s="20">
        <f>COS(F4/180*PI())*$E$1*$M$19+$E$2</f>
        <v>19.75</v>
      </c>
      <c r="H4" s="20">
        <f>SIN(F4/180*PI())*$E$1*$M$19+$E$3</f>
        <v>22</v>
      </c>
      <c r="I4" s="20">
        <f>MOD(I2,360)</f>
        <v>180</v>
      </c>
      <c r="J4" s="20">
        <f>COS(I4/180*PI())*$E$1*$M$23+$E$2</f>
        <v>16</v>
      </c>
      <c r="K4" s="20">
        <f>SIN(I4/180*PI())*$E$1*$M$23+$E$3</f>
        <v>22</v>
      </c>
      <c r="L4" s="14" t="s">
        <v>110</v>
      </c>
      <c r="M4" s="15">
        <f>IF($O$15="只显示X向",O5,O6)</f>
        <v>45</v>
      </c>
      <c r="N4" s="15" t="s">
        <v>138</v>
      </c>
      <c r="O4" s="4">
        <v>180</v>
      </c>
    </row>
    <row r="5" spans="1:15">
      <c r="A5" s="14">
        <f t="shared" si="2"/>
        <v>4</v>
      </c>
      <c r="B5" s="14">
        <f t="shared" si="0"/>
        <v>36.963460753897365</v>
      </c>
      <c r="C5" s="14">
        <f t="shared" si="1"/>
        <v>23.046347106161878</v>
      </c>
      <c r="D5" s="14" t="s">
        <v>97</v>
      </c>
      <c r="E5" s="4">
        <f>IF(M1="顺时针",115,65)</f>
        <v>115</v>
      </c>
      <c r="F5" s="20">
        <f t="shared" ref="F5:F36" si="3">MOD(F4-$E$6*$H$2,360)</f>
        <v>181.02500000000001</v>
      </c>
      <c r="G5" s="20">
        <f>COS(F5/180*PI())*$E$1*$M$19+$E$2</f>
        <v>19.750360033909029</v>
      </c>
      <c r="H5" s="20">
        <f>SIN(F5/180*PI())*$E$1*$M$19+$E$3</f>
        <v>21.959750491105972</v>
      </c>
      <c r="I5" s="20">
        <f>MOD(I4-$E$6*$K$2,360)</f>
        <v>181.2</v>
      </c>
      <c r="J5" s="20">
        <f>COS(I5/180*PI())*$E$1*$M$23+$E$2</f>
        <v>16.001315899150928</v>
      </c>
      <c r="K5" s="20">
        <f>SIN(I5/180*PI())*$E$1*$M$23+$E$3</f>
        <v>21.874345480699862</v>
      </c>
      <c r="L5" s="6" t="s">
        <v>115</v>
      </c>
      <c r="M5" s="6"/>
      <c r="N5" s="15" t="s">
        <v>139</v>
      </c>
      <c r="O5" s="4">
        <v>135</v>
      </c>
    </row>
    <row r="6" spans="1:15">
      <c r="A6" s="14">
        <f t="shared" si="2"/>
        <v>5</v>
      </c>
      <c r="B6" s="14">
        <f t="shared" si="0"/>
        <v>36.942920471376183</v>
      </c>
      <c r="C6" s="14">
        <f t="shared" si="1"/>
        <v>23.307336141214872</v>
      </c>
      <c r="D6" s="14" t="s">
        <v>117</v>
      </c>
      <c r="E6" s="4">
        <f>IF(M1="顺时针",-1,1)</f>
        <v>-1</v>
      </c>
      <c r="F6" s="20">
        <f t="shared" si="3"/>
        <v>182.05</v>
      </c>
      <c r="G6" s="20">
        <f t="shared" ref="G6:G69" si="4">COS(F6/180*PI())*$E$1*$M$19+$E$2</f>
        <v>19.75144002041441</v>
      </c>
      <c r="H6" s="20">
        <f t="shared" ref="H6:H69" si="5">SIN(F6/180*PI())*$E$1*$M$19+$E$3</f>
        <v>21.919513863267962</v>
      </c>
      <c r="I6" s="20">
        <f t="shared" ref="I6:I22" si="6">MOD(I5-$E$6*$K$2,360)</f>
        <v>182.39999999999998</v>
      </c>
      <c r="J6" s="20">
        <f t="shared" ref="J6:J69" si="7">COS(I6/180*PI())*$E$1*$M$23+$E$2</f>
        <v>16.005263019406851</v>
      </c>
      <c r="K6" s="20">
        <f t="shared" ref="K6:K69" si="8">SIN(I6/180*PI())*$E$1*$M$23+$E$3</f>
        <v>21.748746077624805</v>
      </c>
      <c r="L6" s="6" t="s">
        <v>113</v>
      </c>
      <c r="M6" s="6" t="s">
        <v>114</v>
      </c>
      <c r="N6" s="15" t="s">
        <v>140</v>
      </c>
      <c r="O6" s="4">
        <v>45</v>
      </c>
    </row>
    <row r="7" spans="1:15">
      <c r="A7" s="14">
        <f t="shared" si="2"/>
        <v>6</v>
      </c>
      <c r="B7" s="14">
        <f t="shared" si="0"/>
        <v>36.917828430524096</v>
      </c>
      <c r="C7" s="14">
        <f t="shared" si="1"/>
        <v>23.567926949014801</v>
      </c>
      <c r="D7" s="14" t="s">
        <v>118</v>
      </c>
      <c r="E7" s="4">
        <v>1</v>
      </c>
      <c r="F7" s="20">
        <f t="shared" si="3"/>
        <v>183.07500000000002</v>
      </c>
      <c r="G7" s="20">
        <f t="shared" si="4"/>
        <v>19.75323961388791</v>
      </c>
      <c r="H7" s="20">
        <f t="shared" si="5"/>
        <v>21.879302993419671</v>
      </c>
      <c r="I7" s="20">
        <f t="shared" si="6"/>
        <v>183.59999999999997</v>
      </c>
      <c r="J7" s="20">
        <f t="shared" si="7"/>
        <v>16.011839629430369</v>
      </c>
      <c r="K7" s="20">
        <f t="shared" si="8"/>
        <v>21.623256882824126</v>
      </c>
      <c r="L7">
        <f>IF($O$15="只显示Y向",N13,N9)</f>
        <v>142</v>
      </c>
      <c r="M7" s="15">
        <f>IF($O$15="只显示Y向",O13,O9)</f>
        <v>30</v>
      </c>
      <c r="N7" s="32" t="s">
        <v>115</v>
      </c>
      <c r="O7" s="32"/>
    </row>
    <row r="8" spans="1:15">
      <c r="A8" s="14">
        <f t="shared" si="2"/>
        <v>7</v>
      </c>
      <c r="B8" s="14">
        <f t="shared" si="0"/>
        <v>36.888192274619826</v>
      </c>
      <c r="C8" s="14">
        <f t="shared" si="1"/>
        <v>23.828040151077211</v>
      </c>
      <c r="D8" s="14" t="s">
        <v>111</v>
      </c>
      <c r="E8" s="4">
        <v>2</v>
      </c>
      <c r="F8" s="20">
        <f t="shared" si="3"/>
        <v>184.10000000000002</v>
      </c>
      <c r="G8" s="20">
        <f t="shared" si="4"/>
        <v>19.755758238405377</v>
      </c>
      <c r="H8" s="20">
        <f t="shared" si="5"/>
        <v>21.839130750251456</v>
      </c>
      <c r="I8" s="20">
        <f t="shared" si="6"/>
        <v>184.79999999999995</v>
      </c>
      <c r="J8" s="20">
        <f t="shared" si="7"/>
        <v>16.021042844502972</v>
      </c>
      <c r="K8" s="20">
        <f t="shared" si="8"/>
        <v>21.497932940006113</v>
      </c>
      <c r="L8" t="s">
        <v>116</v>
      </c>
      <c r="M8" s="15">
        <f>IF($O$15="只显示Y向",O14,O10)</f>
        <v>140</v>
      </c>
      <c r="N8" s="23" t="s">
        <v>135</v>
      </c>
      <c r="O8" s="23" t="s">
        <v>137</v>
      </c>
    </row>
    <row r="9" spans="1:15">
      <c r="A9" s="14">
        <f t="shared" si="2"/>
        <v>8</v>
      </c>
      <c r="B9" s="14">
        <f t="shared" si="0"/>
        <v>36.854021031123551</v>
      </c>
      <c r="C9" s="14">
        <f t="shared" si="1"/>
        <v>24.087596514400982</v>
      </c>
      <c r="D9" s="14" t="s">
        <v>112</v>
      </c>
      <c r="E9" s="4">
        <v>2</v>
      </c>
      <c r="F9" s="20">
        <f t="shared" si="3"/>
        <v>185.12500000000003</v>
      </c>
      <c r="G9" s="20">
        <f t="shared" si="4"/>
        <v>19.758995087931048</v>
      </c>
      <c r="H9" s="20">
        <f t="shared" si="5"/>
        <v>21.799009990091978</v>
      </c>
      <c r="I9" s="20">
        <f t="shared" si="6"/>
        <v>185.99999999999994</v>
      </c>
      <c r="J9" s="20">
        <f t="shared" si="7"/>
        <v>16.032868627790357</v>
      </c>
      <c r="K9" s="20">
        <f t="shared" si="8"/>
        <v>21.372829220394088</v>
      </c>
      <c r="L9" s="6" t="s">
        <v>127</v>
      </c>
      <c r="M9" s="6"/>
      <c r="N9" s="4">
        <v>142</v>
      </c>
      <c r="O9" s="4">
        <v>30</v>
      </c>
    </row>
    <row r="10" spans="1:15">
      <c r="A10" s="14">
        <f t="shared" si="2"/>
        <v>9</v>
      </c>
      <c r="B10" s="14">
        <f t="shared" si="0"/>
        <v>36.81532510892707</v>
      </c>
      <c r="C10" s="14">
        <f t="shared" si="1"/>
        <v>24.346516975603464</v>
      </c>
      <c r="D10" s="14">
        <f t="shared" ref="D10:D55" si="9">COS((A1*$E$6+$E$5)/180*PI())*$E$1*$E$4+$E$2</f>
        <v>13.125016503445314</v>
      </c>
      <c r="E10" s="14">
        <f t="shared" ref="E10:E55" si="10">SIN((A1*$E$6+$E$5)/180*PI())*$E$1*$E$4+$E$3</f>
        <v>41.03246352776965</v>
      </c>
      <c r="F10" s="20">
        <f t="shared" si="3"/>
        <v>186.15000000000003</v>
      </c>
      <c r="G10" s="20">
        <f t="shared" si="4"/>
        <v>19.762949126575514</v>
      </c>
      <c r="H10" s="20">
        <f t="shared" si="5"/>
        <v>21.758953552793784</v>
      </c>
      <c r="I10" s="20">
        <f t="shared" si="6"/>
        <v>187.19999999999993</v>
      </c>
      <c r="J10" s="20">
        <f t="shared" si="7"/>
        <v>16.047311792113131</v>
      </c>
      <c r="K10" s="20">
        <f t="shared" si="8"/>
        <v>21.248000598614183</v>
      </c>
      <c r="L10" s="6" t="s">
        <v>113</v>
      </c>
      <c r="M10" s="6" t="s">
        <v>114</v>
      </c>
      <c r="N10" s="15" t="s">
        <v>142</v>
      </c>
      <c r="O10" s="4">
        <v>140</v>
      </c>
    </row>
    <row r="11" spans="1:15">
      <c r="A11" s="14">
        <f t="shared" si="2"/>
        <v>10</v>
      </c>
      <c r="B11" s="14">
        <f t="shared" si="0"/>
        <v>36.772116295183125</v>
      </c>
      <c r="C11" s="14">
        <f t="shared" si="1"/>
        <v>24.604722665003955</v>
      </c>
      <c r="D11" s="14">
        <f t="shared" si="9"/>
        <v>13.458530495408199</v>
      </c>
      <c r="E11" s="14">
        <f t="shared" si="10"/>
        <v>41.184454610494619</v>
      </c>
      <c r="F11" s="20">
        <f t="shared" si="3"/>
        <v>187.17500000000004</v>
      </c>
      <c r="G11" s="20">
        <f t="shared" si="4"/>
        <v>19.767619088927226</v>
      </c>
      <c r="H11" s="20">
        <f t="shared" si="5"/>
        <v>21.718974257624161</v>
      </c>
      <c r="I11" s="20">
        <f t="shared" si="6"/>
        <v>188.39999999999992</v>
      </c>
      <c r="J11" s="20">
        <f t="shared" si="7"/>
        <v>16.064366002222069</v>
      </c>
      <c r="K11" s="20">
        <f t="shared" si="8"/>
        <v>21.123501828625539</v>
      </c>
      <c r="L11" s="15">
        <f>IF($O$15="只显示X向",N9,N13)</f>
        <v>113</v>
      </c>
      <c r="M11" s="15">
        <f>IF($O$15="只显示X向",O9,O13)</f>
        <v>155</v>
      </c>
      <c r="N11" s="32" t="s">
        <v>127</v>
      </c>
      <c r="O11" s="32"/>
    </row>
    <row r="12" spans="1:15">
      <c r="A12" s="14">
        <f t="shared" si="2"/>
        <v>11</v>
      </c>
      <c r="B12" s="14">
        <f t="shared" si="0"/>
        <v>36.724407751714963</v>
      </c>
      <c r="C12" s="14">
        <f t="shared" si="1"/>
        <v>24.862134930648171</v>
      </c>
      <c r="D12" s="14">
        <f t="shared" si="9"/>
        <v>13.794646301725255</v>
      </c>
      <c r="E12" s="14">
        <f t="shared" si="10"/>
        <v>41.330601922501245</v>
      </c>
      <c r="F12" s="20">
        <f t="shared" si="3"/>
        <v>188.20000000000005</v>
      </c>
      <c r="G12" s="20">
        <f t="shared" si="4"/>
        <v>19.773003480457476</v>
      </c>
      <c r="H12" s="20">
        <f t="shared" si="5"/>
        <v>21.679084899162596</v>
      </c>
      <c r="I12" s="20">
        <f t="shared" si="6"/>
        <v>189.59999999999991</v>
      </c>
      <c r="J12" s="20">
        <f t="shared" si="7"/>
        <v>16.084023777576967</v>
      </c>
      <c r="K12" s="20">
        <f t="shared" si="8"/>
        <v>20.999387519703397</v>
      </c>
      <c r="L12" s="15" t="s">
        <v>128</v>
      </c>
      <c r="M12" s="15">
        <f>IF($O$15="只显示X向",O10,O14)</f>
        <v>140</v>
      </c>
      <c r="N12" s="23" t="s">
        <v>135</v>
      </c>
      <c r="O12" s="23" t="s">
        <v>137</v>
      </c>
    </row>
    <row r="13" spans="1:15">
      <c r="A13" s="14">
        <f t="shared" si="2"/>
        <v>12</v>
      </c>
      <c r="B13" s="14">
        <f t="shared" si="0"/>
        <v>36.672214011007085</v>
      </c>
      <c r="C13" s="14">
        <f t="shared" si="1"/>
        <v>25.118675362266391</v>
      </c>
      <c r="D13" s="14">
        <f t="shared" si="9"/>
        <v>14.133261538265847</v>
      </c>
      <c r="E13" s="14">
        <f t="shared" si="10"/>
        <v>41.47086094590253</v>
      </c>
      <c r="F13" s="20">
        <f t="shared" si="3"/>
        <v>189.22500000000005</v>
      </c>
      <c r="G13" s="20">
        <f t="shared" si="4"/>
        <v>19.779100577998676</v>
      </c>
      <c r="H13" s="20">
        <f t="shared" si="5"/>
        <v>21.63929824320612</v>
      </c>
      <c r="I13" s="20">
        <f t="shared" si="6"/>
        <v>190.7999999999999</v>
      </c>
      <c r="J13" s="20">
        <f t="shared" si="7"/>
        <v>16.106276495627867</v>
      </c>
      <c r="K13" s="20">
        <f t="shared" si="8"/>
        <v>20.875712112485665</v>
      </c>
      <c r="N13" s="4">
        <v>113</v>
      </c>
      <c r="O13" s="4">
        <v>155</v>
      </c>
    </row>
    <row r="14" spans="1:15">
      <c r="A14" s="14">
        <f t="shared" si="2"/>
        <v>13</v>
      </c>
      <c r="B14" s="14">
        <f t="shared" si="0"/>
        <v>36.615550971778532</v>
      </c>
      <c r="C14" s="14">
        <f t="shared" si="1"/>
        <v>25.374265815157976</v>
      </c>
      <c r="D14" s="14">
        <f t="shared" si="9"/>
        <v>14.474273059548695</v>
      </c>
      <c r="E14" s="14">
        <f t="shared" si="10"/>
        <v>41.605188956441239</v>
      </c>
      <c r="F14" s="20">
        <f t="shared" si="3"/>
        <v>190.25000000000006</v>
      </c>
      <c r="G14" s="20">
        <f t="shared" si="4"/>
        <v>19.785908430295848</v>
      </c>
      <c r="H14" s="20">
        <f t="shared" si="5"/>
        <v>21.599627022683855</v>
      </c>
      <c r="I14" s="20">
        <f t="shared" si="6"/>
        <v>191.99999999999989</v>
      </c>
      <c r="J14" s="20">
        <f t="shared" si="7"/>
        <v>16.131114395597162</v>
      </c>
      <c r="K14" s="20">
        <f t="shared" si="8"/>
        <v>20.752529855093456</v>
      </c>
      <c r="M14" t="str">
        <f>O19 &amp; "rpm"</f>
        <v>3000rpm</v>
      </c>
      <c r="N14" s="15" t="s">
        <v>141</v>
      </c>
      <c r="O14" s="4">
        <v>140</v>
      </c>
    </row>
    <row r="15" spans="1:15">
      <c r="A15" s="14">
        <f t="shared" si="2"/>
        <v>14</v>
      </c>
      <c r="B15" s="14">
        <f t="shared" si="0"/>
        <v>36.554435894139949</v>
      </c>
      <c r="C15" s="14">
        <f t="shared" si="1"/>
        <v>25.628828433995015</v>
      </c>
      <c r="D15" s="14">
        <f t="shared" si="9"/>
        <v>14.817576990160958</v>
      </c>
      <c r="E15" s="14">
        <f t="shared" si="10"/>
        <v>41.733545036504076</v>
      </c>
      <c r="F15" s="20">
        <f t="shared" si="3"/>
        <v>191.27500000000006</v>
      </c>
      <c r="G15" s="20">
        <f t="shared" si="4"/>
        <v>19.793424858631045</v>
      </c>
      <c r="H15" s="20">
        <f t="shared" si="5"/>
        <v>21.560083933582117</v>
      </c>
      <c r="I15" s="20">
        <f t="shared" si="6"/>
        <v>193.19999999999987</v>
      </c>
      <c r="J15" s="20">
        <f t="shared" si="7"/>
        <v>16.158526582761034</v>
      </c>
      <c r="K15" s="20">
        <f t="shared" si="8"/>
        <v>20.62989477933608</v>
      </c>
      <c r="L15" t="str">
        <f>IF($O$15="只显示Y向","","X向")</f>
        <v>X向</v>
      </c>
      <c r="N15" s="15" t="s">
        <v>131</v>
      </c>
      <c r="O15" s="4" t="s">
        <v>132</v>
      </c>
    </row>
    <row r="16" spans="1:15">
      <c r="A16" s="14">
        <f t="shared" si="2"/>
        <v>15</v>
      </c>
      <c r="B16" s="14">
        <f t="shared" si="0"/>
        <v>36.488887394336025</v>
      </c>
      <c r="C16" s="14">
        <f t="shared" si="1"/>
        <v>25.882285676537812</v>
      </c>
      <c r="D16" s="14">
        <f t="shared" si="9"/>
        <v>15.163068756399715</v>
      </c>
      <c r="E16" s="14">
        <f t="shared" si="10"/>
        <v>41.855890087585649</v>
      </c>
      <c r="F16" s="20">
        <f t="shared" si="3"/>
        <v>192.30000000000007</v>
      </c>
      <c r="G16" s="20">
        <f t="shared" si="4"/>
        <v>19.801647457520659</v>
      </c>
      <c r="H16" s="20">
        <f t="shared" si="5"/>
        <v>21.520681630881299</v>
      </c>
      <c r="I16" s="20">
        <f t="shared" si="6"/>
        <v>194.39999999999986</v>
      </c>
      <c r="J16" s="20">
        <f t="shared" si="7"/>
        <v>16.188501033228206</v>
      </c>
      <c r="K16" s="20">
        <f t="shared" si="8"/>
        <v>20.507860677010889</v>
      </c>
      <c r="L16" s="15" t="str">
        <f>IF($O$15="只显示Y向","","Px")</f>
        <v>Px</v>
      </c>
      <c r="M16" t="s">
        <v>164</v>
      </c>
      <c r="N16" s="15" t="s">
        <v>145</v>
      </c>
      <c r="O16" s="25">
        <f>IF(O15="只显示Y向","",MOD(H2*200+540,360))</f>
        <v>25</v>
      </c>
    </row>
    <row r="17" spans="1:15">
      <c r="A17" s="14">
        <f t="shared" si="2"/>
        <v>16</v>
      </c>
      <c r="B17" s="14">
        <f t="shared" si="0"/>
        <v>36.418925439074783</v>
      </c>
      <c r="C17" s="14">
        <f t="shared" si="1"/>
        <v>26.134560337254989</v>
      </c>
      <c r="D17" s="14">
        <f t="shared" si="9"/>
        <v>15.510643118126106</v>
      </c>
      <c r="E17" s="14">
        <f t="shared" si="10"/>
        <v>41.972186842198226</v>
      </c>
      <c r="F17" s="20">
        <f t="shared" si="3"/>
        <v>193.32500000000007</v>
      </c>
      <c r="G17" s="20">
        <f t="shared" si="4"/>
        <v>19.810573595485195</v>
      </c>
      <c r="H17" s="20">
        <f t="shared" si="5"/>
        <v>21.481432724505908</v>
      </c>
      <c r="I17" s="20">
        <f t="shared" si="6"/>
        <v>195.59999999999985</v>
      </c>
      <c r="J17" s="20">
        <f t="shared" si="7"/>
        <v>16.221024599214047</v>
      </c>
      <c r="K17" s="20">
        <f t="shared" si="8"/>
        <v>20.386481076308421</v>
      </c>
      <c r="L17" s="15" t="str">
        <f>IF($O$15="只显示Y向","","Ax")</f>
        <v>Ax</v>
      </c>
      <c r="M17">
        <f>IF($O$15="只显示Y向",0.45,0.2)</f>
        <v>0.2</v>
      </c>
      <c r="N17" s="15" t="s">
        <v>146</v>
      </c>
      <c r="O17" s="25">
        <f>IF(O15="只显示X向","",MOD(K2*200+540,360))</f>
        <v>60</v>
      </c>
    </row>
    <row r="18" spans="1:15">
      <c r="A18" s="14">
        <f t="shared" si="2"/>
        <v>17</v>
      </c>
      <c r="B18" s="14">
        <f t="shared" si="0"/>
        <v>36.344571339445537</v>
      </c>
      <c r="C18" s="14">
        <f t="shared" si="1"/>
        <v>26.385575570841052</v>
      </c>
      <c r="D18" s="14">
        <f t="shared" si="9"/>
        <v>15.86019420082253</v>
      </c>
      <c r="E18" s="14">
        <f t="shared" si="10"/>
        <v>42.082399875223743</v>
      </c>
      <c r="F18" s="20">
        <f t="shared" si="3"/>
        <v>194.35000000000008</v>
      </c>
      <c r="G18" s="20">
        <f t="shared" si="4"/>
        <v>19.82020041589146</v>
      </c>
      <c r="H18" s="20">
        <f t="shared" si="5"/>
        <v>21.442349775288999</v>
      </c>
      <c r="I18" s="20">
        <f t="shared" si="6"/>
        <v>196.79999999999984</v>
      </c>
      <c r="J18" s="20">
        <f t="shared" si="7"/>
        <v>16.25608301480759</v>
      </c>
      <c r="K18" s="20">
        <f t="shared" si="8"/>
        <v>20.265809218333189</v>
      </c>
      <c r="L18" s="15" t="str">
        <f>IF($O$15="只显示Y向","",G3)</f>
        <v>205°</v>
      </c>
      <c r="M18" s="22" t="s">
        <v>165</v>
      </c>
      <c r="N18" s="15" t="s">
        <v>143</v>
      </c>
      <c r="O18" s="4">
        <v>6500</v>
      </c>
    </row>
    <row r="19" spans="1:15">
      <c r="A19" s="14">
        <f t="shared" si="2"/>
        <v>18</v>
      </c>
      <c r="B19" s="14">
        <f t="shared" si="0"/>
        <v>36.265847744427305</v>
      </c>
      <c r="C19" s="14">
        <f t="shared" si="1"/>
        <v>26.635254915624209</v>
      </c>
      <c r="D19" s="14">
        <f t="shared" si="9"/>
        <v>16.211615527843019</v>
      </c>
      <c r="E19" s="14">
        <f t="shared" si="10"/>
        <v>42.186495614704697</v>
      </c>
      <c r="F19" s="20">
        <f t="shared" si="3"/>
        <v>195.37500000000009</v>
      </c>
      <c r="G19" s="20">
        <f t="shared" si="4"/>
        <v>19.830524837866761</v>
      </c>
      <c r="H19" s="20">
        <f t="shared" si="5"/>
        <v>21.40344529095233</v>
      </c>
      <c r="I19" s="20">
        <f t="shared" si="6"/>
        <v>197.99999999999983</v>
      </c>
      <c r="J19" s="20">
        <f t="shared" si="7"/>
        <v>16.293660902229071</v>
      </c>
      <c r="K19" s="20">
        <f t="shared" si="8"/>
        <v>20.145898033750335</v>
      </c>
      <c r="L19" s="15" t="str">
        <f>IF($O$15="只显示Y向","",G208)</f>
        <v>140°</v>
      </c>
      <c r="M19">
        <f>IF($O$15="只显示Y向",0.4,0.15)</f>
        <v>0.15</v>
      </c>
      <c r="N19" s="15" t="s">
        <v>133</v>
      </c>
      <c r="O19" s="4">
        <v>3000</v>
      </c>
    </row>
    <row r="20" spans="1:15">
      <c r="A20" s="14">
        <f t="shared" si="2"/>
        <v>19</v>
      </c>
      <c r="B20" s="14">
        <f t="shared" si="0"/>
        <v>36.182778633989756</v>
      </c>
      <c r="C20" s="14">
        <f t="shared" si="1"/>
        <v>26.883522316857352</v>
      </c>
      <c r="D20" s="14">
        <f t="shared" si="9"/>
        <v>16.564800052847062</v>
      </c>
      <c r="E20" s="14">
        <f t="shared" si="10"/>
        <v>42.284442352070435</v>
      </c>
      <c r="F20" s="20">
        <f t="shared" si="3"/>
        <v>196.40000000000009</v>
      </c>
      <c r="G20" s="20">
        <f t="shared" si="4"/>
        <v>19.841543557284872</v>
      </c>
      <c r="H20" s="20">
        <f t="shared" si="5"/>
        <v>21.364731722103524</v>
      </c>
      <c r="I20" s="20">
        <f t="shared" si="6"/>
        <v>199.19999999999982</v>
      </c>
      <c r="J20" s="20">
        <f t="shared" si="7"/>
        <v>16.333741778575106</v>
      </c>
      <c r="K20" s="20">
        <f t="shared" si="8"/>
        <v>20.02680011956852</v>
      </c>
      <c r="L20" s="15" t="str">
        <f>IF($O$15="只显示X向","","Y向")</f>
        <v>Y向</v>
      </c>
      <c r="M20" s="22" t="s">
        <v>166</v>
      </c>
      <c r="N20" s="15" t="s">
        <v>134</v>
      </c>
      <c r="O20" s="4">
        <v>364</v>
      </c>
    </row>
    <row r="21" spans="1:15">
      <c r="A21" s="14">
        <f t="shared" si="2"/>
        <v>20</v>
      </c>
      <c r="B21" s="14">
        <f t="shared" si="0"/>
        <v>36.095389311788622</v>
      </c>
      <c r="C21" s="14">
        <f t="shared" si="1"/>
        <v>27.130302149885033</v>
      </c>
      <c r="D21" s="14">
        <f t="shared" si="9"/>
        <v>16.91964019240698</v>
      </c>
      <c r="E21" s="14">
        <f t="shared" si="10"/>
        <v>42.376210251795925</v>
      </c>
      <c r="F21" s="20">
        <f t="shared" si="3"/>
        <v>197.4250000000001</v>
      </c>
      <c r="G21" s="20">
        <f t="shared" si="4"/>
        <v>19.853253047823461</v>
      </c>
      <c r="H21" s="20">
        <f t="shared" si="5"/>
        <v>21.326221458251496</v>
      </c>
      <c r="I21" s="20">
        <f t="shared" si="6"/>
        <v>200.39999999999981</v>
      </c>
      <c r="J21" s="20">
        <f t="shared" si="7"/>
        <v>16.376308063048644</v>
      </c>
      <c r="K21" s="20">
        <f t="shared" si="8"/>
        <v>19.908567716069129</v>
      </c>
      <c r="L21" s="15" t="str">
        <f>IF($O$15="只显示X向","","Py")</f>
        <v>Py</v>
      </c>
      <c r="M21">
        <f>IF($O$15="只显示X向",0.2,0.45)</f>
        <v>0.45</v>
      </c>
      <c r="N21" s="15" t="s">
        <v>144</v>
      </c>
      <c r="O21" s="4">
        <v>200</v>
      </c>
    </row>
    <row r="22" spans="1:15">
      <c r="A22" s="14">
        <f t="shared" si="2"/>
        <v>21</v>
      </c>
      <c r="B22" s="14">
        <f t="shared" si="0"/>
        <v>36.003706397458025</v>
      </c>
      <c r="C22" s="14">
        <f t="shared" si="1"/>
        <v>27.375519243179504</v>
      </c>
      <c r="D22" s="14">
        <f t="shared" si="9"/>
        <v>17.276027858778839</v>
      </c>
      <c r="E22" s="14">
        <f t="shared" si="10"/>
        <v>42.461771360489934</v>
      </c>
      <c r="F22" s="20">
        <f t="shared" si="3"/>
        <v>198.4500000000001</v>
      </c>
      <c r="G22" s="20">
        <f t="shared" si="4"/>
        <v>19.865649562092614</v>
      </c>
      <c r="H22" s="20">
        <f t="shared" si="5"/>
        <v>21.287926823841428</v>
      </c>
      <c r="I22" s="20">
        <f t="shared" si="6"/>
        <v>201.5999999999998</v>
      </c>
      <c r="J22" s="20">
        <f t="shared" si="7"/>
        <v>16.42134108467048</v>
      </c>
      <c r="K22" s="20">
        <f t="shared" si="8"/>
        <v>19.791252683891955</v>
      </c>
      <c r="L22" s="15" t="str">
        <f>IF($O$15="只显示X向","","Ay")</f>
        <v>Ay</v>
      </c>
      <c r="M22" s="22" t="s">
        <v>167</v>
      </c>
      <c r="N22" s="15" t="s">
        <v>149</v>
      </c>
      <c r="O22" s="24">
        <f>0.001*(O19/60*2*PI())^2*O20/1000/9.8</f>
        <v>3.6658530632617619</v>
      </c>
    </row>
    <row r="23" spans="1:15">
      <c r="A23" s="14">
        <f t="shared" ref="A23:A86" si="11">A22+1</f>
        <v>22</v>
      </c>
      <c r="B23" s="14">
        <f t="shared" si="0"/>
        <v>35.907757818501807</v>
      </c>
      <c r="C23" s="14">
        <f t="shared" si="1"/>
        <v>27.619098901238679</v>
      </c>
      <c r="D23" s="14">
        <f t="shared" si="9"/>
        <v>17.633854492827059</v>
      </c>
      <c r="E23" s="14">
        <f t="shared" si="10"/>
        <v>42.541099615409919</v>
      </c>
      <c r="F23" s="20">
        <f t="shared" si="3"/>
        <v>199.47500000000011</v>
      </c>
      <c r="G23" s="20">
        <f t="shared" si="4"/>
        <v>19.878729132834124</v>
      </c>
      <c r="H23" s="20">
        <f t="shared" si="5"/>
        <v>21.249860074310583</v>
      </c>
      <c r="I23" s="20">
        <f t="shared" ref="I23:I86" si="12">MOD(I22-$E$6*$K$2,360)</f>
        <v>202.79999999999978</v>
      </c>
      <c r="J23" s="20">
        <f t="shared" si="7"/>
        <v>16.468821090468985</v>
      </c>
      <c r="K23" s="20">
        <f t="shared" si="8"/>
        <v>19.674906481287405</v>
      </c>
      <c r="L23" s="15" t="str">
        <f>IF($O$15="只显示X向","",J3)</f>
        <v>240°</v>
      </c>
      <c r="M23">
        <f>IF($O$15="只显示X向",0.15,0.4)</f>
        <v>0.4</v>
      </c>
      <c r="N23" s="15" t="s">
        <v>148</v>
      </c>
      <c r="O23" s="24">
        <f>O22*O21</f>
        <v>733.17061265235236</v>
      </c>
    </row>
    <row r="24" spans="1:15">
      <c r="A24" s="14">
        <f t="shared" si="11"/>
        <v>23</v>
      </c>
      <c r="B24" s="14">
        <f t="shared" si="0"/>
        <v>35.807572801786606</v>
      </c>
      <c r="C24" s="14">
        <f t="shared" si="1"/>
        <v>27.860966927339106</v>
      </c>
      <c r="D24" s="14">
        <f t="shared" si="9"/>
        <v>17.993011097092559</v>
      </c>
      <c r="E24" s="14">
        <f t="shared" si="10"/>
        <v>42.614170852400946</v>
      </c>
      <c r="F24" s="20">
        <f t="shared" si="3"/>
        <v>200.50000000000011</v>
      </c>
      <c r="G24" s="20">
        <f t="shared" si="4"/>
        <v>19.892487574191108</v>
      </c>
      <c r="H24" s="20">
        <f t="shared" si="5"/>
        <v>21.212033392166195</v>
      </c>
      <c r="I24" s="20">
        <f t="shared" si="12"/>
        <v>203.99999999999977</v>
      </c>
      <c r="J24" s="20">
        <f t="shared" si="7"/>
        <v>16.518727254144384</v>
      </c>
      <c r="K24" s="20">
        <f t="shared" si="8"/>
        <v>19.559580141545222</v>
      </c>
      <c r="L24" s="15" t="str">
        <f>IF($O$15="只显示X向","",J208)</f>
        <v>140°</v>
      </c>
      <c r="N24" s="15" t="s">
        <v>147</v>
      </c>
      <c r="O24" s="24">
        <f>O23/O18*100</f>
        <v>11.279547886959266</v>
      </c>
    </row>
    <row r="25" spans="1:15">
      <c r="A25" s="14">
        <f t="shared" si="11"/>
        <v>24</v>
      </c>
      <c r="B25" s="14">
        <f t="shared" si="0"/>
        <v>35.703181864639014</v>
      </c>
      <c r="C25" s="14">
        <f t="shared" si="1"/>
        <v>28.101049646137003</v>
      </c>
      <c r="D25" s="14">
        <f t="shared" si="9"/>
        <v>18.353388268994465</v>
      </c>
      <c r="E25" s="14">
        <f t="shared" si="10"/>
        <v>42.680962813256372</v>
      </c>
      <c r="F25" s="20">
        <f t="shared" si="3"/>
        <v>201.52500000000012</v>
      </c>
      <c r="G25" s="20">
        <f t="shared" si="4"/>
        <v>19.906920483047639</v>
      </c>
      <c r="H25" s="20">
        <f t="shared" si="5"/>
        <v>21.174458883086697</v>
      </c>
      <c r="I25" s="20">
        <f t="shared" si="12"/>
        <v>205.19999999999976</v>
      </c>
      <c r="J25" s="20">
        <f t="shared" si="7"/>
        <v>16.571037685203869</v>
      </c>
      <c r="K25" s="20">
        <f t="shared" si="8"/>
        <v>19.445324250609591</v>
      </c>
    </row>
    <row r="26" spans="1:15">
      <c r="A26" s="14">
        <f t="shared" si="11"/>
        <v>25</v>
      </c>
      <c r="B26" s="14">
        <f t="shared" si="0"/>
        <v>35.594616805549748</v>
      </c>
      <c r="C26" s="14">
        <f t="shared" si="1"/>
        <v>28.339273926110494</v>
      </c>
      <c r="D26" s="14">
        <f t="shared" si="9"/>
        <v>18.714876234155149</v>
      </c>
      <c r="E26" s="14">
        <f t="shared" si="10"/>
        <v>42.741455152497892</v>
      </c>
      <c r="F26" s="20">
        <f t="shared" si="3"/>
        <v>202.55000000000013</v>
      </c>
      <c r="G26" s="20">
        <f t="shared" si="4"/>
        <v>19.922023240437852</v>
      </c>
      <c r="H26" s="20">
        <f t="shared" si="5"/>
        <v>21.137148572047543</v>
      </c>
      <c r="I26" s="20">
        <f t="shared" si="12"/>
        <v>206.39999999999975</v>
      </c>
      <c r="J26" s="20">
        <f t="shared" si="7"/>
        <v>16.625729438563511</v>
      </c>
      <c r="K26" s="20">
        <f t="shared" si="8"/>
        <v>19.33218892489046</v>
      </c>
    </row>
    <row r="27" spans="1:15">
      <c r="A27" s="14">
        <f t="shared" si="11"/>
        <v>26</v>
      </c>
      <c r="B27" s="14">
        <f t="shared" si="0"/>
        <v>35.481910694487503</v>
      </c>
      <c r="C27" s="14">
        <f t="shared" si="1"/>
        <v>28.575567201836162</v>
      </c>
      <c r="D27" s="14">
        <f t="shared" si="9"/>
        <v>19.077364879838633</v>
      </c>
      <c r="E27" s="14">
        <f t="shared" si="10"/>
        <v>42.795629443572977</v>
      </c>
      <c r="F27" s="20">
        <f t="shared" si="3"/>
        <v>203.57500000000013</v>
      </c>
      <c r="G27" s="20">
        <f t="shared" si="4"/>
        <v>19.937791013024167</v>
      </c>
      <c r="H27" s="20">
        <f t="shared" si="5"/>
        <v>21.100114399472847</v>
      </c>
      <c r="I27" s="20">
        <f t="shared" si="12"/>
        <v>207.59999999999974</v>
      </c>
      <c r="J27" s="20">
        <f t="shared" si="7"/>
        <v>16.682778524612701</v>
      </c>
      <c r="K27" s="20">
        <f t="shared" si="8"/>
        <v>19.220223789280851</v>
      </c>
    </row>
    <row r="28" spans="1:15">
      <c r="A28" s="14">
        <f t="shared" si="11"/>
        <v>27</v>
      </c>
      <c r="B28" s="14">
        <f t="shared" si="0"/>
        <v>35.365097862825522</v>
      </c>
      <c r="C28" s="14">
        <f t="shared" si="1"/>
        <v>28.809857496093201</v>
      </c>
      <c r="D28" s="14">
        <f t="shared" si="9"/>
        <v>19.440743788491904</v>
      </c>
      <c r="E28" s="14">
        <f t="shared" si="10"/>
        <v>42.843469184467764</v>
      </c>
      <c r="F28" s="20">
        <f t="shared" si="3"/>
        <v>204.60000000000014</v>
      </c>
      <c r="G28" s="20">
        <f t="shared" si="4"/>
        <v>19.954218754644099</v>
      </c>
      <c r="H28" s="20">
        <f t="shared" si="5"/>
        <v>21.063368217414094</v>
      </c>
      <c r="I28" s="20">
        <f t="shared" si="12"/>
        <v>208.79999999999973</v>
      </c>
      <c r="J28" s="20">
        <f t="shared" si="7"/>
        <v>16.742159919736803</v>
      </c>
      <c r="K28" s="20">
        <f t="shared" si="8"/>
        <v>19.109477955389732</v>
      </c>
    </row>
    <row r="29" spans="1:15">
      <c r="A29" s="14">
        <f t="shared" si="11"/>
        <v>28</v>
      </c>
      <c r="B29" s="14">
        <f t="shared" si="0"/>
        <v>35.244213892883906</v>
      </c>
      <c r="C29" s="14">
        <f t="shared" si="1"/>
        <v>29.042073441788361</v>
      </c>
      <c r="D29" s="14">
        <f t="shared" si="9"/>
        <v>19.80490227137928</v>
      </c>
      <c r="E29" s="14">
        <f t="shared" si="10"/>
        <v>42.884959802733746</v>
      </c>
      <c r="F29" s="20">
        <f t="shared" si="3"/>
        <v>205.62500000000014</v>
      </c>
      <c r="G29" s="20">
        <f t="shared" si="4"/>
        <v>19.971301207925165</v>
      </c>
      <c r="H29" s="20">
        <f t="shared" si="5"/>
        <v>21.026921785757121</v>
      </c>
      <c r="I29" s="20">
        <f t="shared" si="12"/>
        <v>209.99999999999972</v>
      </c>
      <c r="J29" s="20">
        <f t="shared" si="7"/>
        <v>16.803847577293354</v>
      </c>
      <c r="K29" s="20">
        <f t="shared" si="8"/>
        <v>19.000000000000025</v>
      </c>
    </row>
    <row r="30" spans="1:15">
      <c r="A30" s="14">
        <f t="shared" si="11"/>
        <v>29</v>
      </c>
      <c r="B30" s="14">
        <f t="shared" si="0"/>
        <v>35.119295607090933</v>
      </c>
      <c r="C30" s="14">
        <f t="shared" si="1"/>
        <v>29.272144303695057</v>
      </c>
      <c r="D30" s="14">
        <f t="shared" si="9"/>
        <v>20.169729402299176</v>
      </c>
      <c r="E30" s="14">
        <f t="shared" si="10"/>
        <v>42.920088659926655</v>
      </c>
      <c r="F30" s="20">
        <f t="shared" si="3"/>
        <v>206.65000000000015</v>
      </c>
      <c r="G30" s="20">
        <f t="shared" si="4"/>
        <v>19.989032905967434</v>
      </c>
      <c r="H30" s="20">
        <f t="shared" si="5"/>
        <v>20.990786768458609</v>
      </c>
      <c r="I30" s="20">
        <f t="shared" si="12"/>
        <v>211.1999999999997</v>
      </c>
      <c r="J30" s="20">
        <f t="shared" si="7"/>
        <v>16.867814439036945</v>
      </c>
      <c r="K30" s="20">
        <f t="shared" si="8"/>
        <v>18.891837943761246</v>
      </c>
    </row>
    <row r="31" spans="1:15">
      <c r="A31" s="14">
        <f t="shared" si="11"/>
        <v>30</v>
      </c>
      <c r="B31" s="14">
        <f t="shared" si="0"/>
        <v>34.99038105676658</v>
      </c>
      <c r="C31" s="14">
        <f t="shared" si="1"/>
        <v>29.5</v>
      </c>
      <c r="D31" s="14">
        <f t="shared" si="9"/>
        <v>20.53511405137337</v>
      </c>
      <c r="E31" s="14">
        <f t="shared" si="10"/>
        <v>42.948845055456303</v>
      </c>
      <c r="F31" s="20">
        <f t="shared" si="3"/>
        <v>207.67500000000015</v>
      </c>
      <c r="G31" s="20">
        <f t="shared" si="4"/>
        <v>20.007408174093076</v>
      </c>
      <c r="H31" s="20">
        <f t="shared" si="5"/>
        <v>20.954974729813241</v>
      </c>
      <c r="I31" s="20">
        <f t="shared" si="12"/>
        <v>212.39999999999969</v>
      </c>
      <c r="J31" s="20">
        <f t="shared" si="7"/>
        <v>16.934032446987892</v>
      </c>
      <c r="K31" s="20">
        <f t="shared" si="8"/>
        <v>18.785039230126046</v>
      </c>
    </row>
    <row r="32" spans="1:15">
      <c r="A32" s="14">
        <f t="shared" si="11"/>
        <v>31</v>
      </c>
      <c r="B32" s="14">
        <f t="shared" si="0"/>
        <v>34.857509510531685</v>
      </c>
      <c r="C32" s="14">
        <f t="shared" si="1"/>
        <v>29.725571123650813</v>
      </c>
      <c r="D32" s="14">
        <f t="shared" si="9"/>
        <v>20.90094491889818</v>
      </c>
      <c r="E32" s="14">
        <f t="shared" si="10"/>
        <v>42.971220229846054</v>
      </c>
      <c r="F32" s="20">
        <f t="shared" si="3"/>
        <v>208.70000000000016</v>
      </c>
      <c r="G32" s="20">
        <f t="shared" si="4"/>
        <v>20.026421131662428</v>
      </c>
      <c r="H32" s="20">
        <f t="shared" si="5"/>
        <v>20.91949713075282</v>
      </c>
      <c r="I32" s="20">
        <f t="shared" si="12"/>
        <v>213.59999999999968</v>
      </c>
      <c r="J32" s="20">
        <f t="shared" si="7"/>
        <v>17.002472555739384</v>
      </c>
      <c r="K32" s="20">
        <f t="shared" si="8"/>
        <v>18.679650704539963</v>
      </c>
    </row>
    <row r="33" spans="1:11">
      <c r="A33" s="14">
        <f t="shared" si="11"/>
        <v>32</v>
      </c>
      <c r="B33" s="14">
        <f t="shared" si="0"/>
        <v>34.720721442346388</v>
      </c>
      <c r="C33" s="14">
        <f t="shared" si="1"/>
        <v>29.948788963498075</v>
      </c>
      <c r="D33" s="14">
        <f t="shared" si="9"/>
        <v>21.267110569247485</v>
      </c>
      <c r="E33" s="14">
        <f t="shared" si="10"/>
        <v>42.987207367401012</v>
      </c>
      <c r="F33" s="20">
        <f t="shared" si="3"/>
        <v>209.72500000000016</v>
      </c>
      <c r="G33" s="20">
        <f t="shared" si="4"/>
        <v>20.046065693955999</v>
      </c>
      <c r="H33" s="20">
        <f t="shared" si="5"/>
        <v>20.884365325178379</v>
      </c>
      <c r="I33" s="20">
        <f t="shared" si="12"/>
        <v>214.79999999999967</v>
      </c>
      <c r="J33" s="20">
        <f t="shared" si="7"/>
        <v>17.073104745197757</v>
      </c>
      <c r="K33" s="20">
        <f t="shared" si="8"/>
        <v>18.575718593893438</v>
      </c>
    </row>
    <row r="34" spans="1:11">
      <c r="A34" s="14">
        <f t="shared" si="11"/>
        <v>33</v>
      </c>
      <c r="B34" s="14">
        <f t="shared" si="0"/>
        <v>34.580058519181364</v>
      </c>
      <c r="C34" s="14">
        <f t="shared" si="1"/>
        <v>30.169585525225404</v>
      </c>
      <c r="D34" s="14">
        <f t="shared" si="9"/>
        <v>21.633499464817046</v>
      </c>
      <c r="E34" s="14">
        <f t="shared" si="10"/>
        <v>42.996801598284215</v>
      </c>
      <c r="F34" s="20">
        <f t="shared" si="3"/>
        <v>210.75000000000017</v>
      </c>
      <c r="G34" s="20">
        <f t="shared" si="4"/>
        <v>20.066335574121734</v>
      </c>
      <c r="H34" s="20">
        <f t="shared" si="5"/>
        <v>20.849590556326628</v>
      </c>
      <c r="I34" s="20">
        <f t="shared" si="12"/>
        <v>215.99999999999966</v>
      </c>
      <c r="J34" s="20">
        <f t="shared" si="7"/>
        <v>17.145898033750292</v>
      </c>
      <c r="K34" s="20">
        <f t="shared" si="8"/>
        <v>18.473288486245188</v>
      </c>
    </row>
    <row r="35" spans="1:11">
      <c r="A35" s="14">
        <f t="shared" si="11"/>
        <v>34</v>
      </c>
      <c r="B35" s="14">
        <f t="shared" si="0"/>
        <v>34.435563588325628</v>
      </c>
      <c r="C35" s="14">
        <f t="shared" si="1"/>
        <v>30.3878935520612</v>
      </c>
      <c r="D35" s="14">
        <f t="shared" si="9"/>
        <v>22</v>
      </c>
      <c r="E35" s="14">
        <f t="shared" si="10"/>
        <v>43</v>
      </c>
      <c r="F35" s="20">
        <f t="shared" si="3"/>
        <v>211.77500000000018</v>
      </c>
      <c r="G35" s="20">
        <f t="shared" si="4"/>
        <v>20.087224285187027</v>
      </c>
      <c r="H35" s="20">
        <f t="shared" si="5"/>
        <v>20.815183953171754</v>
      </c>
      <c r="I35" s="20">
        <f t="shared" si="12"/>
        <v>217.19999999999965</v>
      </c>
      <c r="J35" s="20">
        <f t="shared" si="7"/>
        <v>17.220820491854802</v>
      </c>
      <c r="K35" s="20">
        <f t="shared" si="8"/>
        <v>18.37240531082578</v>
      </c>
    </row>
    <row r="36" spans="1:11">
      <c r="A36" s="14">
        <f t="shared" si="11"/>
        <v>35</v>
      </c>
      <c r="B36" s="14">
        <f t="shared" si="0"/>
        <v>34.28728066433488</v>
      </c>
      <c r="C36" s="14">
        <f t="shared" si="1"/>
        <v>30.60364654526569</v>
      </c>
      <c r="D36" s="14">
        <f t="shared" si="9"/>
        <v>22.366500535182954</v>
      </c>
      <c r="E36" s="14">
        <f t="shared" si="10"/>
        <v>42.996801598284215</v>
      </c>
      <c r="F36" s="20">
        <f t="shared" si="3"/>
        <v>212.80000000000018</v>
      </c>
      <c r="G36" s="20">
        <f t="shared" si="4"/>
        <v>20.108725142134713</v>
      </c>
      <c r="H36" s="20">
        <f t="shared" si="5"/>
        <v>20.781156526863828</v>
      </c>
      <c r="I36" s="20">
        <f t="shared" si="12"/>
        <v>218.39999999999964</v>
      </c>
      <c r="J36" s="20">
        <f t="shared" si="7"/>
        <v>17.297839256044938</v>
      </c>
      <c r="K36" s="20">
        <f t="shared" si="8"/>
        <v>18.273113318330168</v>
      </c>
    </row>
    <row r="37" spans="1:11">
      <c r="A37" s="14">
        <f t="shared" si="11"/>
        <v>36</v>
      </c>
      <c r="B37" s="14">
        <f t="shared" si="0"/>
        <v>34.135254915624216</v>
      </c>
      <c r="C37" s="14">
        <f t="shared" si="1"/>
        <v>30.816778784387097</v>
      </c>
      <c r="D37" s="14">
        <f t="shared" si="9"/>
        <v>22.732889430752522</v>
      </c>
      <c r="E37" s="14">
        <f t="shared" si="10"/>
        <v>42.987207367401012</v>
      </c>
      <c r="F37" s="20">
        <f t="shared" ref="F37:F68" si="13">MOD(F36-$E$6*$H$2,360)</f>
        <v>213.82500000000019</v>
      </c>
      <c r="G37" s="20">
        <f t="shared" si="4"/>
        <v>20.130831264042513</v>
      </c>
      <c r="H37" s="20">
        <f t="shared" si="5"/>
        <v>20.747519167204906</v>
      </c>
      <c r="I37" s="20">
        <f t="shared" si="12"/>
        <v>219.59999999999962</v>
      </c>
      <c r="J37" s="20">
        <f t="shared" si="7"/>
        <v>17.376920543345239</v>
      </c>
      <c r="K37" s="20">
        <f t="shared" si="8"/>
        <v>18.175456061507894</v>
      </c>
    </row>
    <row r="38" spans="1:11">
      <c r="A38" s="14">
        <f t="shared" si="11"/>
        <v>37</v>
      </c>
      <c r="B38" s="14">
        <f t="shared" si="0"/>
        <v>33.979532650709395</v>
      </c>
      <c r="C38" s="14">
        <f t="shared" si="1"/>
        <v>31.027225347280726</v>
      </c>
      <c r="D38" s="14">
        <f t="shared" si="9"/>
        <v>23.099055081101824</v>
      </c>
      <c r="E38" s="14">
        <f t="shared" si="10"/>
        <v>42.971220229846054</v>
      </c>
      <c r="F38" s="20">
        <f t="shared" si="13"/>
        <v>214.85000000000019</v>
      </c>
      <c r="G38" s="20">
        <f t="shared" si="4"/>
        <v>20.153535576285105</v>
      </c>
      <c r="H38" s="20">
        <f t="shared" si="5"/>
        <v>20.714282639163951</v>
      </c>
      <c r="I38" s="20">
        <f t="shared" si="12"/>
        <v>220.79999999999961</v>
      </c>
      <c r="J38" s="20">
        <f t="shared" si="7"/>
        <v>17.458029666089434</v>
      </c>
      <c r="K38" s="20">
        <f t="shared" si="8"/>
        <v>18.079476376059397</v>
      </c>
    </row>
    <row r="39" spans="1:11">
      <c r="A39" s="14">
        <f t="shared" si="11"/>
        <v>38</v>
      </c>
      <c r="B39" s="14">
        <f t="shared" si="0"/>
        <v>33.820161304100829</v>
      </c>
      <c r="C39" s="14">
        <f t="shared" si="1"/>
        <v>31.234922129884872</v>
      </c>
      <c r="D39" s="14">
        <f t="shared" si="9"/>
        <v>23.46488594862663</v>
      </c>
      <c r="E39" s="14">
        <f t="shared" si="10"/>
        <v>42.948845055456303</v>
      </c>
      <c r="F39" s="20">
        <f t="shared" si="13"/>
        <v>215.8750000000002</v>
      </c>
      <c r="G39" s="20">
        <f t="shared" si="4"/>
        <v>20.176830812798226</v>
      </c>
      <c r="H39" s="20">
        <f t="shared" si="5"/>
        <v>20.681457579431733</v>
      </c>
      <c r="I39" s="20">
        <f t="shared" si="12"/>
        <v>221.9999999999996</v>
      </c>
      <c r="J39" s="20">
        <f t="shared" si="7"/>
        <v>17.541131047135607</v>
      </c>
      <c r="K39" s="20">
        <f t="shared" si="8"/>
        <v>17.985216361846881</v>
      </c>
    </row>
    <row r="40" spans="1:11">
      <c r="A40" s="14">
        <f t="shared" si="11"/>
        <v>39</v>
      </c>
      <c r="B40" s="14">
        <f t="shared" si="0"/>
        <v>33.657189421854568</v>
      </c>
      <c r="C40" s="14">
        <f t="shared" si="1"/>
        <v>31.439805865747562</v>
      </c>
      <c r="D40" s="14">
        <f t="shared" si="9"/>
        <v>23.830270597700824</v>
      </c>
      <c r="E40" s="14">
        <f t="shared" si="10"/>
        <v>42.920088659926655</v>
      </c>
      <c r="F40" s="20">
        <f t="shared" si="13"/>
        <v>216.9000000000002</v>
      </c>
      <c r="G40" s="20">
        <f t="shared" si="4"/>
        <v>20.20070951840405</v>
      </c>
      <c r="H40" s="20">
        <f t="shared" si="5"/>
        <v>20.649054493016756</v>
      </c>
      <c r="I40" s="20">
        <f t="shared" si="12"/>
        <v>223.19999999999959</v>
      </c>
      <c r="J40" s="20">
        <f t="shared" si="7"/>
        <v>17.626188235471503</v>
      </c>
      <c r="K40" s="20">
        <f t="shared" si="8"/>
        <v>17.892717364427899</v>
      </c>
    </row>
    <row r="41" spans="1:11">
      <c r="A41" s="14">
        <f t="shared" si="11"/>
        <v>40</v>
      </c>
      <c r="B41" s="14">
        <f t="shared" si="0"/>
        <v>33.490666646784668</v>
      </c>
      <c r="C41" s="14">
        <f t="shared" si="1"/>
        <v>31.641814145298088</v>
      </c>
      <c r="D41" s="14">
        <f t="shared" si="9"/>
        <v>24.195097728620723</v>
      </c>
      <c r="E41" s="14">
        <f t="shared" si="10"/>
        <v>42.884959802733739</v>
      </c>
      <c r="F41" s="20">
        <f t="shared" si="13"/>
        <v>217.92500000000021</v>
      </c>
      <c r="G41" s="20">
        <f t="shared" si="4"/>
        <v>20.225164051197044</v>
      </c>
      <c r="H41" s="20">
        <f t="shared" si="5"/>
        <v>20.617083749883342</v>
      </c>
      <c r="I41" s="20">
        <f t="shared" si="12"/>
        <v>224.39999999999958</v>
      </c>
      <c r="J41" s="20">
        <f t="shared" si="7"/>
        <v>17.713163922203147</v>
      </c>
      <c r="K41" s="20">
        <f t="shared" si="8"/>
        <v>17.802019956919839</v>
      </c>
    </row>
    <row r="42" spans="1:11">
      <c r="A42" s="14">
        <f t="shared" si="11"/>
        <v>41</v>
      </c>
      <c r="B42" s="14">
        <f t="shared" si="0"/>
        <v>33.320643703341581</v>
      </c>
      <c r="C42" s="14">
        <f t="shared" si="1"/>
        <v>31.840885434857611</v>
      </c>
      <c r="D42" s="14">
        <f t="shared" si="9"/>
        <v>24.559256211508096</v>
      </c>
      <c r="E42" s="14">
        <f t="shared" si="10"/>
        <v>42.843469184467764</v>
      </c>
      <c r="F42" s="20">
        <f t="shared" si="13"/>
        <v>218.95000000000022</v>
      </c>
      <c r="G42" s="20">
        <f t="shared" si="4"/>
        <v>20.250186584989621</v>
      </c>
      <c r="H42" s="20">
        <f t="shared" si="5"/>
        <v>20.585555581632946</v>
      </c>
      <c r="I42" s="20">
        <f t="shared" si="12"/>
        <v>225.59999999999957</v>
      </c>
      <c r="J42" s="20">
        <f t="shared" si="7"/>
        <v>17.802019956919775</v>
      </c>
      <c r="K42" s="20">
        <f t="shared" si="8"/>
        <v>17.713163922203211</v>
      </c>
    </row>
    <row r="43" spans="1:11">
      <c r="A43" s="14">
        <f t="shared" si="11"/>
        <v>42</v>
      </c>
      <c r="B43" s="14">
        <f t="shared" si="0"/>
        <v>33.147172382160917</v>
      </c>
      <c r="C43" s="14">
        <f t="shared" si="1"/>
        <v>32.036959095382869</v>
      </c>
      <c r="D43" s="14">
        <f t="shared" si="9"/>
        <v>24.922635120161374</v>
      </c>
      <c r="E43" s="14">
        <f t="shared" si="10"/>
        <v>42.795629443572977</v>
      </c>
      <c r="F43" s="20">
        <f t="shared" si="13"/>
        <v>219.97500000000022</v>
      </c>
      <c r="G43" s="20">
        <f t="shared" si="4"/>
        <v>20.275769111816754</v>
      </c>
      <c r="H43" s="20">
        <f t="shared" si="5"/>
        <v>20.554480078229698</v>
      </c>
      <c r="I43" s="20">
        <f t="shared" si="12"/>
        <v>226.79999999999956</v>
      </c>
      <c r="J43" s="20">
        <f t="shared" si="7"/>
        <v>17.892717364427831</v>
      </c>
      <c r="K43" s="20">
        <f t="shared" si="8"/>
        <v>17.626188235471563</v>
      </c>
    </row>
    <row r="44" spans="1:11">
      <c r="A44" s="14">
        <f t="shared" si="11"/>
        <v>43</v>
      </c>
      <c r="B44" s="14">
        <f t="shared" si="0"/>
        <v>32.970305524287554</v>
      </c>
      <c r="C44" s="14">
        <f t="shared" si="1"/>
        <v>32.229975400937477</v>
      </c>
      <c r="D44" s="14">
        <f t="shared" si="9"/>
        <v>25.285123765844851</v>
      </c>
      <c r="E44" s="14">
        <f t="shared" si="10"/>
        <v>42.741455152497892</v>
      </c>
      <c r="F44" s="20">
        <f t="shared" si="13"/>
        <v>221.00000000000023</v>
      </c>
      <c r="G44" s="20">
        <f t="shared" si="4"/>
        <v>20.30190344449877</v>
      </c>
      <c r="H44" s="20">
        <f t="shared" si="5"/>
        <v>20.523867184771351</v>
      </c>
      <c r="I44" s="20">
        <f t="shared" si="12"/>
        <v>227.99999999999955</v>
      </c>
      <c r="J44" s="20">
        <f t="shared" si="7"/>
        <v>17.985216361846817</v>
      </c>
      <c r="K44" s="20">
        <f t="shared" si="8"/>
        <v>17.541131047135664</v>
      </c>
    </row>
    <row r="45" spans="1:11">
      <c r="A45" s="14">
        <f t="shared" si="11"/>
        <v>44</v>
      </c>
      <c r="B45" s="14">
        <f t="shared" si="0"/>
        <v>32.790097005079765</v>
      </c>
      <c r="C45" s="14">
        <f t="shared" si="1"/>
        <v>32.419875556884961</v>
      </c>
      <c r="D45" s="14">
        <f t="shared" si="9"/>
        <v>25.646611731005539</v>
      </c>
      <c r="E45" s="14">
        <f t="shared" si="10"/>
        <v>42.680962813256372</v>
      </c>
      <c r="F45" s="20">
        <f t="shared" si="13"/>
        <v>222.02500000000023</v>
      </c>
      <c r="G45" s="20">
        <f t="shared" si="4"/>
        <v>20.32858121926148</v>
      </c>
      <c r="H45" s="20">
        <f t="shared" si="5"/>
        <v>20.493726698306528</v>
      </c>
      <c r="I45" s="20">
        <f t="shared" si="12"/>
        <v>229.19999999999953</v>
      </c>
      <c r="J45" s="20">
        <f t="shared" si="7"/>
        <v>18.079476376059329</v>
      </c>
      <c r="K45" s="20">
        <f t="shared" si="8"/>
        <v>17.458029666089494</v>
      </c>
    </row>
    <row r="46" spans="1:11">
      <c r="A46" s="14">
        <f t="shared" si="11"/>
        <v>45</v>
      </c>
      <c r="B46" s="14">
        <f t="shared" si="0"/>
        <v>32.606601717798213</v>
      </c>
      <c r="C46" s="14">
        <f t="shared" si="1"/>
        <v>32.606601717798213</v>
      </c>
      <c r="D46" s="14">
        <f t="shared" si="9"/>
        <v>26.006988902907445</v>
      </c>
      <c r="E46" s="14">
        <f t="shared" si="10"/>
        <v>42.614170852400946</v>
      </c>
      <c r="F46" s="20">
        <f t="shared" si="13"/>
        <v>223.05000000000024</v>
      </c>
      <c r="G46" s="20">
        <f t="shared" si="4"/>
        <v>20.355793898412859</v>
      </c>
      <c r="H46" s="20">
        <f t="shared" si="5"/>
        <v>20.464068264699367</v>
      </c>
      <c r="I46" s="20">
        <f t="shared" si="12"/>
        <v>230.39999999999952</v>
      </c>
      <c r="J46" s="20">
        <f t="shared" si="7"/>
        <v>18.175456061507823</v>
      </c>
      <c r="K46" s="20">
        <f t="shared" si="8"/>
        <v>17.3769205433453</v>
      </c>
    </row>
    <row r="47" spans="1:11">
      <c r="A47" s="14">
        <f t="shared" si="11"/>
        <v>46</v>
      </c>
      <c r="B47" s="14">
        <f t="shared" si="0"/>
        <v>32.419875556884961</v>
      </c>
      <c r="C47" s="14">
        <f t="shared" si="1"/>
        <v>32.790097005079765</v>
      </c>
      <c r="D47" s="14">
        <f t="shared" si="9"/>
        <v>26.366145507172945</v>
      </c>
      <c r="E47" s="14">
        <f t="shared" si="10"/>
        <v>42.541099615409919</v>
      </c>
      <c r="F47" s="20">
        <f t="shared" si="13"/>
        <v>224.07500000000024</v>
      </c>
      <c r="G47" s="20">
        <f t="shared" si="4"/>
        <v>20.383532773075348</v>
      </c>
      <c r="H47" s="20">
        <f t="shared" si="5"/>
        <v>20.434901375542573</v>
      </c>
      <c r="I47" s="20">
        <f t="shared" si="12"/>
        <v>231.59999999999951</v>
      </c>
      <c r="J47" s="20">
        <f t="shared" si="7"/>
        <v>18.273113318330093</v>
      </c>
      <c r="K47" s="20">
        <f t="shared" si="8"/>
        <v>17.297839256044995</v>
      </c>
    </row>
    <row r="48" spans="1:11">
      <c r="A48" s="14">
        <f t="shared" si="11"/>
        <v>47</v>
      </c>
      <c r="B48" s="14">
        <f t="shared" si="0"/>
        <v>32.229975400937477</v>
      </c>
      <c r="C48" s="14">
        <f t="shared" si="1"/>
        <v>32.970305524287554</v>
      </c>
      <c r="D48" s="14">
        <f t="shared" si="9"/>
        <v>26.723972141221168</v>
      </c>
      <c r="E48" s="14">
        <f t="shared" si="10"/>
        <v>42.461771360489934</v>
      </c>
      <c r="F48" s="20">
        <f t="shared" si="13"/>
        <v>225.10000000000025</v>
      </c>
      <c r="G48" s="20">
        <f t="shared" si="4"/>
        <v>20.411788965972974</v>
      </c>
      <c r="H48" s="20">
        <f t="shared" si="5"/>
        <v>20.406235365119805</v>
      </c>
      <c r="I48" s="20">
        <f t="shared" si="12"/>
        <v>232.7999999999995</v>
      </c>
      <c r="J48" s="20">
        <f t="shared" si="7"/>
        <v>18.372405310825709</v>
      </c>
      <c r="K48" s="20">
        <f t="shared" si="8"/>
        <v>17.220820491854852</v>
      </c>
    </row>
    <row r="49" spans="1:11">
      <c r="A49" s="14">
        <f t="shared" si="11"/>
        <v>48</v>
      </c>
      <c r="B49" s="14">
        <f t="shared" si="0"/>
        <v>32.036959095382869</v>
      </c>
      <c r="C49" s="14">
        <f t="shared" si="1"/>
        <v>33.14717238216091</v>
      </c>
      <c r="D49" s="14">
        <f t="shared" si="9"/>
        <v>27.08035980759302</v>
      </c>
      <c r="E49" s="14">
        <f t="shared" si="10"/>
        <v>42.376210251795925</v>
      </c>
      <c r="F49" s="20">
        <f t="shared" si="13"/>
        <v>226.12500000000026</v>
      </c>
      <c r="G49" s="20">
        <f t="shared" si="4"/>
        <v>20.440553434272328</v>
      </c>
      <c r="H49" s="20">
        <f t="shared" si="5"/>
        <v>20.378079407418426</v>
      </c>
      <c r="I49" s="20">
        <f t="shared" si="12"/>
        <v>233.99999999999949</v>
      </c>
      <c r="J49" s="20">
        <f t="shared" si="7"/>
        <v>18.473288486245117</v>
      </c>
      <c r="K49" s="20">
        <f t="shared" si="8"/>
        <v>17.145898033750349</v>
      </c>
    </row>
    <row r="50" spans="1:11">
      <c r="A50" s="14">
        <f t="shared" si="11"/>
        <v>49</v>
      </c>
      <c r="B50" s="14">
        <f t="shared" si="0"/>
        <v>31.840885434857611</v>
      </c>
      <c r="C50" s="14">
        <f t="shared" si="1"/>
        <v>33.320643703341581</v>
      </c>
      <c r="D50" s="14">
        <f t="shared" si="9"/>
        <v>27.435199947152935</v>
      </c>
      <c r="E50" s="14">
        <f t="shared" si="10"/>
        <v>42.284442352070435</v>
      </c>
      <c r="F50" s="20">
        <f t="shared" si="13"/>
        <v>227.15000000000026</v>
      </c>
      <c r="G50" s="20">
        <f t="shared" si="4"/>
        <v>20.469816972476547</v>
      </c>
      <c r="H50" s="20">
        <f t="shared" si="5"/>
        <v>20.350442513193563</v>
      </c>
      <c r="I50" s="20">
        <f t="shared" si="12"/>
        <v>235.19999999999948</v>
      </c>
      <c r="J50" s="20">
        <f t="shared" si="7"/>
        <v>18.575718593893363</v>
      </c>
      <c r="K50" s="20">
        <f t="shared" si="8"/>
        <v>17.07310474519781</v>
      </c>
    </row>
    <row r="51" spans="1:11">
      <c r="A51" s="14">
        <f t="shared" si="11"/>
        <v>50</v>
      </c>
      <c r="B51" s="14">
        <f t="shared" si="0"/>
        <v>31.641814145298092</v>
      </c>
      <c r="C51" s="14">
        <f t="shared" si="1"/>
        <v>33.490666646784668</v>
      </c>
      <c r="D51" s="14">
        <f t="shared" si="9"/>
        <v>27.788384472156981</v>
      </c>
      <c r="E51" s="14">
        <f t="shared" si="10"/>
        <v>42.186495614704697</v>
      </c>
      <c r="F51" s="20">
        <f t="shared" si="13"/>
        <v>228.17500000000027</v>
      </c>
      <c r="G51" s="20">
        <f t="shared" si="4"/>
        <v>20.499570215371374</v>
      </c>
      <c r="H51" s="20">
        <f t="shared" si="5"/>
        <v>20.323333527084383</v>
      </c>
      <c r="I51" s="20">
        <f t="shared" si="12"/>
        <v>236.39999999999947</v>
      </c>
      <c r="J51" s="20">
        <f t="shared" si="7"/>
        <v>18.679650704539885</v>
      </c>
      <c r="K51" s="20">
        <f t="shared" si="8"/>
        <v>17.002472555739438</v>
      </c>
    </row>
    <row r="52" spans="1:11">
      <c r="A52" s="14">
        <f t="shared" si="11"/>
        <v>51</v>
      </c>
      <c r="B52" s="14">
        <f t="shared" si="0"/>
        <v>31.439805865747562</v>
      </c>
      <c r="C52" s="14">
        <f t="shared" si="1"/>
        <v>33.657189421854561</v>
      </c>
      <c r="D52" s="14">
        <f t="shared" si="9"/>
        <v>28.139805799177473</v>
      </c>
      <c r="E52" s="14">
        <f t="shared" si="10"/>
        <v>42.082399875223743</v>
      </c>
      <c r="F52" s="20">
        <f t="shared" si="13"/>
        <v>229.20000000000027</v>
      </c>
      <c r="G52" s="20">
        <f t="shared" si="4"/>
        <v>20.529803641022269</v>
      </c>
      <c r="H52" s="20">
        <f t="shared" si="5"/>
        <v>20.296761124783544</v>
      </c>
      <c r="I52" s="20">
        <f t="shared" si="12"/>
        <v>237.59999999999945</v>
      </c>
      <c r="J52" s="20">
        <f t="shared" si="7"/>
        <v>18.785039230125975</v>
      </c>
      <c r="K52" s="20">
        <f t="shared" si="8"/>
        <v>16.934032446987938</v>
      </c>
    </row>
    <row r="53" spans="1:11">
      <c r="A53" s="14">
        <f t="shared" si="11"/>
        <v>52</v>
      </c>
      <c r="B53" s="14">
        <f t="shared" si="0"/>
        <v>31.234922129884872</v>
      </c>
      <c r="C53" s="14">
        <f t="shared" si="1"/>
        <v>33.820161304100829</v>
      </c>
      <c r="D53" s="14">
        <f t="shared" si="9"/>
        <v>28.489356881873896</v>
      </c>
      <c r="E53" s="14">
        <f t="shared" si="10"/>
        <v>41.972186842198226</v>
      </c>
      <c r="F53" s="20">
        <f t="shared" si="13"/>
        <v>230.22500000000028</v>
      </c>
      <c r="G53" s="20">
        <f t="shared" si="4"/>
        <v>20.560507573821756</v>
      </c>
      <c r="H53" s="20">
        <f t="shared" si="5"/>
        <v>20.270733810260701</v>
      </c>
      <c r="I53" s="20">
        <f t="shared" si="12"/>
        <v>238.79999999999944</v>
      </c>
      <c r="J53" s="20">
        <f t="shared" si="7"/>
        <v>18.891837943761168</v>
      </c>
      <c r="K53" s="20">
        <f t="shared" si="8"/>
        <v>16.867814439036991</v>
      </c>
    </row>
    <row r="54" spans="1:11">
      <c r="A54" s="14">
        <f t="shared" si="11"/>
        <v>53</v>
      </c>
      <c r="B54" s="14">
        <f t="shared" si="0"/>
        <v>31.027225347280726</v>
      </c>
      <c r="C54" s="14">
        <f t="shared" si="1"/>
        <v>33.979532650709395</v>
      </c>
      <c r="D54" s="14">
        <f t="shared" si="9"/>
        <v>28.83693124360029</v>
      </c>
      <c r="E54" s="14">
        <f t="shared" si="10"/>
        <v>41.855890087585649</v>
      </c>
      <c r="F54" s="20">
        <f t="shared" si="13"/>
        <v>231.25000000000028</v>
      </c>
      <c r="G54" s="20">
        <f t="shared" si="4"/>
        <v>20.591672187585875</v>
      </c>
      <c r="H54" s="20">
        <f t="shared" si="5"/>
        <v>20.245259913041011</v>
      </c>
      <c r="I54" s="20">
        <f t="shared" si="12"/>
        <v>239.99999999999943</v>
      </c>
      <c r="J54" s="20">
        <f t="shared" si="7"/>
        <v>18.999999999999947</v>
      </c>
      <c r="K54" s="20">
        <f t="shared" si="8"/>
        <v>16.8038475772934</v>
      </c>
    </row>
    <row r="55" spans="1:11">
      <c r="A55" s="14">
        <f t="shared" si="11"/>
        <v>54</v>
      </c>
      <c r="B55" s="14">
        <f t="shared" si="0"/>
        <v>30.816778784387097</v>
      </c>
      <c r="C55" s="14">
        <f t="shared" si="1"/>
        <v>34.135254915624216</v>
      </c>
      <c r="D55" s="14">
        <f t="shared" si="9"/>
        <v>29.182423009839045</v>
      </c>
      <c r="E55" s="14">
        <f t="shared" si="10"/>
        <v>41.733545036504069</v>
      </c>
      <c r="F55" s="20">
        <f t="shared" si="13"/>
        <v>232.27500000000029</v>
      </c>
      <c r="G55" s="20">
        <f t="shared" si="4"/>
        <v>20.62328750869888</v>
      </c>
      <c r="H55" s="20">
        <f t="shared" si="5"/>
        <v>20.220347585539393</v>
      </c>
      <c r="I55" s="20">
        <f t="shared" si="12"/>
        <v>241.19999999999942</v>
      </c>
      <c r="J55" s="20">
        <f t="shared" si="7"/>
        <v>19.109477955389654</v>
      </c>
      <c r="K55" s="20">
        <f t="shared" si="8"/>
        <v>16.742159919736849</v>
      </c>
    </row>
    <row r="56" spans="1:11">
      <c r="A56" s="14">
        <f t="shared" si="11"/>
        <v>55</v>
      </c>
      <c r="B56" s="14">
        <f t="shared" si="0"/>
        <v>30.60364654526569</v>
      </c>
      <c r="C56" s="14">
        <f t="shared" si="1"/>
        <v>34.28728066433488</v>
      </c>
      <c r="D56" s="6">
        <f>D55</f>
        <v>29.182423009839045</v>
      </c>
      <c r="E56" s="6">
        <f>E55</f>
        <v>41.733545036504069</v>
      </c>
      <c r="F56" s="20">
        <f t="shared" si="13"/>
        <v>233.3000000000003</v>
      </c>
      <c r="G56" s="20">
        <f t="shared" si="4"/>
        <v>20.655343419305087</v>
      </c>
      <c r="H56" s="20">
        <f t="shared" si="5"/>
        <v>20.196004800451547</v>
      </c>
      <c r="I56" s="20">
        <f t="shared" si="12"/>
        <v>242.39999999999941</v>
      </c>
      <c r="J56" s="20">
        <f t="shared" si="7"/>
        <v>19.220223789280777</v>
      </c>
      <c r="K56" s="20">
        <f t="shared" si="8"/>
        <v>16.68277852461274</v>
      </c>
    </row>
    <row r="57" spans="1:11">
      <c r="A57" s="14">
        <f t="shared" si="11"/>
        <v>56</v>
      </c>
      <c r="B57" s="14">
        <f t="shared" si="0"/>
        <v>30.3878935520612</v>
      </c>
      <c r="C57" s="14">
        <f t="shared" si="1"/>
        <v>34.435563588325628</v>
      </c>
      <c r="D57" s="6">
        <f>COS((90-35*$E$6)/180*PI())*$E$7+$D$56</f>
        <v>28.608846573487998</v>
      </c>
      <c r="E57" s="6">
        <f>SIN((90-35*$E$6)/180*PI())*$E$7+$E$56</f>
        <v>42.55269708079306</v>
      </c>
      <c r="F57" s="20">
        <f t="shared" si="13"/>
        <v>234.3250000000003</v>
      </c>
      <c r="G57" s="20">
        <f t="shared" si="4"/>
        <v>20.687829660546889</v>
      </c>
      <c r="H57" s="20">
        <f t="shared" si="5"/>
        <v>20.172239348202421</v>
      </c>
      <c r="I57" s="20">
        <f t="shared" si="12"/>
        <v>243.5999999999994</v>
      </c>
      <c r="J57" s="20">
        <f t="shared" si="7"/>
        <v>19.332188924890378</v>
      </c>
      <c r="K57" s="20">
        <f t="shared" si="8"/>
        <v>16.62572943856355</v>
      </c>
    </row>
    <row r="58" spans="1:11">
      <c r="A58" s="14">
        <f t="shared" si="11"/>
        <v>57</v>
      </c>
      <c r="B58" s="14">
        <f t="shared" si="0"/>
        <v>30.169585525225408</v>
      </c>
      <c r="C58" s="14">
        <f t="shared" si="1"/>
        <v>34.580058519181357</v>
      </c>
      <c r="D58" s="6">
        <f>D56</f>
        <v>29.182423009839045</v>
      </c>
      <c r="E58" s="6">
        <f>E56</f>
        <v>41.733545036504069</v>
      </c>
      <c r="F58" s="20">
        <f t="shared" si="13"/>
        <v>235.35000000000031</v>
      </c>
      <c r="G58" s="20">
        <f t="shared" si="4"/>
        <v>20.720735835847915</v>
      </c>
      <c r="H58" s="20">
        <f t="shared" si="5"/>
        <v>20.149058834453058</v>
      </c>
      <c r="I58" s="20">
        <f t="shared" si="12"/>
        <v>244.79999999999939</v>
      </c>
      <c r="J58" s="20">
        <f t="shared" si="7"/>
        <v>19.445324250609502</v>
      </c>
      <c r="K58" s="20">
        <f t="shared" si="8"/>
        <v>16.571037685203912</v>
      </c>
    </row>
    <row r="59" spans="1:11">
      <c r="A59" s="14">
        <f t="shared" si="11"/>
        <v>58</v>
      </c>
      <c r="B59" s="14">
        <f t="shared" si="0"/>
        <v>29.948788963498075</v>
      </c>
      <c r="C59" s="14">
        <f t="shared" si="1"/>
        <v>34.720721442346388</v>
      </c>
      <c r="D59" s="6">
        <f>COS((90-115*$E$6)/180*PI())*$E$7+$D$56</f>
        <v>28.276115222802396</v>
      </c>
      <c r="E59" s="6">
        <f>SIN((90-115*$E$6)/180*PI())*$E$7+$E$56</f>
        <v>41.310926774763367</v>
      </c>
      <c r="F59" s="20">
        <f t="shared" si="13"/>
        <v>236.37500000000031</v>
      </c>
      <c r="G59" s="20">
        <f t="shared" si="4"/>
        <v>20.754051414240227</v>
      </c>
      <c r="H59" s="20">
        <f t="shared" si="5"/>
        <v>20.126470677666553</v>
      </c>
      <c r="I59" s="20">
        <f t="shared" si="12"/>
        <v>245.99999999999937</v>
      </c>
      <c r="J59" s="20">
        <f t="shared" si="7"/>
        <v>19.559580141545137</v>
      </c>
      <c r="K59" s="20">
        <f t="shared" si="8"/>
        <v>16.518727254144423</v>
      </c>
    </row>
    <row r="60" spans="1:11">
      <c r="A60" s="14">
        <f t="shared" si="11"/>
        <v>59</v>
      </c>
      <c r="B60" s="14">
        <f t="shared" si="0"/>
        <v>29.725571123650816</v>
      </c>
      <c r="C60" s="14">
        <f t="shared" si="1"/>
        <v>34.857509510531685</v>
      </c>
      <c r="D60" s="14" t="s">
        <v>95</v>
      </c>
      <c r="F60" s="20">
        <f t="shared" si="13"/>
        <v>237.40000000000032</v>
      </c>
      <c r="G60" s="20">
        <f t="shared" si="4"/>
        <v>20.787765733734567</v>
      </c>
      <c r="H60" s="20">
        <f t="shared" si="5"/>
        <v>20.104482106733911</v>
      </c>
      <c r="I60" s="20">
        <f t="shared" si="12"/>
        <v>247.19999999999936</v>
      </c>
      <c r="J60" s="20">
        <f t="shared" si="7"/>
        <v>19.674906481287316</v>
      </c>
      <c r="K60" s="20">
        <f t="shared" si="8"/>
        <v>16.468821090469024</v>
      </c>
    </row>
    <row r="61" spans="1:11">
      <c r="A61" s="14">
        <f t="shared" si="11"/>
        <v>60</v>
      </c>
      <c r="B61" s="14">
        <f t="shared" si="0"/>
        <v>29.5</v>
      </c>
      <c r="C61" s="14">
        <f t="shared" si="1"/>
        <v>34.99038105676658</v>
      </c>
      <c r="D61" s="14">
        <f>E2</f>
        <v>22</v>
      </c>
      <c r="E61" s="14">
        <f>E3</f>
        <v>22</v>
      </c>
      <c r="F61" s="20">
        <f t="shared" si="13"/>
        <v>238.42500000000032</v>
      </c>
      <c r="G61" s="20">
        <f t="shared" si="4"/>
        <v>20.821868004732501</v>
      </c>
      <c r="H61" s="20">
        <f t="shared" si="5"/>
        <v>20.083100158660599</v>
      </c>
      <c r="I61" s="20">
        <f t="shared" si="12"/>
        <v>248.39999999999935</v>
      </c>
      <c r="J61" s="20">
        <f t="shared" si="7"/>
        <v>19.791252683891869</v>
      </c>
      <c r="K61" s="20">
        <f t="shared" si="8"/>
        <v>16.421341084670516</v>
      </c>
    </row>
    <row r="62" spans="1:11">
      <c r="A62" s="14">
        <f t="shared" si="11"/>
        <v>61</v>
      </c>
      <c r="B62" s="14">
        <f t="shared" si="0"/>
        <v>29.272144303695057</v>
      </c>
      <c r="C62" s="14">
        <f t="shared" si="1"/>
        <v>35.119295607090933</v>
      </c>
      <c r="D62" s="14" t="s">
        <v>98</v>
      </c>
      <c r="F62" s="20">
        <f t="shared" si="13"/>
        <v>239.45000000000033</v>
      </c>
      <c r="G62" s="20">
        <f t="shared" si="4"/>
        <v>20.856347313479414</v>
      </c>
      <c r="H62" s="20">
        <f t="shared" si="5"/>
        <v>20.062331676314482</v>
      </c>
      <c r="I62" s="20">
        <f t="shared" si="12"/>
        <v>249.59999999999934</v>
      </c>
      <c r="J62" s="20">
        <f t="shared" si="7"/>
        <v>19.908567716069044</v>
      </c>
      <c r="K62" s="20">
        <f t="shared" si="8"/>
        <v>16.376308063048675</v>
      </c>
    </row>
    <row r="63" spans="1:11">
      <c r="A63" s="14">
        <f t="shared" si="11"/>
        <v>62</v>
      </c>
      <c r="B63" s="14">
        <f t="shared" si="0"/>
        <v>29.042073441788361</v>
      </c>
      <c r="C63" s="14">
        <f t="shared" si="1"/>
        <v>35.244213892883906</v>
      </c>
      <c r="D63" t="s">
        <v>96</v>
      </c>
      <c r="E63">
        <f>E8</f>
        <v>2</v>
      </c>
      <c r="F63" s="20">
        <f t="shared" si="13"/>
        <v>240.47500000000034</v>
      </c>
      <c r="G63" s="20">
        <f t="shared" si="4"/>
        <v>20.891192625557263</v>
      </c>
      <c r="H63" s="20">
        <f t="shared" si="5"/>
        <v>20.042183306235898</v>
      </c>
      <c r="I63" s="20">
        <f t="shared" si="12"/>
        <v>250.79999999999933</v>
      </c>
      <c r="J63" s="20">
        <f t="shared" si="7"/>
        <v>20.026800119568431</v>
      </c>
      <c r="K63" s="20">
        <f t="shared" si="8"/>
        <v>16.333741778575138</v>
      </c>
    </row>
    <row r="64" spans="1:11">
      <c r="A64" s="14">
        <f t="shared" si="11"/>
        <v>63</v>
      </c>
      <c r="B64" s="14">
        <f t="shared" si="0"/>
        <v>28.809857496093201</v>
      </c>
      <c r="C64" s="14">
        <f t="shared" si="1"/>
        <v>35.365097862825515</v>
      </c>
      <c r="D64" t="s">
        <v>104</v>
      </c>
      <c r="E64">
        <v>1.3</v>
      </c>
      <c r="F64" s="20">
        <f t="shared" si="13"/>
        <v>241.50000000000034</v>
      </c>
      <c r="G64" s="20">
        <f t="shared" si="4"/>
        <v>20.926392789415893</v>
      </c>
      <c r="H64" s="20">
        <f t="shared" si="5"/>
        <v>20.022661496510572</v>
      </c>
      <c r="I64" s="20">
        <f t="shared" si="12"/>
        <v>251.99999999999932</v>
      </c>
      <c r="J64" s="20">
        <f t="shared" si="7"/>
        <v>20.145898033750242</v>
      </c>
      <c r="K64" s="20">
        <f t="shared" si="8"/>
        <v>16.293660902229103</v>
      </c>
    </row>
    <row r="65" spans="1:11">
      <c r="A65" s="14">
        <f t="shared" si="11"/>
        <v>64</v>
      </c>
      <c r="B65" s="14">
        <f t="shared" ref="B65:B128" si="14">COS(A65/180*PI())*$E$1+$E$2</f>
        <v>28.575567201836162</v>
      </c>
      <c r="C65" s="14">
        <f t="shared" ref="C65:C128" si="15">SIN(A65/180*PI())*$E$1+$E$3</f>
        <v>35.481910694487503</v>
      </c>
      <c r="D65" t="s">
        <v>105</v>
      </c>
      <c r="E65" s="14">
        <f>E9</f>
        <v>2</v>
      </c>
      <c r="F65" s="20">
        <f t="shared" si="13"/>
        <v>242.52500000000035</v>
      </c>
      <c r="G65" s="20">
        <f t="shared" si="4"/>
        <v>20.961936539941888</v>
      </c>
      <c r="H65" s="20">
        <f t="shared" si="5"/>
        <v>20.00377249470603</v>
      </c>
      <c r="I65" s="20">
        <f t="shared" si="12"/>
        <v>253.19999999999931</v>
      </c>
      <c r="J65" s="20">
        <f t="shared" si="7"/>
        <v>20.2658092183331</v>
      </c>
      <c r="K65" s="20">
        <f t="shared" si="8"/>
        <v>16.256083014807615</v>
      </c>
    </row>
    <row r="66" spans="1:11">
      <c r="A66" s="14">
        <f t="shared" si="11"/>
        <v>65</v>
      </c>
      <c r="B66" s="14">
        <f t="shared" si="14"/>
        <v>28.339273926110494</v>
      </c>
      <c r="C66" s="14">
        <f t="shared" si="15"/>
        <v>35.594616805549748</v>
      </c>
      <c r="D66" s="14">
        <f>COS($M$2/180*PI())*$E$1*$E$64+$E$2</f>
        <v>2.5</v>
      </c>
      <c r="E66" s="14">
        <f>SIN($M$2/180*PI())*$E$1*$E$64+$E$3</f>
        <v>22.000000000000004</v>
      </c>
      <c r="F66" s="20">
        <f t="shared" si="13"/>
        <v>243.55000000000035</v>
      </c>
      <c r="G66" s="20">
        <f t="shared" si="4"/>
        <v>20.997812502063745</v>
      </c>
      <c r="H66" s="20">
        <f t="shared" si="5"/>
        <v>19.985522345872194</v>
      </c>
      <c r="I66" s="20">
        <f t="shared" si="12"/>
        <v>254.3999999999993</v>
      </c>
      <c r="J66" s="20">
        <f t="shared" si="7"/>
        <v>20.386481076308332</v>
      </c>
      <c r="K66" s="20">
        <f t="shared" si="8"/>
        <v>16.221024599214072</v>
      </c>
    </row>
    <row r="67" spans="1:11">
      <c r="A67" s="14">
        <f t="shared" si="11"/>
        <v>66</v>
      </c>
      <c r="B67" s="14">
        <f t="shared" si="14"/>
        <v>28.101049646137007</v>
      </c>
      <c r="C67" s="14">
        <f t="shared" si="15"/>
        <v>35.703181864639014</v>
      </c>
      <c r="D67">
        <f>COS($M$2/180*PI())*($E$1*$E$64+$E$63)+$E$2</f>
        <v>0.5</v>
      </c>
      <c r="E67">
        <f>SIN($M$2/180*PI())*($E$1*$E$64+$E$63)+$E$3</f>
        <v>22.000000000000004</v>
      </c>
      <c r="F67" s="20">
        <f t="shared" si="13"/>
        <v>244.57500000000036</v>
      </c>
      <c r="G67" s="20">
        <f t="shared" si="4"/>
        <v>21.034009194392233</v>
      </c>
      <c r="H67" s="20">
        <f t="shared" si="5"/>
        <v>19.967916890606769</v>
      </c>
      <c r="I67" s="20">
        <f t="shared" si="12"/>
        <v>255.59999999999928</v>
      </c>
      <c r="J67" s="20">
        <f t="shared" si="7"/>
        <v>20.507860677010797</v>
      </c>
      <c r="K67" s="20">
        <f t="shared" si="8"/>
        <v>16.188501033228231</v>
      </c>
    </row>
    <row r="68" spans="1:11">
      <c r="A68" s="14">
        <f t="shared" si="11"/>
        <v>67</v>
      </c>
      <c r="B68" s="14">
        <f t="shared" si="14"/>
        <v>27.860966927339106</v>
      </c>
      <c r="C68" s="14">
        <f t="shared" si="15"/>
        <v>35.807572801786606</v>
      </c>
      <c r="D68" s="6">
        <f>COS(($M$2-90)/180*PI())*$E$65/2+$D$69</f>
        <v>2.5</v>
      </c>
      <c r="E68" s="6">
        <f>SIN(($M$2-90)/180*PI())*$E$65/2+$E$69</f>
        <v>23.000000000000004</v>
      </c>
      <c r="F68" s="20">
        <f t="shared" si="13"/>
        <v>245.60000000000036</v>
      </c>
      <c r="G68" s="20">
        <f t="shared" si="4"/>
        <v>21.070515032894797</v>
      </c>
      <c r="H68" s="20">
        <f t="shared" si="5"/>
        <v>19.950961763186093</v>
      </c>
      <c r="I68" s="20">
        <f t="shared" si="12"/>
        <v>256.79999999999927</v>
      </c>
      <c r="J68" s="20">
        <f t="shared" si="7"/>
        <v>20.629894779335988</v>
      </c>
      <c r="K68" s="20">
        <f t="shared" si="8"/>
        <v>16.158526582761056</v>
      </c>
    </row>
    <row r="69" spans="1:11">
      <c r="A69" s="14">
        <f t="shared" si="11"/>
        <v>68</v>
      </c>
      <c r="B69" s="14">
        <f t="shared" si="14"/>
        <v>27.619098901238683</v>
      </c>
      <c r="C69" s="14">
        <f t="shared" si="15"/>
        <v>35.907757818501807</v>
      </c>
      <c r="D69" s="6">
        <f>$D$66</f>
        <v>2.5</v>
      </c>
      <c r="E69" s="6">
        <f>$E$66</f>
        <v>22.000000000000004</v>
      </c>
      <c r="F69" s="20">
        <f t="shared" ref="F69:F100" si="16">MOD(F68-$E$6*$H$2,360)</f>
        <v>246.62500000000037</v>
      </c>
      <c r="G69" s="20">
        <f t="shared" si="4"/>
        <v>21.107318334602766</v>
      </c>
      <c r="H69" s="20">
        <f t="shared" si="5"/>
        <v>19.934662389762</v>
      </c>
      <c r="I69" s="20">
        <f t="shared" si="12"/>
        <v>257.99999999999926</v>
      </c>
      <c r="J69" s="20">
        <f t="shared" si="7"/>
        <v>20.752529855093364</v>
      </c>
      <c r="K69" s="20">
        <f t="shared" si="8"/>
        <v>16.131114395597184</v>
      </c>
    </row>
    <row r="70" spans="1:11">
      <c r="A70" s="14">
        <f t="shared" si="11"/>
        <v>69</v>
      </c>
      <c r="B70" s="14">
        <f t="shared" si="14"/>
        <v>27.375519243179504</v>
      </c>
      <c r="C70" s="14">
        <f t="shared" si="15"/>
        <v>36.003706397458025</v>
      </c>
      <c r="D70" s="6">
        <f>COS(($M$2+90)/180*PI())*$E$65/2+$D$69</f>
        <v>2.5</v>
      </c>
      <c r="E70" s="6">
        <f>SIN(($M$2+90)/180*PI())*$E$65/2+$E$69</f>
        <v>21.000000000000004</v>
      </c>
      <c r="F70" s="20">
        <f t="shared" si="16"/>
        <v>247.65000000000038</v>
      </c>
      <c r="G70" s="20">
        <f t="shared" ref="G70:G133" si="17">COS(F70/180*PI())*$E$1*$M$19+$E$2</f>
        <v>21.1444073213503</v>
      </c>
      <c r="H70" s="20">
        <f t="shared" ref="H70:H133" si="18">SIN(F70/180*PI())*$E$1*$M$19+$E$3</f>
        <v>19.919023986625259</v>
      </c>
      <c r="I70" s="20">
        <f t="shared" si="12"/>
        <v>259.19999999999925</v>
      </c>
      <c r="J70" s="20">
        <f t="shared" ref="J70:J133" si="19">COS(I70/180*PI())*$E$1*$M$23+$E$2</f>
        <v>20.875712112485573</v>
      </c>
      <c r="K70" s="20">
        <f t="shared" ref="K70:K133" si="20">SIN(I70/180*PI())*$E$1*$M$23+$E$3</f>
        <v>16.106276495627881</v>
      </c>
    </row>
    <row r="71" spans="1:11">
      <c r="A71" s="14">
        <f t="shared" si="11"/>
        <v>70</v>
      </c>
      <c r="B71" s="14">
        <f t="shared" si="14"/>
        <v>27.130302149885033</v>
      </c>
      <c r="C71" s="14">
        <f t="shared" si="15"/>
        <v>36.095389311788622</v>
      </c>
      <c r="D71" s="14" t="s">
        <v>100</v>
      </c>
      <c r="F71" s="20">
        <f t="shared" si="16"/>
        <v>248.67500000000038</v>
      </c>
      <c r="G71" s="20">
        <f t="shared" si="17"/>
        <v>21.181770123543732</v>
      </c>
      <c r="H71" s="20">
        <f t="shared" si="18"/>
        <v>19.904051558536242</v>
      </c>
      <c r="I71" s="20">
        <f t="shared" si="12"/>
        <v>260.39999999999924</v>
      </c>
      <c r="J71" s="20">
        <f t="shared" si="19"/>
        <v>20.999387519703305</v>
      </c>
      <c r="K71" s="20">
        <f t="shared" si="20"/>
        <v>16.084023777576984</v>
      </c>
    </row>
    <row r="72" spans="1:11">
      <c r="A72" s="14">
        <f t="shared" si="11"/>
        <v>71</v>
      </c>
      <c r="B72" s="14">
        <f t="shared" si="14"/>
        <v>26.883522316857352</v>
      </c>
      <c r="C72" s="14">
        <f t="shared" si="15"/>
        <v>36.182778633989749</v>
      </c>
      <c r="D72" s="14" t="s">
        <v>101</v>
      </c>
      <c r="E72" s="14">
        <f>E63</f>
        <v>2</v>
      </c>
      <c r="F72" s="20">
        <f t="shared" si="16"/>
        <v>249.70000000000039</v>
      </c>
      <c r="G72" s="20">
        <f t="shared" si="17"/>
        <v>21.21939478396019</v>
      </c>
      <c r="H72" s="20">
        <f t="shared" si="18"/>
        <v>19.889749897123224</v>
      </c>
      <c r="I72" s="20">
        <f t="shared" si="12"/>
        <v>261.59999999999923</v>
      </c>
      <c r="J72" s="20">
        <f t="shared" si="19"/>
        <v>21.12350182862545</v>
      </c>
      <c r="K72" s="20">
        <f t="shared" si="20"/>
        <v>16.06436600222208</v>
      </c>
    </row>
    <row r="73" spans="1:11">
      <c r="A73" s="14">
        <f t="shared" si="11"/>
        <v>72</v>
      </c>
      <c r="B73" s="14">
        <f t="shared" si="14"/>
        <v>26.635254915624213</v>
      </c>
      <c r="C73" s="14">
        <f t="shared" si="15"/>
        <v>36.265847744427305</v>
      </c>
      <c r="D73" s="14" t="s">
        <v>103</v>
      </c>
      <c r="E73" s="14">
        <f t="shared" ref="E73:E74" si="21">E64</f>
        <v>1.3</v>
      </c>
      <c r="F73" s="20">
        <f t="shared" si="16"/>
        <v>250.72500000000039</v>
      </c>
      <c r="G73" s="20">
        <f t="shared" si="17"/>
        <v>21.257269261574276</v>
      </c>
      <c r="H73" s="20">
        <f t="shared" si="18"/>
        <v>19.876123579348935</v>
      </c>
      <c r="I73" s="20">
        <f t="shared" si="12"/>
        <v>262.79999999999922</v>
      </c>
      <c r="J73" s="20">
        <f t="shared" si="19"/>
        <v>21.248000598614095</v>
      </c>
      <c r="K73" s="20">
        <f t="shared" si="20"/>
        <v>16.047311792113142</v>
      </c>
    </row>
    <row r="74" spans="1:11">
      <c r="A74" s="14">
        <f t="shared" si="11"/>
        <v>73</v>
      </c>
      <c r="B74" s="14">
        <f t="shared" si="14"/>
        <v>26.385575570841052</v>
      </c>
      <c r="C74" s="14">
        <f t="shared" si="15"/>
        <v>36.34457133944553</v>
      </c>
      <c r="D74" s="14" t="s">
        <v>102</v>
      </c>
      <c r="E74" s="14">
        <f t="shared" si="21"/>
        <v>2</v>
      </c>
      <c r="F74" s="20">
        <f t="shared" si="16"/>
        <v>251.7500000000004</v>
      </c>
      <c r="G74" s="20">
        <f t="shared" si="17"/>
        <v>21.295381435411578</v>
      </c>
      <c r="H74" s="20">
        <f t="shared" si="18"/>
        <v>19.863176966045771</v>
      </c>
      <c r="I74" s="20">
        <f t="shared" si="12"/>
        <v>263.9999999999992</v>
      </c>
      <c r="J74" s="20">
        <f t="shared" si="19"/>
        <v>21.372829220393996</v>
      </c>
      <c r="K74" s="20">
        <f t="shared" si="20"/>
        <v>16.032868627790368</v>
      </c>
    </row>
    <row r="75" spans="1:11">
      <c r="A75" s="14">
        <f t="shared" si="11"/>
        <v>74</v>
      </c>
      <c r="B75" s="14">
        <f t="shared" si="14"/>
        <v>26.134560337254989</v>
      </c>
      <c r="C75" s="14">
        <f t="shared" si="15"/>
        <v>36.418925439074783</v>
      </c>
      <c r="D75" s="14">
        <f>COS($M$3/180*PI())*$E$1*$E$73+$E$2</f>
        <v>8.2114177668623238</v>
      </c>
      <c r="E75" s="14">
        <f>SIN($M$3/180*PI())*$E$1*$E$73+$E$3</f>
        <v>35.788582233137674</v>
      </c>
      <c r="F75" s="20">
        <f t="shared" si="16"/>
        <v>252.7750000000004</v>
      </c>
      <c r="G75" s="20">
        <f t="shared" si="17"/>
        <v>21.333719108427704</v>
      </c>
      <c r="H75" s="20">
        <f t="shared" si="18"/>
        <v>19.850914200520222</v>
      </c>
      <c r="I75" s="20">
        <f t="shared" si="12"/>
        <v>265.19999999999919</v>
      </c>
      <c r="J75" s="20">
        <f t="shared" si="19"/>
        <v>21.497932940006027</v>
      </c>
      <c r="K75" s="20">
        <f t="shared" si="20"/>
        <v>16.021042844502979</v>
      </c>
    </row>
    <row r="76" spans="1:11">
      <c r="A76" s="14">
        <f t="shared" si="11"/>
        <v>75</v>
      </c>
      <c r="B76" s="14">
        <f t="shared" si="14"/>
        <v>25.882285676537812</v>
      </c>
      <c r="C76" s="14">
        <f t="shared" si="15"/>
        <v>36.488887394336025</v>
      </c>
      <c r="D76" s="14">
        <f>COS($M$3/180*PI())*($E$1*$E$73+$E$72)+$E$2</f>
        <v>6.7972042044892298</v>
      </c>
      <c r="E76" s="14">
        <f>SIN($M$3/180*PI())*($E$1*$E$73+$E$72)+$E$3</f>
        <v>37.202795795510774</v>
      </c>
      <c r="F76" s="20">
        <f t="shared" si="16"/>
        <v>253.80000000000041</v>
      </c>
      <c r="G76" s="20">
        <f t="shared" si="17"/>
        <v>21.37227001141175</v>
      </c>
      <c r="H76" s="20">
        <f t="shared" si="18"/>
        <v>19.839339207226875</v>
      </c>
      <c r="I76" s="20">
        <f t="shared" si="12"/>
        <v>266.39999999999918</v>
      </c>
      <c r="J76" s="20">
        <f t="shared" si="19"/>
        <v>21.623256882824034</v>
      </c>
      <c r="K76" s="20">
        <f t="shared" si="20"/>
        <v>16.011839629430376</v>
      </c>
    </row>
    <row r="77" spans="1:11">
      <c r="A77" s="14">
        <f t="shared" si="11"/>
        <v>76</v>
      </c>
      <c r="B77" s="14">
        <f t="shared" si="14"/>
        <v>25.628828433995015</v>
      </c>
      <c r="C77" s="14">
        <f t="shared" si="15"/>
        <v>36.554435894139949</v>
      </c>
      <c r="D77" s="6">
        <f>COS(($M$3-90)/180*PI())*$E$74/2+$D$78</f>
        <v>8.9185245480488717</v>
      </c>
      <c r="E77" s="6">
        <f>SIN(($M$3-90)/180*PI())*$E$74/2+$E$78</f>
        <v>36.495689014324221</v>
      </c>
      <c r="F77" s="20">
        <f t="shared" si="16"/>
        <v>254.82500000000041</v>
      </c>
      <c r="G77" s="20">
        <f t="shared" si="17"/>
        <v>21.411021806912775</v>
      </c>
      <c r="H77" s="20">
        <f t="shared" si="18"/>
        <v>19.828455690512463</v>
      </c>
      <c r="I77" s="20">
        <f t="shared" si="12"/>
        <v>267.59999999999917</v>
      </c>
      <c r="J77" s="20">
        <f t="shared" si="19"/>
        <v>21.748746077624716</v>
      </c>
      <c r="K77" s="20">
        <f t="shared" si="20"/>
        <v>16.005263019406854</v>
      </c>
    </row>
    <row r="78" spans="1:11">
      <c r="A78" s="14">
        <f t="shared" si="11"/>
        <v>77</v>
      </c>
      <c r="B78" s="14">
        <f t="shared" si="14"/>
        <v>25.374265815157976</v>
      </c>
      <c r="C78" s="14">
        <f t="shared" si="15"/>
        <v>36.615550971778532</v>
      </c>
      <c r="D78" s="6">
        <f>$D$75</f>
        <v>8.2114177668623238</v>
      </c>
      <c r="E78" s="6">
        <f>$E$75</f>
        <v>35.788582233137674</v>
      </c>
      <c r="F78" s="20">
        <f t="shared" si="16"/>
        <v>255.85000000000042</v>
      </c>
      <c r="G78" s="20">
        <f t="shared" si="17"/>
        <v>21.449962093188191</v>
      </c>
      <c r="H78" s="20">
        <f t="shared" si="18"/>
        <v>19.818267133430382</v>
      </c>
      <c r="I78" s="20">
        <f t="shared" si="12"/>
        <v>268.79999999999916</v>
      </c>
      <c r="J78" s="20">
        <f t="shared" si="19"/>
        <v>21.87434548069977</v>
      </c>
      <c r="K78" s="20">
        <f t="shared" si="20"/>
        <v>16.001315899150928</v>
      </c>
    </row>
    <row r="79" spans="1:11">
      <c r="A79" s="14">
        <f t="shared" si="11"/>
        <v>78</v>
      </c>
      <c r="B79" s="14">
        <f t="shared" si="14"/>
        <v>25.118675362266387</v>
      </c>
      <c r="C79" s="14">
        <f t="shared" si="15"/>
        <v>36.672214011007085</v>
      </c>
      <c r="D79" s="6">
        <f>COS(($M$3+90)/180*PI())*$E$74/2+$D$78</f>
        <v>7.5043109856757759</v>
      </c>
      <c r="E79" s="6">
        <f>SIN(($M$3+90)/180*PI())*$E$74/2+$E$78</f>
        <v>35.081475451951128</v>
      </c>
      <c r="F79" s="20">
        <f t="shared" si="16"/>
        <v>256.8750000000004</v>
      </c>
      <c r="G79" s="20">
        <f t="shared" si="17"/>
        <v>21.489078408172674</v>
      </c>
      <c r="H79" s="20">
        <f t="shared" si="18"/>
        <v>19.808776796625995</v>
      </c>
      <c r="I79" s="20">
        <f t="shared" si="12"/>
        <v>269.99999999999915</v>
      </c>
      <c r="J79" s="20">
        <f t="shared" si="19"/>
        <v>21.999999999999915</v>
      </c>
      <c r="K79" s="20">
        <f t="shared" si="20"/>
        <v>16</v>
      </c>
    </row>
    <row r="80" spans="1:11">
      <c r="A80" s="14">
        <f t="shared" si="11"/>
        <v>79</v>
      </c>
      <c r="B80" s="14">
        <f t="shared" si="14"/>
        <v>24.862134930648175</v>
      </c>
      <c r="C80" s="14">
        <f t="shared" si="15"/>
        <v>36.724407751714963</v>
      </c>
      <c r="D80" s="14" t="s">
        <v>106</v>
      </c>
      <c r="F80" s="20">
        <f t="shared" si="16"/>
        <v>257.90000000000038</v>
      </c>
      <c r="G80" s="20">
        <f t="shared" si="17"/>
        <v>21.528358233466417</v>
      </c>
      <c r="H80" s="20">
        <f t="shared" si="18"/>
        <v>19.799987717293135</v>
      </c>
      <c r="I80" s="20">
        <f t="shared" si="12"/>
        <v>271.19999999999914</v>
      </c>
      <c r="J80" s="20">
        <f t="shared" si="19"/>
        <v>22.125654519300053</v>
      </c>
      <c r="K80" s="20">
        <f t="shared" si="20"/>
        <v>16.001315899150924</v>
      </c>
    </row>
    <row r="81" spans="1:11">
      <c r="A81" s="14">
        <f t="shared" si="11"/>
        <v>80</v>
      </c>
      <c r="B81" s="14">
        <f t="shared" si="14"/>
        <v>24.604722665003955</v>
      </c>
      <c r="C81" s="14">
        <f t="shared" si="15"/>
        <v>36.772116295183125</v>
      </c>
      <c r="D81" s="14" t="s">
        <v>107</v>
      </c>
      <c r="E81" s="14">
        <f>E72</f>
        <v>2</v>
      </c>
      <c r="F81" s="20">
        <f t="shared" si="16"/>
        <v>258.92500000000035</v>
      </c>
      <c r="G81" s="20">
        <f t="shared" si="17"/>
        <v>21.567788998341371</v>
      </c>
      <c r="H81" s="20">
        <f t="shared" si="18"/>
        <v>19.791902708202095</v>
      </c>
      <c r="I81" s="20">
        <f t="shared" si="12"/>
        <v>272.39999999999912</v>
      </c>
      <c r="J81" s="20">
        <f t="shared" si="19"/>
        <v>22.251253922375106</v>
      </c>
      <c r="K81" s="20">
        <f t="shared" si="20"/>
        <v>16.005263019406847</v>
      </c>
    </row>
    <row r="82" spans="1:11">
      <c r="A82" s="14">
        <f t="shared" si="11"/>
        <v>81</v>
      </c>
      <c r="B82" s="14">
        <f t="shared" si="14"/>
        <v>24.346516975603464</v>
      </c>
      <c r="C82" s="14">
        <f t="shared" si="15"/>
        <v>36.81532510892707</v>
      </c>
      <c r="D82" s="14" t="s">
        <v>108</v>
      </c>
      <c r="E82" s="14">
        <f t="shared" ref="E82:E83" si="22">E73</f>
        <v>1.3</v>
      </c>
      <c r="F82" s="20">
        <f t="shared" si="16"/>
        <v>259.95000000000033</v>
      </c>
      <c r="G82" s="20">
        <f t="shared" si="17"/>
        <v>21.607358083764282</v>
      </c>
      <c r="H82" s="20">
        <f t="shared" si="18"/>
        <v>19.784524356799484</v>
      </c>
      <c r="I82" s="20">
        <f t="shared" si="12"/>
        <v>273.59999999999911</v>
      </c>
      <c r="J82" s="20">
        <f t="shared" si="19"/>
        <v>22.376743117175785</v>
      </c>
      <c r="K82" s="20">
        <f t="shared" si="20"/>
        <v>16.011839629430362</v>
      </c>
    </row>
    <row r="83" spans="1:11">
      <c r="A83" s="14">
        <f t="shared" si="11"/>
        <v>82</v>
      </c>
      <c r="B83" s="14">
        <f t="shared" si="14"/>
        <v>24.087596514400982</v>
      </c>
      <c r="C83" s="14">
        <f t="shared" si="15"/>
        <v>36.854021031123551</v>
      </c>
      <c r="D83" s="14" t="s">
        <v>109</v>
      </c>
      <c r="E83" s="14">
        <f t="shared" si="22"/>
        <v>2</v>
      </c>
      <c r="F83" s="20">
        <f t="shared" si="16"/>
        <v>260.97500000000031</v>
      </c>
      <c r="G83" s="20">
        <f t="shared" si="17"/>
        <v>21.64705282643515</v>
      </c>
      <c r="H83" s="20">
        <f t="shared" si="18"/>
        <v>19.777855024380141</v>
      </c>
      <c r="I83" s="20">
        <f t="shared" si="12"/>
        <v>274.7999999999991</v>
      </c>
      <c r="J83" s="20">
        <f t="shared" si="19"/>
        <v>22.502067059993799</v>
      </c>
      <c r="K83" s="20">
        <f t="shared" si="20"/>
        <v>16.021042844502965</v>
      </c>
    </row>
    <row r="84" spans="1:11">
      <c r="A84" s="14">
        <f t="shared" si="11"/>
        <v>83</v>
      </c>
      <c r="B84" s="14">
        <f t="shared" si="14"/>
        <v>23.828040151077211</v>
      </c>
      <c r="C84" s="14">
        <f t="shared" si="15"/>
        <v>36.888192274619826</v>
      </c>
      <c r="D84" s="14">
        <f>COS($M$4/180*PI())*$E$1*$E$82+$E$2</f>
        <v>35.788582233137674</v>
      </c>
      <c r="E84" s="14">
        <f>SIN($M$4/180*PI())*$E$1*$E$82+$E$3</f>
        <v>35.788582233137674</v>
      </c>
      <c r="F84" s="20">
        <f t="shared" si="16"/>
        <v>262.00000000000028</v>
      </c>
      <c r="G84" s="20">
        <f t="shared" si="17"/>
        <v>21.686860522839861</v>
      </c>
      <c r="H84" s="20">
        <f t="shared" si="18"/>
        <v>19.771896845331465</v>
      </c>
      <c r="I84" s="20">
        <f t="shared" si="12"/>
        <v>275.99999999999909</v>
      </c>
      <c r="J84" s="20">
        <f t="shared" si="19"/>
        <v>22.627170779605827</v>
      </c>
      <c r="K84" s="20">
        <f t="shared" si="20"/>
        <v>16.03286862779035</v>
      </c>
    </row>
    <row r="85" spans="1:11">
      <c r="A85" s="14">
        <f t="shared" si="11"/>
        <v>84</v>
      </c>
      <c r="B85" s="14">
        <f t="shared" si="14"/>
        <v>23.567926949014801</v>
      </c>
      <c r="C85" s="14">
        <f t="shared" si="15"/>
        <v>36.917828430524096</v>
      </c>
      <c r="D85" s="14">
        <f>COS($M$4/180*PI())*($E$1*$E$82+$E$81)+$E$2</f>
        <v>37.202795795510774</v>
      </c>
      <c r="E85" s="14">
        <f>SIN($M$4/180*PI())*($E$1*$E$82+$E$81)+$E$3</f>
        <v>37.202795795510767</v>
      </c>
      <c r="F85" s="20">
        <f t="shared" si="16"/>
        <v>263.02500000000026</v>
      </c>
      <c r="G85" s="20">
        <f t="shared" si="17"/>
        <v>21.726768433315719</v>
      </c>
      <c r="H85" s="20">
        <f t="shared" si="18"/>
        <v>19.766651726450338</v>
      </c>
      <c r="I85" s="20">
        <f t="shared" si="12"/>
        <v>277.19999999999908</v>
      </c>
      <c r="J85" s="20">
        <f t="shared" si="19"/>
        <v>22.751999401385731</v>
      </c>
      <c r="K85" s="20">
        <f t="shared" si="20"/>
        <v>16.047311792113121</v>
      </c>
    </row>
    <row r="86" spans="1:11">
      <c r="A86" s="14">
        <f t="shared" si="11"/>
        <v>85</v>
      </c>
      <c r="B86" s="14">
        <f t="shared" si="14"/>
        <v>23.307336141214876</v>
      </c>
      <c r="C86" s="14">
        <f t="shared" si="15"/>
        <v>36.942920471376183</v>
      </c>
      <c r="D86" s="6">
        <f>COS(($M$4-90)/180*PI())*$E$83/2+$D$87</f>
        <v>36.495689014324221</v>
      </c>
      <c r="E86" s="6">
        <f>SIN(($M$4-90)/180*PI())*$E$83/2+$E$87</f>
        <v>35.081475451951128</v>
      </c>
      <c r="F86" s="20">
        <f t="shared" si="16"/>
        <v>264.05000000000024</v>
      </c>
      <c r="G86" s="20">
        <f t="shared" si="17"/>
        <v>21.766763786128482</v>
      </c>
      <c r="H86" s="20">
        <f t="shared" si="18"/>
        <v>19.762121346332897</v>
      </c>
      <c r="I86" s="20">
        <f t="shared" si="12"/>
        <v>278.39999999999907</v>
      </c>
      <c r="J86" s="20">
        <f t="shared" si="19"/>
        <v>22.876498171374372</v>
      </c>
      <c r="K86" s="20">
        <f t="shared" si="20"/>
        <v>16.064366002222055</v>
      </c>
    </row>
    <row r="87" spans="1:11">
      <c r="A87" s="14">
        <f t="shared" ref="A87:A150" si="23">A86+1</f>
        <v>86</v>
      </c>
      <c r="B87" s="14">
        <f t="shared" si="14"/>
        <v>23.046347106161878</v>
      </c>
      <c r="C87" s="14">
        <f t="shared" si="15"/>
        <v>36.963460753897365</v>
      </c>
      <c r="D87" s="6">
        <f>$D$84</f>
        <v>35.788582233137674</v>
      </c>
      <c r="E87" s="6">
        <f>$E$84</f>
        <v>35.788582233137674</v>
      </c>
      <c r="F87" s="20">
        <f t="shared" si="16"/>
        <v>265.07500000000022</v>
      </c>
      <c r="G87" s="20">
        <f t="shared" si="17"/>
        <v>21.806833781559746</v>
      </c>
      <c r="H87" s="20">
        <f t="shared" si="18"/>
        <v>19.758307154837333</v>
      </c>
      <c r="I87" s="20">
        <f t="shared" ref="I87:I150" si="24">MOD(I86-$E$6*$K$2,360)</f>
        <v>279.59999999999906</v>
      </c>
      <c r="J87" s="20">
        <f t="shared" si="19"/>
        <v>23.000612480296514</v>
      </c>
      <c r="K87" s="20">
        <f t="shared" si="20"/>
        <v>16.084023777576952</v>
      </c>
    </row>
    <row r="88" spans="1:11">
      <c r="A88" s="14">
        <f t="shared" si="23"/>
        <v>87</v>
      </c>
      <c r="B88" s="14">
        <f t="shared" si="14"/>
        <v>22.785039343644158</v>
      </c>
      <c r="C88" s="14">
        <f t="shared" si="15"/>
        <v>36.979443021318609</v>
      </c>
      <c r="D88" s="6">
        <f>COS(($M$4+90)/180*PI())*$E$83/2+$D$87</f>
        <v>35.081475451951128</v>
      </c>
      <c r="E88" s="6">
        <f>SIN(($M$4+90)/180*PI())*$E$83/2+$E$87</f>
        <v>36.495689014324221</v>
      </c>
      <c r="F88" s="20">
        <f t="shared" si="16"/>
        <v>266.10000000000019</v>
      </c>
      <c r="G88" s="20">
        <f t="shared" si="17"/>
        <v>21.846965596003198</v>
      </c>
      <c r="H88" s="20">
        <f t="shared" si="18"/>
        <v>19.755210372619889</v>
      </c>
      <c r="I88" s="20">
        <f t="shared" si="24"/>
        <v>280.79999999999905</v>
      </c>
      <c r="J88" s="20">
        <f t="shared" si="19"/>
        <v>23.124287887514253</v>
      </c>
      <c r="K88" s="20">
        <f t="shared" si="20"/>
        <v>16.106276495627849</v>
      </c>
    </row>
    <row r="89" spans="1:11">
      <c r="A89" s="14">
        <f t="shared" si="23"/>
        <v>88</v>
      </c>
      <c r="B89" s="14">
        <f t="shared" si="14"/>
        <v>22.523492450537518</v>
      </c>
      <c r="C89" s="14">
        <f t="shared" si="15"/>
        <v>36.990862405286435</v>
      </c>
      <c r="D89" s="14" t="s">
        <v>119</v>
      </c>
      <c r="F89" s="20">
        <f t="shared" si="16"/>
        <v>267.12500000000017</v>
      </c>
      <c r="G89" s="20">
        <f t="shared" si="17"/>
        <v>21.887146386068597</v>
      </c>
      <c r="H89" s="20">
        <f t="shared" si="18"/>
        <v>19.752831990744212</v>
      </c>
      <c r="I89" s="20">
        <f t="shared" si="24"/>
        <v>281.99999999999903</v>
      </c>
      <c r="J89" s="20">
        <f t="shared" si="19"/>
        <v>23.247470144906458</v>
      </c>
      <c r="K89" s="20">
        <f t="shared" si="20"/>
        <v>16.131114395597145</v>
      </c>
    </row>
    <row r="90" spans="1:11">
      <c r="A90" s="14">
        <f t="shared" si="23"/>
        <v>89</v>
      </c>
      <c r="B90" s="14">
        <f t="shared" si="14"/>
        <v>22.261786096559256</v>
      </c>
      <c r="C90" s="14">
        <f t="shared" si="15"/>
        <v>36.997715427345867</v>
      </c>
      <c r="D90">
        <f>E2</f>
        <v>22</v>
      </c>
      <c r="E90">
        <f>E3</f>
        <v>22</v>
      </c>
      <c r="F90" s="20">
        <f t="shared" si="16"/>
        <v>268.15000000000015</v>
      </c>
      <c r="G90" s="20">
        <f t="shared" si="17"/>
        <v>21.927363292692014</v>
      </c>
      <c r="H90" s="20">
        <f t="shared" si="18"/>
        <v>19.751172770364192</v>
      </c>
      <c r="I90" s="20">
        <f t="shared" si="24"/>
        <v>283.19999999999902</v>
      </c>
      <c r="J90" s="20">
        <f t="shared" si="19"/>
        <v>23.370105220663834</v>
      </c>
      <c r="K90" s="20">
        <f t="shared" si="20"/>
        <v>16.158526582761013</v>
      </c>
    </row>
    <row r="91" spans="1:11">
      <c r="A91" s="14">
        <f t="shared" si="23"/>
        <v>90</v>
      </c>
      <c r="B91" s="14">
        <f t="shared" si="14"/>
        <v>22</v>
      </c>
      <c r="C91" s="14">
        <f t="shared" si="15"/>
        <v>37</v>
      </c>
      <c r="D91">
        <f>COS($M2/180*PI())*$E1+D90</f>
        <v>7</v>
      </c>
      <c r="E91" s="14">
        <f>SIN($M2/180*PI())*$E1+E90</f>
        <v>22.000000000000004</v>
      </c>
      <c r="F91" s="20">
        <f t="shared" si="16"/>
        <v>269.17500000000013</v>
      </c>
      <c r="G91" s="20">
        <f t="shared" si="17"/>
        <v>21.967603445251136</v>
      </c>
      <c r="H91" s="20">
        <f t="shared" si="18"/>
        <v>19.750233242480366</v>
      </c>
      <c r="I91" s="20">
        <f t="shared" si="24"/>
        <v>284.39999999999901</v>
      </c>
      <c r="J91" s="20">
        <f t="shared" si="19"/>
        <v>23.492139322989026</v>
      </c>
      <c r="K91" s="20">
        <f t="shared" si="20"/>
        <v>16.188501033228185</v>
      </c>
    </row>
    <row r="92" spans="1:11">
      <c r="A92" s="14">
        <f t="shared" si="23"/>
        <v>91</v>
      </c>
      <c r="B92" s="14">
        <f t="shared" si="14"/>
        <v>21.738213903440748</v>
      </c>
      <c r="C92" s="14">
        <f t="shared" si="15"/>
        <v>36.997715427345867</v>
      </c>
      <c r="D92" s="14" t="s">
        <v>120</v>
      </c>
      <c r="F92" s="20">
        <f t="shared" si="16"/>
        <v>270.2000000000001</v>
      </c>
      <c r="G92" s="20">
        <f t="shared" si="17"/>
        <v>22.007853965684255</v>
      </c>
      <c r="H92" s="20">
        <f t="shared" si="18"/>
        <v>19.750013707769973</v>
      </c>
      <c r="I92" s="20">
        <f t="shared" si="24"/>
        <v>285.599999999999</v>
      </c>
      <c r="J92" s="20">
        <f t="shared" si="19"/>
        <v>23.61351892369149</v>
      </c>
      <c r="K92" s="20">
        <f t="shared" si="20"/>
        <v>16.221024599214022</v>
      </c>
    </row>
    <row r="93" spans="1:11">
      <c r="A93" s="14">
        <f t="shared" si="23"/>
        <v>92</v>
      </c>
      <c r="B93" s="14">
        <f t="shared" si="14"/>
        <v>21.47650754946249</v>
      </c>
      <c r="C93" s="14">
        <f t="shared" si="15"/>
        <v>36.990862405286435</v>
      </c>
      <c r="D93" s="17">
        <f>E2</f>
        <v>22</v>
      </c>
      <c r="E93" s="17">
        <f>E3</f>
        <v>22</v>
      </c>
      <c r="F93" s="20">
        <f t="shared" si="16"/>
        <v>271.22500000000008</v>
      </c>
      <c r="G93" s="20">
        <f t="shared" si="17"/>
        <v>22.048101972611629</v>
      </c>
      <c r="H93" s="20">
        <f t="shared" si="18"/>
        <v>19.750514236490734</v>
      </c>
      <c r="I93" s="20">
        <f t="shared" si="24"/>
        <v>286.79999999999899</v>
      </c>
      <c r="J93" s="20">
        <f t="shared" si="19"/>
        <v>23.734190781666729</v>
      </c>
      <c r="K93" s="20">
        <f t="shared" si="20"/>
        <v>16.256083014807565</v>
      </c>
    </row>
    <row r="94" spans="1:11">
      <c r="A94" s="14">
        <f t="shared" si="23"/>
        <v>93</v>
      </c>
      <c r="B94" s="14">
        <f t="shared" si="14"/>
        <v>21.214960656355842</v>
      </c>
      <c r="C94" s="14">
        <f t="shared" si="15"/>
        <v>36.979443021318609</v>
      </c>
      <c r="D94" s="17">
        <f>COS(($M$3-$E$6*$M$7)/180*PI())*$E$1+$D$93</f>
        <v>7.5111126056639765</v>
      </c>
      <c r="E94" s="17">
        <f>SIN(($M$3-$E$6*$M$7)/180*PI())*$E$1+$E$93</f>
        <v>25.882285676537816</v>
      </c>
      <c r="F94" s="20">
        <f t="shared" si="16"/>
        <v>272.25000000000006</v>
      </c>
      <c r="G94" s="20">
        <f t="shared" si="17"/>
        <v>22.088334585457908</v>
      </c>
      <c r="H94" s="20">
        <f t="shared" si="18"/>
        <v>19.751734668458372</v>
      </c>
      <c r="I94" s="20">
        <f t="shared" si="24"/>
        <v>287.99999999999898</v>
      </c>
      <c r="J94" s="20">
        <f t="shared" si="19"/>
        <v>23.854101966249583</v>
      </c>
      <c r="K94" s="20">
        <f t="shared" si="20"/>
        <v>16.293660902229046</v>
      </c>
    </row>
    <row r="95" spans="1:11">
      <c r="A95" s="14">
        <f t="shared" si="23"/>
        <v>94</v>
      </c>
      <c r="B95" s="14">
        <f t="shared" si="14"/>
        <v>20.953652893838122</v>
      </c>
      <c r="C95" s="14">
        <f t="shared" si="15"/>
        <v>36.963460753897365</v>
      </c>
      <c r="D95" s="6">
        <f>D96-COS(($M$3-$E$6*$M$7-45)/180*PI())*$E$7</f>
        <v>8.0111126056639765</v>
      </c>
      <c r="E95" s="6">
        <f>E96-SIN(($M$3-$E$6*$M$7-45)/180*PI())*$E$7</f>
        <v>25.016260272753378</v>
      </c>
      <c r="F95" s="20">
        <f t="shared" si="16"/>
        <v>273.27500000000003</v>
      </c>
      <c r="G95" s="20">
        <f t="shared" si="17"/>
        <v>22.128538928574311</v>
      </c>
      <c r="H95" s="20">
        <f t="shared" si="18"/>
        <v>19.753674613097878</v>
      </c>
      <c r="I95" s="20">
        <f t="shared" si="24"/>
        <v>289.19999999999897</v>
      </c>
      <c r="J95" s="20">
        <f t="shared" si="19"/>
        <v>23.973199880431395</v>
      </c>
      <c r="K95" s="20">
        <f t="shared" si="20"/>
        <v>16.333741778575078</v>
      </c>
    </row>
    <row r="96" spans="1:11">
      <c r="A96" s="14">
        <f t="shared" si="23"/>
        <v>95</v>
      </c>
      <c r="B96" s="14">
        <f t="shared" si="14"/>
        <v>20.692663858785128</v>
      </c>
      <c r="C96" s="14">
        <f t="shared" si="15"/>
        <v>36.942920471376183</v>
      </c>
      <c r="D96" s="6">
        <f>D94</f>
        <v>7.5111126056639765</v>
      </c>
      <c r="E96" s="6">
        <f>E94</f>
        <v>25.882285676537816</v>
      </c>
      <c r="F96" s="20">
        <f t="shared" si="16"/>
        <v>274.3</v>
      </c>
      <c r="G96" s="20">
        <f t="shared" si="17"/>
        <v>22.168702135359236</v>
      </c>
      <c r="H96" s="20">
        <f t="shared" si="18"/>
        <v>19.756333449568491</v>
      </c>
      <c r="I96" s="20">
        <f t="shared" si="24"/>
        <v>290.39999999999895</v>
      </c>
      <c r="J96" s="20">
        <f t="shared" si="19"/>
        <v>24.091432283930786</v>
      </c>
      <c r="K96" s="20">
        <f t="shared" si="20"/>
        <v>16.376308063048612</v>
      </c>
    </row>
    <row r="97" spans="1:11">
      <c r="A97" s="14">
        <f t="shared" si="23"/>
        <v>96</v>
      </c>
      <c r="B97" s="14">
        <f t="shared" si="14"/>
        <v>20.432073050985199</v>
      </c>
      <c r="C97" s="14">
        <f t="shared" si="15"/>
        <v>36.917828430524104</v>
      </c>
      <c r="D97" s="6">
        <f>D96-COS(($M$3-$E$6*$M$7+45)/180*PI())*$E$7</f>
        <v>8.3771380094484158</v>
      </c>
      <c r="E97" s="6">
        <f>E96-SIN(($M$3-$E$6*$M$7+45)/180*PI())*$E$7</f>
        <v>26.382285676537816</v>
      </c>
      <c r="F97" s="20">
        <f t="shared" si="16"/>
        <v>275.32499999999999</v>
      </c>
      <c r="G97" s="20">
        <f t="shared" si="17"/>
        <v>22.208811352375935</v>
      </c>
      <c r="H97" s="20">
        <f t="shared" si="18"/>
        <v>19.759710326962395</v>
      </c>
      <c r="I97" s="20">
        <f t="shared" si="24"/>
        <v>291.59999999999894</v>
      </c>
      <c r="J97" s="20">
        <f t="shared" si="19"/>
        <v>24.208747316107967</v>
      </c>
      <c r="K97" s="20">
        <f t="shared" si="20"/>
        <v>16.421341084670452</v>
      </c>
    </row>
    <row r="98" spans="1:11">
      <c r="A98" s="14">
        <f t="shared" si="23"/>
        <v>97</v>
      </c>
      <c r="B98" s="14">
        <f t="shared" si="14"/>
        <v>20.171959848922789</v>
      </c>
      <c r="C98" s="14">
        <f t="shared" si="15"/>
        <v>36.888192274619833</v>
      </c>
      <c r="D98" s="18">
        <f>COS(($M$3-$E$6*$M$7)/180*PI())*$E$1*1.15+$D$93</f>
        <v>5.3377794965135728</v>
      </c>
      <c r="E98" s="19">
        <f>SIN(($M$3-$E$6*$M$7)/180*PI())*$E$1*1.15+$E$93</f>
        <v>26.464628528018487</v>
      </c>
      <c r="F98" s="20">
        <f t="shared" si="16"/>
        <v>276.34999999999997</v>
      </c>
      <c r="G98" s="20">
        <f t="shared" si="17"/>
        <v>22.248853743466015</v>
      </c>
      <c r="H98" s="20">
        <f t="shared" si="18"/>
        <v>19.763804164577049</v>
      </c>
      <c r="I98" s="20">
        <f t="shared" si="24"/>
        <v>292.79999999999893</v>
      </c>
      <c r="J98" s="20">
        <f t="shared" si="19"/>
        <v>24.325093518712514</v>
      </c>
      <c r="K98" s="20">
        <f t="shared" si="20"/>
        <v>16.468821090468953</v>
      </c>
    </row>
    <row r="99" spans="1:11">
      <c r="A99" s="14">
        <f t="shared" si="23"/>
        <v>98</v>
      </c>
      <c r="B99" s="14">
        <f t="shared" si="14"/>
        <v>19.912403485599022</v>
      </c>
      <c r="C99" s="14">
        <f t="shared" si="15"/>
        <v>36.854021031123551</v>
      </c>
      <c r="D99">
        <f>E2</f>
        <v>22</v>
      </c>
      <c r="E99">
        <f>E3</f>
        <v>22</v>
      </c>
      <c r="F99" s="20">
        <f t="shared" si="16"/>
        <v>277.37499999999994</v>
      </c>
      <c r="G99" s="20">
        <f t="shared" si="17"/>
        <v>22.2888164938574</v>
      </c>
      <c r="H99" s="20">
        <f t="shared" si="18"/>
        <v>19.768613652261017</v>
      </c>
      <c r="I99" s="20">
        <f t="shared" si="24"/>
        <v>293.99999999999892</v>
      </c>
      <c r="J99" s="20">
        <f t="shared" si="19"/>
        <v>24.440419858454696</v>
      </c>
      <c r="K99" s="20">
        <f t="shared" si="20"/>
        <v>16.518727254144348</v>
      </c>
    </row>
    <row r="100" spans="1:11">
      <c r="A100" s="14">
        <f t="shared" si="23"/>
        <v>99</v>
      </c>
      <c r="B100" s="14">
        <f t="shared" si="14"/>
        <v>19.653483024396536</v>
      </c>
      <c r="C100" s="14">
        <f t="shared" si="15"/>
        <v>36.815325108927063</v>
      </c>
      <c r="D100">
        <f>COS(($M$3-$E$6*($M$7-$M$8))/180*PI())*$E$1+$D$99</f>
        <v>35.594616805549748</v>
      </c>
      <c r="E100" s="14">
        <f>SIN(($M$3-$E$6*($M$7-$M$8))/180*PI())*$E$1+$E$99</f>
        <v>28.339273926110494</v>
      </c>
      <c r="F100" s="20">
        <f t="shared" si="16"/>
        <v>278.39999999999992</v>
      </c>
      <c r="G100" s="20">
        <f t="shared" si="17"/>
        <v>22.328686814265424</v>
      </c>
      <c r="H100" s="20">
        <f t="shared" si="18"/>
        <v>19.774137250833277</v>
      </c>
      <c r="I100" s="20">
        <f t="shared" si="24"/>
        <v>295.19999999999891</v>
      </c>
      <c r="J100" s="20">
        <f t="shared" si="19"/>
        <v>24.554675749390331</v>
      </c>
      <c r="K100" s="20">
        <f t="shared" si="20"/>
        <v>16.571037685203834</v>
      </c>
    </row>
    <row r="101" spans="1:11">
      <c r="A101" s="14">
        <f t="shared" si="23"/>
        <v>100</v>
      </c>
      <c r="B101" s="14">
        <f t="shared" si="14"/>
        <v>19.395277334996045</v>
      </c>
      <c r="C101" s="14">
        <f t="shared" si="15"/>
        <v>36.772116295183125</v>
      </c>
      <c r="D101" s="6">
        <f>D102-COS(($M$3-$E$6*($M$7-$M$8)-45)/180*PI())*$E$7</f>
        <v>34.654924184763843</v>
      </c>
      <c r="E101" s="6">
        <f>E102-SIN(($M$3-$E$6*($M$7-$M$8)-45)/180*PI())*$E$7</f>
        <v>28.681294069436163</v>
      </c>
      <c r="F101" s="20">
        <f t="shared" ref="F101:F132" si="25">MOD(F100-$E$6*$H$2,360)</f>
        <v>279.4249999999999</v>
      </c>
      <c r="G101" s="20">
        <f t="shared" si="17"/>
        <v>22.368451944985814</v>
      </c>
      <c r="H101" s="20">
        <f t="shared" si="18"/>
        <v>19.780373192575794</v>
      </c>
      <c r="I101" s="20">
        <f t="shared" si="24"/>
        <v>296.3999999999989</v>
      </c>
      <c r="J101" s="20">
        <f t="shared" si="19"/>
        <v>24.667811075109459</v>
      </c>
      <c r="K101" s="20">
        <f t="shared" si="20"/>
        <v>16.625729438563468</v>
      </c>
    </row>
    <row r="102" spans="1:11">
      <c r="A102" s="14">
        <f t="shared" si="23"/>
        <v>101</v>
      </c>
      <c r="B102" s="14">
        <f t="shared" si="14"/>
        <v>19.137865069351829</v>
      </c>
      <c r="C102" s="14">
        <f t="shared" si="15"/>
        <v>36.724407751714963</v>
      </c>
      <c r="D102" s="6">
        <f>D100</f>
        <v>35.594616805549748</v>
      </c>
      <c r="E102" s="6">
        <f>E100</f>
        <v>28.339273926110494</v>
      </c>
      <c r="F102" s="20">
        <f t="shared" si="25"/>
        <v>280.44999999999987</v>
      </c>
      <c r="G102" s="20">
        <f t="shared" si="17"/>
        <v>22.408099159978171</v>
      </c>
      <c r="H102" s="20">
        <f t="shared" si="18"/>
        <v>19.787319481799258</v>
      </c>
      <c r="I102" s="20">
        <f t="shared" si="24"/>
        <v>297.59999999999889</v>
      </c>
      <c r="J102" s="20">
        <f t="shared" si="19"/>
        <v>24.779776210719067</v>
      </c>
      <c r="K102" s="20">
        <f t="shared" si="20"/>
        <v>16.682778524612658</v>
      </c>
    </row>
    <row r="103" spans="1:11">
      <c r="A103" s="14">
        <f t="shared" si="23"/>
        <v>102</v>
      </c>
      <c r="B103" s="14">
        <f t="shared" si="14"/>
        <v>18.881324637733613</v>
      </c>
      <c r="C103" s="14">
        <f t="shared" si="15"/>
        <v>36.672214011007085</v>
      </c>
      <c r="D103" s="6">
        <f>D102-COS(($M$3-$E$6*($M$7-$M$8)+45)/180*PI())*$E$7</f>
        <v>35.252596662224079</v>
      </c>
      <c r="E103" s="6">
        <f>E102-SIN(($M$3-$E$6*($M$7-$M$8)+45)/180*PI())*$E$7</f>
        <v>27.399581305324585</v>
      </c>
      <c r="F103" s="20">
        <f t="shared" si="25"/>
        <v>281.47499999999985</v>
      </c>
      <c r="G103" s="20">
        <f t="shared" si="17"/>
        <v>22.447615770938672</v>
      </c>
      <c r="H103" s="20">
        <f t="shared" si="18"/>
        <v>19.794973895481739</v>
      </c>
      <c r="I103" s="20">
        <f t="shared" si="24"/>
        <v>298.79999999999887</v>
      </c>
      <c r="J103" s="20">
        <f t="shared" si="19"/>
        <v>24.890522044610186</v>
      </c>
      <c r="K103" s="20">
        <f t="shared" si="20"/>
        <v>16.742159919736761</v>
      </c>
    </row>
    <row r="104" spans="1:11">
      <c r="A104" s="14">
        <f t="shared" si="23"/>
        <v>103</v>
      </c>
      <c r="B104" s="14">
        <f t="shared" si="14"/>
        <v>18.625734184842027</v>
      </c>
      <c r="C104" s="14">
        <f t="shared" si="15"/>
        <v>36.615550971778532</v>
      </c>
      <c r="D104" s="18">
        <f>COS(($M$3-$E$6*($M$7-$M$8))/180*PI())*$E$1*1.15+$D$99</f>
        <v>37.633809326382213</v>
      </c>
      <c r="E104" s="19">
        <f>SIN(($M$3-$E$6*($M$7-$M$8))/180*PI())*$E$1*1.15+$E$99</f>
        <v>29.290165015027064</v>
      </c>
      <c r="F104" s="20">
        <f t="shared" si="25"/>
        <v>282.49999999999983</v>
      </c>
      <c r="G104" s="20">
        <f t="shared" si="17"/>
        <v>22.486989131360726</v>
      </c>
      <c r="H104" s="20">
        <f t="shared" si="18"/>
        <v>19.803333983980149</v>
      </c>
      <c r="I104" s="20">
        <f t="shared" si="24"/>
        <v>299.99999999999886</v>
      </c>
      <c r="J104" s="20">
        <f t="shared" si="19"/>
        <v>24.999999999999893</v>
      </c>
      <c r="K104" s="20">
        <f t="shared" si="20"/>
        <v>16.803847577293308</v>
      </c>
    </row>
    <row r="105" spans="1:11">
      <c r="A105" s="14">
        <f t="shared" si="23"/>
        <v>104</v>
      </c>
      <c r="B105" s="14">
        <f t="shared" si="14"/>
        <v>18.371171566004985</v>
      </c>
      <c r="C105" s="14">
        <f t="shared" si="15"/>
        <v>36.554435894139949</v>
      </c>
      <c r="F105" s="20">
        <f t="shared" si="25"/>
        <v>283.52499999999981</v>
      </c>
      <c r="G105" s="20">
        <f t="shared" si="17"/>
        <v>22.526206640582227</v>
      </c>
      <c r="H105" s="20">
        <f t="shared" si="18"/>
        <v>19.812397071814182</v>
      </c>
      <c r="I105" s="20">
        <f t="shared" si="24"/>
        <v>301.19999999999885</v>
      </c>
      <c r="J105" s="20">
        <f t="shared" si="19"/>
        <v>25.108162056238676</v>
      </c>
      <c r="K105" s="20">
        <f t="shared" si="20"/>
        <v>16.867814439036895</v>
      </c>
    </row>
    <row r="106" spans="1:11">
      <c r="A106" s="14">
        <f t="shared" si="23"/>
        <v>105</v>
      </c>
      <c r="B106" s="14">
        <f t="shared" si="14"/>
        <v>18.117714323462188</v>
      </c>
      <c r="C106" s="14">
        <f t="shared" si="15"/>
        <v>36.488887394336025</v>
      </c>
      <c r="D106" s="15" t="s">
        <v>130</v>
      </c>
      <c r="E106" s="15"/>
      <c r="F106" s="20">
        <f t="shared" si="25"/>
        <v>284.54999999999978</v>
      </c>
      <c r="G106" s="20">
        <f t="shared" si="17"/>
        <v>22.565255747818163</v>
      </c>
      <c r="H106" s="20">
        <f t="shared" si="18"/>
        <v>19.822160258522558</v>
      </c>
      <c r="I106" s="20">
        <f t="shared" si="24"/>
        <v>302.39999999999884</v>
      </c>
      <c r="J106" s="20">
        <f t="shared" si="19"/>
        <v>25.214960769873876</v>
      </c>
      <c r="K106" s="20">
        <f t="shared" si="20"/>
        <v>16.934032446987842</v>
      </c>
    </row>
    <row r="107" spans="1:11">
      <c r="A107" s="14">
        <f t="shared" si="23"/>
        <v>106</v>
      </c>
      <c r="B107" s="14">
        <f t="shared" si="14"/>
        <v>17.865439662745015</v>
      </c>
      <c r="C107" s="14">
        <f t="shared" si="15"/>
        <v>36.418925439074783</v>
      </c>
      <c r="D107" s="17">
        <f>E2</f>
        <v>22</v>
      </c>
      <c r="E107" s="17">
        <f>E3</f>
        <v>22</v>
      </c>
      <c r="F107" s="20">
        <f t="shared" si="25"/>
        <v>285.57499999999976</v>
      </c>
      <c r="G107" s="20">
        <f t="shared" si="17"/>
        <v>22.604123956177219</v>
      </c>
      <c r="H107" s="20">
        <f t="shared" si="18"/>
        <v>19.832620419591255</v>
      </c>
      <c r="I107" s="20">
        <f t="shared" si="24"/>
        <v>303.59999999999883</v>
      </c>
      <c r="J107" s="20">
        <f t="shared" si="19"/>
        <v>25.320349295459962</v>
      </c>
      <c r="K107" s="20">
        <f t="shared" si="20"/>
        <v>17.002472555739335</v>
      </c>
    </row>
    <row r="108" spans="1:11">
      <c r="A108" s="14">
        <f t="shared" si="23"/>
        <v>107</v>
      </c>
      <c r="B108" s="14">
        <f t="shared" si="14"/>
        <v>17.614424429158952</v>
      </c>
      <c r="C108" s="14">
        <f t="shared" si="15"/>
        <v>36.344571339445537</v>
      </c>
      <c r="D108" s="17">
        <f>COS(($M$4-$E$6*$M$11)/180*PI())*$E$1+D107</f>
        <v>7.904610688211374</v>
      </c>
      <c r="E108" s="17">
        <f>SIN(($M$4-$E$6*$M$11)/180*PI())*$E$1+E107</f>
        <v>16.869697850114971</v>
      </c>
      <c r="F108" s="20">
        <f t="shared" si="25"/>
        <v>286.59999999999974</v>
      </c>
      <c r="G108" s="20">
        <f t="shared" si="17"/>
        <v>22.642798826661181</v>
      </c>
      <c r="H108" s="20">
        <f t="shared" si="18"/>
        <v>19.843774207453446</v>
      </c>
      <c r="I108" s="20">
        <f t="shared" si="24"/>
        <v>304.79999999999882</v>
      </c>
      <c r="J108" s="20">
        <f t="shared" si="19"/>
        <v>25.424281406106488</v>
      </c>
      <c r="K108" s="20">
        <f t="shared" si="20"/>
        <v>17.073104745197703</v>
      </c>
    </row>
    <row r="109" spans="1:11">
      <c r="A109" s="14">
        <f t="shared" si="23"/>
        <v>108</v>
      </c>
      <c r="B109" s="14">
        <f t="shared" si="14"/>
        <v>17.364745084375791</v>
      </c>
      <c r="C109" s="14">
        <f t="shared" si="15"/>
        <v>36.265847744427305</v>
      </c>
      <c r="D109" s="6">
        <f>D110-COS(($M$4-$E$6*$M$11-45)/180*PI())*$E$7</f>
        <v>8.8109184752480232</v>
      </c>
      <c r="E109" s="6">
        <f>E110-SIN(($M$4-$E$6*$M$11-45)/180*PI())*$E$7</f>
        <v>16.447079588374272</v>
      </c>
      <c r="F109" s="20">
        <f t="shared" si="25"/>
        <v>287.62499999999972</v>
      </c>
      <c r="G109" s="20">
        <f t="shared" si="17"/>
        <v>22.68126798214578</v>
      </c>
      <c r="H109" s="20">
        <f t="shared" si="18"/>
        <v>19.855618052560828</v>
      </c>
      <c r="I109" s="20">
        <f t="shared" si="24"/>
        <v>305.99999999999881</v>
      </c>
      <c r="J109" s="20">
        <f t="shared" si="19"/>
        <v>25.526711513754734</v>
      </c>
      <c r="K109" s="20">
        <f t="shared" si="20"/>
        <v>17.145898033750239</v>
      </c>
    </row>
    <row r="110" spans="1:11">
      <c r="A110" s="14">
        <f t="shared" si="23"/>
        <v>109</v>
      </c>
      <c r="B110" s="14">
        <f t="shared" si="14"/>
        <v>17.116477683142655</v>
      </c>
      <c r="C110" s="14">
        <f t="shared" si="15"/>
        <v>36.182778633989756</v>
      </c>
      <c r="D110" s="6">
        <f>D108</f>
        <v>7.904610688211374</v>
      </c>
      <c r="E110" s="6">
        <f>E108</f>
        <v>16.869697850114971</v>
      </c>
      <c r="F110" s="20">
        <f t="shared" si="25"/>
        <v>288.64999999999969</v>
      </c>
      <c r="G110" s="20">
        <f t="shared" si="17"/>
        <v>22.719519111341754</v>
      </c>
      <c r="H110" s="20">
        <f t="shared" si="18"/>
        <v>19.868148164525973</v>
      </c>
      <c r="I110" s="20">
        <f t="shared" si="24"/>
        <v>307.19999999999879</v>
      </c>
      <c r="J110" s="20">
        <f t="shared" si="19"/>
        <v>25.627594689174149</v>
      </c>
      <c r="K110" s="20">
        <f t="shared" si="20"/>
        <v>17.220820491854745</v>
      </c>
    </row>
    <row r="111" spans="1:11">
      <c r="A111" s="14">
        <f t="shared" si="23"/>
        <v>110</v>
      </c>
      <c r="B111" s="14">
        <f t="shared" si="14"/>
        <v>16.869697850114967</v>
      </c>
      <c r="C111" s="14">
        <f t="shared" si="15"/>
        <v>36.095389311788622</v>
      </c>
      <c r="D111" s="6">
        <f>D110-COS(($M$4-$E$6*$M$11+45)/180*PI())*$E$7</f>
        <v>8.3272289499520724</v>
      </c>
      <c r="E111" s="6">
        <f>E110-SIN(($M$4-$E$6*$M$11+45)/180*PI())*$E$7</f>
        <v>17.77600563715162</v>
      </c>
      <c r="F111" s="20">
        <f t="shared" si="25"/>
        <v>289.67499999999967</v>
      </c>
      <c r="G111" s="20">
        <f t="shared" si="17"/>
        <v>22.757539972734815</v>
      </c>
      <c r="H111" s="20">
        <f t="shared" si="18"/>
        <v>19.881360533335382</v>
      </c>
      <c r="I111" s="20">
        <f t="shared" si="24"/>
        <v>308.39999999999878</v>
      </c>
      <c r="J111" s="20">
        <f t="shared" si="19"/>
        <v>25.726886681669761</v>
      </c>
      <c r="K111" s="20">
        <f t="shared" si="20"/>
        <v>17.297839256044881</v>
      </c>
    </row>
    <row r="112" spans="1:11">
      <c r="A112" s="14">
        <f t="shared" si="23"/>
        <v>111</v>
      </c>
      <c r="B112" s="14">
        <f t="shared" si="14"/>
        <v>16.624480756820496</v>
      </c>
      <c r="C112" s="14">
        <f t="shared" si="15"/>
        <v>36.003706397458025</v>
      </c>
      <c r="D112" s="18">
        <f>COS(($M$4-$E$6*$M$11)/180*PI())*$E$1*1.15+D107</f>
        <v>5.79030229144308</v>
      </c>
      <c r="E112" s="19">
        <f>SIN(($M$4-$E$6*$M$11)/180*PI())*$E$1*1.15+E107</f>
        <v>16.100152527632215</v>
      </c>
      <c r="F112" s="20">
        <f t="shared" si="25"/>
        <v>290.69999999999965</v>
      </c>
      <c r="G112" s="20">
        <f t="shared" si="17"/>
        <v>22.795318398503316</v>
      </c>
      <c r="H112" s="20">
        <f t="shared" si="18"/>
        <v>19.895250930632795</v>
      </c>
      <c r="I112" s="20">
        <f t="shared" si="24"/>
        <v>309.59999999999877</v>
      </c>
      <c r="J112" s="20">
        <f t="shared" si="19"/>
        <v>25.824543938492038</v>
      </c>
      <c r="K112" s="20">
        <f t="shared" si="20"/>
        <v>17.376920543345179</v>
      </c>
    </row>
    <row r="113" spans="1:11">
      <c r="A113" s="14">
        <f t="shared" si="23"/>
        <v>112</v>
      </c>
      <c r="B113" s="14">
        <f t="shared" si="14"/>
        <v>16.380901098761321</v>
      </c>
      <c r="C113" s="14">
        <f t="shared" si="15"/>
        <v>35.907757818501807</v>
      </c>
      <c r="D113" s="15">
        <f>E2</f>
        <v>22</v>
      </c>
      <c r="E113" s="15">
        <f>E3</f>
        <v>22</v>
      </c>
      <c r="F113" s="20">
        <f t="shared" si="25"/>
        <v>291.72499999999962</v>
      </c>
      <c r="G113" s="20">
        <f t="shared" si="17"/>
        <v>22.83284229841232</v>
      </c>
      <c r="H113" s="20">
        <f t="shared" si="18"/>
        <v>19.909814911072399</v>
      </c>
      <c r="I113" s="20">
        <f t="shared" si="24"/>
        <v>310.79999999999876</v>
      </c>
      <c r="J113" s="20">
        <f t="shared" si="19"/>
        <v>25.920523623940532</v>
      </c>
      <c r="K113" s="20">
        <f t="shared" si="20"/>
        <v>17.458029666089374</v>
      </c>
    </row>
    <row r="114" spans="1:11">
      <c r="A114" s="14">
        <f t="shared" si="23"/>
        <v>113</v>
      </c>
      <c r="B114" s="14">
        <f t="shared" si="14"/>
        <v>16.139033072660894</v>
      </c>
      <c r="C114" s="14">
        <f t="shared" si="15"/>
        <v>35.807572801786606</v>
      </c>
      <c r="D114" s="15">
        <f>COS(($M$4-$E$6*($M$11-$M$12))/180*PI())*$E$1+D113</f>
        <v>29.5</v>
      </c>
      <c r="E114" s="15">
        <f>SIN(($M$4-$E$6*($M$11-$M$12))/180*PI())*$E$1+E113</f>
        <v>34.99038105676658</v>
      </c>
      <c r="F114" s="20">
        <f t="shared" si="25"/>
        <v>292.7499999999996</v>
      </c>
      <c r="G114" s="20">
        <f t="shared" si="17"/>
        <v>22.870099663682833</v>
      </c>
      <c r="H114" s="20">
        <f t="shared" si="18"/>
        <v>19.925047813741479</v>
      </c>
      <c r="I114" s="20">
        <f t="shared" si="24"/>
        <v>311.99999999999875</v>
      </c>
      <c r="J114" s="20">
        <f t="shared" si="19"/>
        <v>26.014783638153048</v>
      </c>
      <c r="K114" s="20">
        <f t="shared" si="20"/>
        <v>17.541131047135543</v>
      </c>
    </row>
    <row r="115" spans="1:11">
      <c r="A115" s="14">
        <f t="shared" si="23"/>
        <v>114</v>
      </c>
      <c r="B115" s="14">
        <f t="shared" si="14"/>
        <v>15.898950353863</v>
      </c>
      <c r="C115" s="14">
        <f t="shared" si="15"/>
        <v>35.703181864639014</v>
      </c>
      <c r="D115" s="6">
        <f>D116-COS(($M$4-$E$6*($M$11-$M$12)-45)/180*PI())*$E$7</f>
        <v>28.53407417371093</v>
      </c>
      <c r="E115" s="6">
        <f>E116-SIN(($M$4-$E$6*($M$11-$M$12)-45)/180*PI())*$E$7</f>
        <v>34.73156201166406</v>
      </c>
      <c r="F115" s="20">
        <f t="shared" si="25"/>
        <v>293.77499999999958</v>
      </c>
      <c r="G115" s="20">
        <f t="shared" si="17"/>
        <v>22.90707857083498</v>
      </c>
      <c r="H115" s="20">
        <f t="shared" si="18"/>
        <v>19.940944763652034</v>
      </c>
      <c r="I115" s="20">
        <f t="shared" si="24"/>
        <v>313.19999999999874</v>
      </c>
      <c r="J115" s="20">
        <f t="shared" si="19"/>
        <v>26.107282635572034</v>
      </c>
      <c r="K115" s="20">
        <f t="shared" si="20"/>
        <v>17.626188235471439</v>
      </c>
    </row>
    <row r="116" spans="1:11">
      <c r="A116" s="14">
        <f t="shared" si="23"/>
        <v>115</v>
      </c>
      <c r="B116" s="14">
        <f t="shared" si="14"/>
        <v>15.66072607388951</v>
      </c>
      <c r="C116" s="14">
        <f t="shared" si="15"/>
        <v>35.594616805549748</v>
      </c>
      <c r="D116" s="6">
        <f>D114</f>
        <v>29.5</v>
      </c>
      <c r="E116" s="6">
        <f>E114</f>
        <v>34.99038105676658</v>
      </c>
      <c r="F116" s="20">
        <f t="shared" si="25"/>
        <v>294.79999999999956</v>
      </c>
      <c r="G116" s="20">
        <f t="shared" si="17"/>
        <v>22.943767185503884</v>
      </c>
      <c r="H116" s="20">
        <f t="shared" si="18"/>
        <v>19.957500673300949</v>
      </c>
      <c r="I116" s="20">
        <f t="shared" si="24"/>
        <v>314.39999999999873</v>
      </c>
      <c r="J116" s="20">
        <f t="shared" si="19"/>
        <v>26.197980043080094</v>
      </c>
      <c r="K116" s="20">
        <f t="shared" si="20"/>
        <v>17.713163922203083</v>
      </c>
    </row>
    <row r="117" spans="1:11">
      <c r="A117" s="14">
        <f t="shared" si="23"/>
        <v>116</v>
      </c>
      <c r="B117" s="14">
        <f t="shared" si="14"/>
        <v>15.424432798163838</v>
      </c>
      <c r="C117" s="14">
        <f t="shared" si="15"/>
        <v>35.481910694487503</v>
      </c>
      <c r="D117" s="6">
        <f>D116-COS(($M$4-$E$6*($M$11-$M$12)+45)/180*PI())*$E$7</f>
        <v>29.75881904510252</v>
      </c>
      <c r="E117" s="6">
        <f>E116-SIN(($M$4-$E$6*($M$11-$M$12)+45)/180*PI())*$E$7</f>
        <v>34.024455230477514</v>
      </c>
      <c r="F117" s="20">
        <f t="shared" si="25"/>
        <v>295.82499999999953</v>
      </c>
      <c r="G117" s="20">
        <f t="shared" si="17"/>
        <v>22.980153766226998</v>
      </c>
      <c r="H117" s="20">
        <f t="shared" si="18"/>
        <v>19.974710244298109</v>
      </c>
      <c r="I117" s="20">
        <f t="shared" si="24"/>
        <v>315.59999999999872</v>
      </c>
      <c r="J117" s="20">
        <f t="shared" si="19"/>
        <v>26.286836077796728</v>
      </c>
      <c r="K117" s="20">
        <f t="shared" si="20"/>
        <v>17.802019956919711</v>
      </c>
    </row>
    <row r="118" spans="1:11">
      <c r="A118" s="14">
        <f t="shared" si="23"/>
        <v>117</v>
      </c>
      <c r="B118" s="14">
        <f t="shared" si="14"/>
        <v>15.190142503906799</v>
      </c>
      <c r="C118" s="14">
        <f t="shared" si="15"/>
        <v>35.365097862825522</v>
      </c>
      <c r="D118" s="18">
        <f>COS(($M$4-$E$6*($M$11-$M$12))/180*PI())*$E$1*1.15+D113</f>
        <v>30.625</v>
      </c>
      <c r="E118" s="19">
        <f>SIN(($M$4-$E$6*($M$11-$M$12))/180*PI())*$E$1*1.15+E113</f>
        <v>36.938938215281567</v>
      </c>
      <c r="F118" s="20">
        <f t="shared" si="25"/>
        <v>296.84999999999951</v>
      </c>
      <c r="G118" s="20">
        <f t="shared" si="17"/>
        <v>23.016226668201753</v>
      </c>
      <c r="H118" s="20">
        <f t="shared" si="18"/>
        <v>19.992567969062076</v>
      </c>
      <c r="I118" s="20">
        <f t="shared" si="24"/>
        <v>316.7999999999987</v>
      </c>
      <c r="J118" s="20">
        <f t="shared" si="19"/>
        <v>26.373811764528377</v>
      </c>
      <c r="K118" s="20">
        <f t="shared" si="20"/>
        <v>17.892717364427767</v>
      </c>
    </row>
    <row r="119" spans="1:11">
      <c r="A119" s="14">
        <f t="shared" si="23"/>
        <v>118</v>
      </c>
      <c r="B119" s="14">
        <f t="shared" si="14"/>
        <v>14.957926558211643</v>
      </c>
      <c r="C119" s="14">
        <f t="shared" si="15"/>
        <v>35.244213892883906</v>
      </c>
      <c r="F119" s="20">
        <f t="shared" si="25"/>
        <v>297.87499999999949</v>
      </c>
      <c r="G119" s="20">
        <f t="shared" si="17"/>
        <v>23.051974347012234</v>
      </c>
      <c r="H119" s="20">
        <f t="shared" si="18"/>
        <v>20.011068132582672</v>
      </c>
      <c r="I119" s="20">
        <f t="shared" si="24"/>
        <v>317.99999999999869</v>
      </c>
      <c r="J119" s="20">
        <f t="shared" si="19"/>
        <v>26.458868952864272</v>
      </c>
      <c r="K119" s="20">
        <f t="shared" si="20"/>
        <v>17.985216361846746</v>
      </c>
    </row>
    <row r="120" spans="1:11">
      <c r="A120" s="14">
        <f t="shared" si="23"/>
        <v>119</v>
      </c>
      <c r="B120" s="14">
        <f t="shared" si="14"/>
        <v>14.727855696304946</v>
      </c>
      <c r="C120" s="14">
        <f t="shared" si="15"/>
        <v>35.11929560709094</v>
      </c>
      <c r="F120" s="20">
        <f t="shared" si="25"/>
        <v>298.89999999999947</v>
      </c>
      <c r="G120" s="20">
        <f t="shared" si="17"/>
        <v>23.087385362323737</v>
      </c>
      <c r="H120" s="20">
        <f t="shared" si="18"/>
        <v>20.030204814249949</v>
      </c>
      <c r="I120" s="20">
        <f t="shared" si="24"/>
        <v>319.19999999999868</v>
      </c>
      <c r="J120" s="20">
        <f t="shared" si="19"/>
        <v>26.541970333910449</v>
      </c>
      <c r="K120" s="20">
        <f t="shared" si="20"/>
        <v>18.079476376059265</v>
      </c>
    </row>
    <row r="121" spans="1:11">
      <c r="A121" s="14">
        <f t="shared" si="23"/>
        <v>120</v>
      </c>
      <c r="B121" s="14">
        <f t="shared" si="14"/>
        <v>14.500000000000004</v>
      </c>
      <c r="C121" s="14">
        <f t="shared" si="15"/>
        <v>34.99038105676658</v>
      </c>
      <c r="F121" s="20">
        <f t="shared" si="25"/>
        <v>299.92499999999944</v>
      </c>
      <c r="G121" s="20">
        <f t="shared" si="17"/>
        <v>23.122448381544022</v>
      </c>
      <c r="H121" s="20">
        <f t="shared" si="18"/>
        <v>20.049971889748971</v>
      </c>
      <c r="I121" s="20">
        <f t="shared" si="24"/>
        <v>320.39999999999867</v>
      </c>
      <c r="J121" s="20">
        <f t="shared" si="19"/>
        <v>26.623079456654647</v>
      </c>
      <c r="K121" s="20">
        <f t="shared" si="20"/>
        <v>18.175456061507756</v>
      </c>
    </row>
    <row r="122" spans="1:11">
      <c r="A122" s="14">
        <f t="shared" si="23"/>
        <v>121</v>
      </c>
      <c r="B122" s="14">
        <f t="shared" si="14"/>
        <v>14.274428876349186</v>
      </c>
      <c r="C122" s="14">
        <f t="shared" si="15"/>
        <v>34.857509510531685</v>
      </c>
      <c r="F122" s="20">
        <f t="shared" si="25"/>
        <v>300.94999999999942</v>
      </c>
      <c r="G122" s="20">
        <f t="shared" si="17"/>
        <v>23.157152183450094</v>
      </c>
      <c r="H122" s="20">
        <f t="shared" si="18"/>
        <v>20.070363033019767</v>
      </c>
      <c r="I122" s="20">
        <f t="shared" si="24"/>
        <v>321.59999999999866</v>
      </c>
      <c r="J122" s="20">
        <f t="shared" si="19"/>
        <v>26.702160743954952</v>
      </c>
      <c r="K122" s="20">
        <f t="shared" si="20"/>
        <v>18.273113318330026</v>
      </c>
    </row>
    <row r="123" spans="1:11">
      <c r="A123" s="14">
        <f t="shared" si="23"/>
        <v>122</v>
      </c>
      <c r="B123" s="14">
        <f t="shared" si="14"/>
        <v>14.051211036501929</v>
      </c>
      <c r="C123" s="14">
        <f t="shared" si="15"/>
        <v>34.720721442346388</v>
      </c>
      <c r="F123" s="20">
        <f t="shared" si="25"/>
        <v>301.9749999999994</v>
      </c>
      <c r="G123" s="20">
        <f t="shared" si="17"/>
        <v>23.191485661779325</v>
      </c>
      <c r="H123" s="20">
        <f t="shared" si="18"/>
        <v>20.091371718281874</v>
      </c>
      <c r="I123" s="20">
        <f t="shared" si="24"/>
        <v>322.79999999999865</v>
      </c>
      <c r="J123" s="20">
        <f t="shared" si="19"/>
        <v>26.779179508145091</v>
      </c>
      <c r="K123" s="20">
        <f t="shared" si="20"/>
        <v>18.372405310825638</v>
      </c>
    </row>
    <row r="124" spans="1:11">
      <c r="A124" s="14">
        <f t="shared" si="23"/>
        <v>123</v>
      </c>
      <c r="B124" s="14">
        <f t="shared" si="14"/>
        <v>13.830414474774594</v>
      </c>
      <c r="C124" s="14">
        <f t="shared" si="15"/>
        <v>34.580058519181357</v>
      </c>
      <c r="F124" s="20">
        <f t="shared" si="25"/>
        <v>302.99999999999937</v>
      </c>
      <c r="G124" s="20">
        <f t="shared" si="17"/>
        <v>23.225437828783789</v>
      </c>
      <c r="H124" s="20">
        <f t="shared" si="18"/>
        <v>20.112991222122783</v>
      </c>
      <c r="I124" s="20">
        <f t="shared" si="24"/>
        <v>323.99999999999864</v>
      </c>
      <c r="J124" s="20">
        <f t="shared" si="19"/>
        <v>26.854101966249601</v>
      </c>
      <c r="K124" s="20">
        <f t="shared" si="20"/>
        <v>18.473288486245043</v>
      </c>
    </row>
    <row r="125" spans="1:11">
      <c r="A125" s="14">
        <f t="shared" si="23"/>
        <v>124</v>
      </c>
      <c r="B125" s="14">
        <f t="shared" si="14"/>
        <v>13.6121064479388</v>
      </c>
      <c r="C125" s="14">
        <f t="shared" si="15"/>
        <v>34.435563588325628</v>
      </c>
      <c r="F125" s="20">
        <f t="shared" si="25"/>
        <v>304.02499999999935</v>
      </c>
      <c r="G125" s="20">
        <f t="shared" si="17"/>
        <v>23.258997818746685</v>
      </c>
      <c r="H125" s="20">
        <f t="shared" si="18"/>
        <v>20.135214625649621</v>
      </c>
      <c r="I125" s="20">
        <f t="shared" si="24"/>
        <v>325.19999999999862</v>
      </c>
      <c r="J125" s="20">
        <f t="shared" si="19"/>
        <v>26.926895254802144</v>
      </c>
      <c r="K125" s="20">
        <f t="shared" si="20"/>
        <v>18.575718593893292</v>
      </c>
    </row>
    <row r="126" spans="1:11">
      <c r="A126" s="14">
        <f t="shared" si="23"/>
        <v>125</v>
      </c>
      <c r="B126" s="14">
        <f t="shared" si="14"/>
        <v>13.396353454734312</v>
      </c>
      <c r="C126" s="14">
        <f t="shared" si="15"/>
        <v>34.28728066433488</v>
      </c>
      <c r="F126" s="20">
        <f t="shared" si="25"/>
        <v>305.04999999999933</v>
      </c>
      <c r="G126" s="20">
        <f t="shared" si="17"/>
        <v>23.292154891459674</v>
      </c>
      <c r="H126" s="20">
        <f t="shared" si="18"/>
        <v>20.15803481670341</v>
      </c>
      <c r="I126" s="20">
        <f t="shared" si="24"/>
        <v>326.39999999999861</v>
      </c>
      <c r="J126" s="20">
        <f t="shared" si="19"/>
        <v>26.997527444260516</v>
      </c>
      <c r="K126" s="20">
        <f t="shared" si="20"/>
        <v>18.679650704539814</v>
      </c>
    </row>
    <row r="127" spans="1:11">
      <c r="A127" s="14">
        <f t="shared" si="23"/>
        <v>126</v>
      </c>
      <c r="B127" s="14">
        <f t="shared" si="14"/>
        <v>13.183221215612905</v>
      </c>
      <c r="C127" s="14">
        <f t="shared" si="15"/>
        <v>34.135254915624216</v>
      </c>
      <c r="F127" s="20">
        <f t="shared" si="25"/>
        <v>306.07499999999931</v>
      </c>
      <c r="G127" s="20">
        <f t="shared" si="17"/>
        <v>23.324898435660092</v>
      </c>
      <c r="H127" s="20">
        <f t="shared" si="18"/>
        <v>20.181444492135189</v>
      </c>
      <c r="I127" s="20">
        <f t="shared" si="24"/>
        <v>327.5999999999986</v>
      </c>
      <c r="J127" s="20">
        <f t="shared" si="19"/>
        <v>27.065967553012012</v>
      </c>
      <c r="K127" s="20">
        <f t="shared" si="20"/>
        <v>18.785039230125896</v>
      </c>
    </row>
    <row r="128" spans="1:11">
      <c r="A128" s="14">
        <f t="shared" si="23"/>
        <v>127</v>
      </c>
      <c r="B128" s="14">
        <f t="shared" si="14"/>
        <v>12.972774652719274</v>
      </c>
      <c r="C128" s="14">
        <f t="shared" si="15"/>
        <v>33.979532650709388</v>
      </c>
      <c r="F128" s="20">
        <f t="shared" si="25"/>
        <v>307.09999999999928</v>
      </c>
      <c r="G128" s="20">
        <f t="shared" si="17"/>
        <v>23.357217972426863</v>
      </c>
      <c r="H128" s="20">
        <f t="shared" si="18"/>
        <v>20.205436160143218</v>
      </c>
      <c r="I128" s="20">
        <f t="shared" si="24"/>
        <v>328.79999999999859</v>
      </c>
      <c r="J128" s="20">
        <f t="shared" si="19"/>
        <v>27.132185560962963</v>
      </c>
      <c r="K128" s="20">
        <f t="shared" si="20"/>
        <v>18.891837943761089</v>
      </c>
    </row>
    <row r="129" spans="1:11">
      <c r="A129" s="14">
        <f t="shared" si="23"/>
        <v>128</v>
      </c>
      <c r="B129" s="14">
        <f t="shared" ref="B129:B192" si="26">COS(A129/180*PI())*$E$1+$E$2</f>
        <v>12.765077870115126</v>
      </c>
      <c r="C129" s="14">
        <f t="shared" ref="C129:C192" si="27">SIN(A129/180*PI())*$E$1+$E$3</f>
        <v>33.820161304100829</v>
      </c>
      <c r="F129" s="20">
        <f t="shared" si="25"/>
        <v>308.12499999999926</v>
      </c>
      <c r="G129" s="20">
        <f t="shared" si="17"/>
        <v>23.389103158534063</v>
      </c>
      <c r="H129" s="20">
        <f t="shared" si="18"/>
        <v>20.230002142670592</v>
      </c>
      <c r="I129" s="20">
        <f t="shared" si="24"/>
        <v>329.99999999999858</v>
      </c>
      <c r="J129" s="20">
        <f t="shared" si="19"/>
        <v>27.196152422706557</v>
      </c>
      <c r="K129" s="20">
        <f t="shared" si="20"/>
        <v>18.999999999999872</v>
      </c>
    </row>
    <row r="130" spans="1:11">
      <c r="A130" s="14">
        <f t="shared" si="23"/>
        <v>129</v>
      </c>
      <c r="B130" s="14">
        <f t="shared" si="26"/>
        <v>12.560194134252441</v>
      </c>
      <c r="C130" s="14">
        <f t="shared" si="27"/>
        <v>33.657189421854568</v>
      </c>
      <c r="F130" s="20">
        <f t="shared" si="25"/>
        <v>309.14999999999924</v>
      </c>
      <c r="G130" s="20">
        <f t="shared" si="17"/>
        <v>23.420543789761076</v>
      </c>
      <c r="H130" s="20">
        <f t="shared" si="18"/>
        <v>20.255134577862453</v>
      </c>
      <c r="I130" s="20">
        <f t="shared" si="24"/>
        <v>331.19999999999857</v>
      </c>
      <c r="J130" s="20">
        <f t="shared" si="19"/>
        <v>27.257840080263108</v>
      </c>
      <c r="K130" s="20">
        <f t="shared" si="20"/>
        <v>19.109477955389579</v>
      </c>
    </row>
    <row r="131" spans="1:11">
      <c r="A131" s="14">
        <f t="shared" si="23"/>
        <v>130</v>
      </c>
      <c r="B131" s="14">
        <f t="shared" si="26"/>
        <v>12.35818585470191</v>
      </c>
      <c r="C131" s="14">
        <f t="shared" si="27"/>
        <v>33.490666646784668</v>
      </c>
      <c r="F131" s="20">
        <f t="shared" si="25"/>
        <v>310.17499999999922</v>
      </c>
      <c r="G131" s="20">
        <f t="shared" si="17"/>
        <v>23.451529804158248</v>
      </c>
      <c r="H131" s="20">
        <f t="shared" si="18"/>
        <v>20.280825422582012</v>
      </c>
      <c r="I131" s="20">
        <f t="shared" si="24"/>
        <v>332.39999999999856</v>
      </c>
      <c r="J131" s="20">
        <f t="shared" si="19"/>
        <v>27.317221475387218</v>
      </c>
      <c r="K131" s="20">
        <f t="shared" si="20"/>
        <v>19.220223789280695</v>
      </c>
    </row>
    <row r="132" spans="1:11">
      <c r="A132" s="14">
        <f t="shared" si="23"/>
        <v>131</v>
      </c>
      <c r="B132" s="14">
        <f t="shared" si="26"/>
        <v>12.159114565142392</v>
      </c>
      <c r="C132" s="14">
        <f t="shared" si="27"/>
        <v>33.320643703341581</v>
      </c>
      <c r="F132" s="20">
        <f t="shared" si="25"/>
        <v>311.19999999999919</v>
      </c>
      <c r="G132" s="20">
        <f t="shared" si="17"/>
        <v>23.482051285267008</v>
      </c>
      <c r="H132" s="20">
        <f t="shared" si="18"/>
        <v>20.3070664549846</v>
      </c>
      <c r="I132" s="20">
        <f t="shared" si="24"/>
        <v>333.59999999999854</v>
      </c>
      <c r="J132" s="20">
        <f t="shared" si="19"/>
        <v>27.374270561436411</v>
      </c>
      <c r="K132" s="20">
        <f t="shared" si="20"/>
        <v>19.332188924890296</v>
      </c>
    </row>
    <row r="133" spans="1:11">
      <c r="A133" s="14">
        <f t="shared" si="23"/>
        <v>132</v>
      </c>
      <c r="B133" s="14">
        <f t="shared" si="26"/>
        <v>11.963040904617131</v>
      </c>
      <c r="C133" s="14">
        <f t="shared" si="27"/>
        <v>33.147172382160917</v>
      </c>
      <c r="F133" s="20">
        <f t="shared" ref="F133:F164" si="28">MOD(F132-$E$6*$H$2,360)</f>
        <v>312.22499999999917</v>
      </c>
      <c r="G133" s="20">
        <f t="shared" si="17"/>
        <v>23.512098465293445</v>
      </c>
      <c r="H133" s="20">
        <f t="shared" si="18"/>
        <v>20.333849277148907</v>
      </c>
      <c r="I133" s="20">
        <f t="shared" si="24"/>
        <v>334.79999999999853</v>
      </c>
      <c r="J133" s="20">
        <f t="shared" si="19"/>
        <v>27.428962314796053</v>
      </c>
      <c r="K133" s="20">
        <f t="shared" si="20"/>
        <v>19.445324250609421</v>
      </c>
    </row>
    <row r="134" spans="1:11">
      <c r="A134" s="14">
        <f t="shared" si="23"/>
        <v>133</v>
      </c>
      <c r="B134" s="14">
        <f t="shared" si="26"/>
        <v>11.770024599062525</v>
      </c>
      <c r="C134" s="14">
        <f t="shared" si="27"/>
        <v>32.970305524287561</v>
      </c>
      <c r="F134" s="20">
        <f t="shared" si="28"/>
        <v>313.24999999999915</v>
      </c>
      <c r="G134" s="20">
        <f t="shared" ref="G134:G197" si="29">COS(F134/180*PI())*$E$1*$M$19+$E$2</f>
        <v>23.541661728234285</v>
      </c>
      <c r="H134" s="20">
        <f t="shared" ref="H134:H197" si="30">SIN(F134/180*PI())*$E$1*$M$19+$E$3</f>
        <v>20.361165317764577</v>
      </c>
      <c r="I134" s="20">
        <f t="shared" si="24"/>
        <v>335.99999999999852</v>
      </c>
      <c r="J134" s="20">
        <f t="shared" ref="J134:J197" si="31">COS(I134/180*PI())*$E$1*$M$23+$E$2</f>
        <v>27.481272745855541</v>
      </c>
      <c r="K134" s="20">
        <f t="shared" ref="K134:K197" si="32">SIN(I134/180*PI())*$E$1*$M$23+$E$3</f>
        <v>19.559580141545059</v>
      </c>
    </row>
    <row r="135" spans="1:11">
      <c r="A135" s="14">
        <f t="shared" si="23"/>
        <v>134</v>
      </c>
      <c r="B135" s="14">
        <f t="shared" si="26"/>
        <v>11.580124443115039</v>
      </c>
      <c r="C135" s="14">
        <f t="shared" si="27"/>
        <v>32.790097005079765</v>
      </c>
      <c r="F135" s="20">
        <f t="shared" si="28"/>
        <v>314.27499999999912</v>
      </c>
      <c r="G135" s="20">
        <f t="shared" si="29"/>
        <v>23.570731612954312</v>
      </c>
      <c r="H135" s="20">
        <f t="shared" si="30"/>
        <v>20.389005834875263</v>
      </c>
      <c r="I135" s="20">
        <f t="shared" si="24"/>
        <v>337.19999999999851</v>
      </c>
      <c r="J135" s="20">
        <f t="shared" si="31"/>
        <v>27.531178909530944</v>
      </c>
      <c r="K135" s="20">
        <f t="shared" si="32"/>
        <v>19.674906481287238</v>
      </c>
    </row>
    <row r="136" spans="1:11">
      <c r="A136" s="14">
        <f t="shared" si="23"/>
        <v>135</v>
      </c>
      <c r="B136" s="14">
        <f t="shared" si="26"/>
        <v>11.393398282201789</v>
      </c>
      <c r="C136" s="14">
        <f t="shared" si="27"/>
        <v>32.606601717798213</v>
      </c>
      <c r="F136" s="20">
        <f t="shared" si="28"/>
        <v>315.2999999999991</v>
      </c>
      <c r="G136" s="20">
        <f t="shared" si="29"/>
        <v>23.599298816214208</v>
      </c>
      <c r="H136" s="20">
        <f t="shared" si="30"/>
        <v>20.417361918676338</v>
      </c>
      <c r="I136" s="20">
        <f t="shared" si="24"/>
        <v>338.3999999999985</v>
      </c>
      <c r="J136" s="20">
        <f t="shared" si="31"/>
        <v>27.578658915329449</v>
      </c>
      <c r="K136" s="20">
        <f t="shared" si="32"/>
        <v>19.791252683891784</v>
      </c>
    </row>
    <row r="137" spans="1:11">
      <c r="A137" s="14">
        <f t="shared" si="23"/>
        <v>136</v>
      </c>
      <c r="B137" s="14">
        <f t="shared" si="26"/>
        <v>11.209902994920235</v>
      </c>
      <c r="C137" s="14">
        <f t="shared" si="27"/>
        <v>32.419875556884961</v>
      </c>
      <c r="F137" s="20">
        <f t="shared" si="28"/>
        <v>316.32499999999908</v>
      </c>
      <c r="G137" s="20">
        <f t="shared" si="29"/>
        <v>23.627354195647879</v>
      </c>
      <c r="H137" s="20">
        <f t="shared" si="30"/>
        <v>20.446224494366305</v>
      </c>
      <c r="I137" s="20">
        <f t="shared" si="24"/>
        <v>339.59999999999849</v>
      </c>
      <c r="J137" s="20">
        <f t="shared" si="31"/>
        <v>27.623691936951293</v>
      </c>
      <c r="K137" s="20">
        <f t="shared" si="32"/>
        <v>19.908567716068958</v>
      </c>
    </row>
    <row r="138" spans="1:11">
      <c r="A138" s="14">
        <f t="shared" si="23"/>
        <v>137</v>
      </c>
      <c r="B138" s="14">
        <f t="shared" si="26"/>
        <v>11.029694475712443</v>
      </c>
      <c r="C138" s="14">
        <f t="shared" si="27"/>
        <v>32.229975400937477</v>
      </c>
      <c r="F138" s="20">
        <f t="shared" si="28"/>
        <v>317.34999999999906</v>
      </c>
      <c r="G138" s="20">
        <f t="shared" si="29"/>
        <v>23.654888772688274</v>
      </c>
      <c r="H138" s="20">
        <f t="shared" si="30"/>
        <v>20.475584325050974</v>
      </c>
      <c r="I138" s="20">
        <f t="shared" si="24"/>
        <v>340.79999999999848</v>
      </c>
      <c r="J138" s="20">
        <f t="shared" si="31"/>
        <v>27.666258221424833</v>
      </c>
      <c r="K138" s="20">
        <f t="shared" si="32"/>
        <v>20.02680011956835</v>
      </c>
    </row>
    <row r="139" spans="1:11">
      <c r="A139" s="14">
        <f t="shared" si="23"/>
        <v>138</v>
      </c>
      <c r="B139" s="14">
        <f t="shared" si="26"/>
        <v>10.852827617839084</v>
      </c>
      <c r="C139" s="14">
        <f t="shared" si="27"/>
        <v>32.036959095382869</v>
      </c>
      <c r="F139" s="20">
        <f t="shared" si="28"/>
        <v>318.37499999999903</v>
      </c>
      <c r="G139" s="20">
        <f t="shared" si="29"/>
        <v>23.681893735440816</v>
      </c>
      <c r="H139" s="20">
        <f t="shared" si="30"/>
        <v>20.505432014699586</v>
      </c>
      <c r="I139" s="20">
        <f t="shared" si="24"/>
        <v>341.99999999999847</v>
      </c>
      <c r="J139" s="20">
        <f t="shared" si="31"/>
        <v>27.706339097770872</v>
      </c>
      <c r="K139" s="20">
        <f t="shared" si="32"/>
        <v>20.145898033750161</v>
      </c>
    </row>
    <row r="140" spans="1:11">
      <c r="A140" s="14">
        <f t="shared" si="23"/>
        <v>139</v>
      </c>
      <c r="B140" s="14">
        <f t="shared" si="26"/>
        <v>10.679356296658419</v>
      </c>
      <c r="C140" s="14">
        <f t="shared" si="27"/>
        <v>31.840885434857611</v>
      </c>
      <c r="F140" s="20">
        <f t="shared" si="28"/>
        <v>319.39999999999901</v>
      </c>
      <c r="G140" s="20">
        <f t="shared" si="29"/>
        <v>23.708360441503455</v>
      </c>
      <c r="H140" s="20">
        <f t="shared" si="30"/>
        <v>20.535758011151806</v>
      </c>
      <c r="I140" s="20">
        <f t="shared" si="24"/>
        <v>343.19999999999845</v>
      </c>
      <c r="J140" s="20">
        <f t="shared" si="31"/>
        <v>27.743916985192357</v>
      </c>
      <c r="K140" s="20">
        <f t="shared" si="32"/>
        <v>20.265809218333015</v>
      </c>
    </row>
    <row r="141" spans="1:11">
      <c r="A141" s="14">
        <f t="shared" si="23"/>
        <v>140</v>
      </c>
      <c r="B141" s="14">
        <f t="shared" si="26"/>
        <v>10.509333353215332</v>
      </c>
      <c r="C141" s="14">
        <f t="shared" si="27"/>
        <v>31.641814145298092</v>
      </c>
      <c r="F141" s="20">
        <f t="shared" si="28"/>
        <v>320.42499999999899</v>
      </c>
      <c r="G141" s="20">
        <f t="shared" si="29"/>
        <v>23.73428042073251</v>
      </c>
      <c r="H141" s="20">
        <f t="shared" si="30"/>
        <v>20.566552609174696</v>
      </c>
      <c r="I141" s="20">
        <f t="shared" si="24"/>
        <v>344.39999999999844</v>
      </c>
      <c r="J141" s="20">
        <f t="shared" si="31"/>
        <v>27.778975400785903</v>
      </c>
      <c r="K141" s="20">
        <f t="shared" si="32"/>
        <v>20.386481076308247</v>
      </c>
    </row>
    <row r="142" spans="1:11">
      <c r="A142" s="14">
        <f t="shared" si="23"/>
        <v>141</v>
      </c>
      <c r="B142" s="14">
        <f t="shared" si="26"/>
        <v>10.342810578145436</v>
      </c>
      <c r="C142" s="14">
        <f t="shared" si="27"/>
        <v>31.439805865747559</v>
      </c>
      <c r="F142" s="20">
        <f t="shared" si="28"/>
        <v>321.44999999999897</v>
      </c>
      <c r="G142" s="20">
        <f t="shared" si="29"/>
        <v>23.759645377953362</v>
      </c>
      <c r="H142" s="20">
        <f t="shared" si="30"/>
        <v>20.597805953568706</v>
      </c>
      <c r="I142" s="20">
        <f t="shared" si="24"/>
        <v>345.59999999999843</v>
      </c>
      <c r="J142" s="20">
        <f t="shared" si="31"/>
        <v>27.811498966771747</v>
      </c>
      <c r="K142" s="20">
        <f t="shared" si="32"/>
        <v>20.507860677010711</v>
      </c>
    </row>
    <row r="143" spans="1:11">
      <c r="A143" s="14">
        <f t="shared" si="23"/>
        <v>142</v>
      </c>
      <c r="B143" s="14">
        <f t="shared" si="26"/>
        <v>10.179838695899171</v>
      </c>
      <c r="C143" s="14">
        <f t="shared" si="27"/>
        <v>31.234922129884875</v>
      </c>
      <c r="F143" s="20">
        <f t="shared" si="28"/>
        <v>322.47499999999894</v>
      </c>
      <c r="G143" s="20">
        <f t="shared" si="29"/>
        <v>23.784447195615169</v>
      </c>
      <c r="H143" s="20">
        <f t="shared" si="30"/>
        <v>20.629508042321604</v>
      </c>
      <c r="I143" s="20">
        <f t="shared" si="24"/>
        <v>346.79999999999842</v>
      </c>
      <c r="J143" s="20">
        <f t="shared" si="31"/>
        <v>27.841473417238923</v>
      </c>
      <c r="K143" s="20">
        <f t="shared" si="32"/>
        <v>20.629894779335903</v>
      </c>
    </row>
    <row r="144" spans="1:11">
      <c r="A144" s="14">
        <f t="shared" si="23"/>
        <v>143</v>
      </c>
      <c r="B144" s="14">
        <f t="shared" si="26"/>
        <v>10.020467349290611</v>
      </c>
      <c r="C144" s="14">
        <f t="shared" si="27"/>
        <v>31.027225347280726</v>
      </c>
      <c r="F144" s="20">
        <f t="shared" si="28"/>
        <v>323.49999999999892</v>
      </c>
      <c r="G144" s="20">
        <f t="shared" si="29"/>
        <v>23.808677936388712</v>
      </c>
      <c r="H144" s="20">
        <f t="shared" si="30"/>
        <v>20.661648729809446</v>
      </c>
      <c r="I144" s="20">
        <f t="shared" si="24"/>
        <v>347.99999999999841</v>
      </c>
      <c r="J144" s="20">
        <f t="shared" si="31"/>
        <v>27.868885604402799</v>
      </c>
      <c r="K144" s="20">
        <f t="shared" si="32"/>
        <v>20.752529855093279</v>
      </c>
    </row>
    <row r="145" spans="1:11">
      <c r="A145" s="14">
        <f t="shared" si="23"/>
        <v>144</v>
      </c>
      <c r="B145" s="14">
        <f t="shared" si="26"/>
        <v>9.8647450843757891</v>
      </c>
      <c r="C145" s="14">
        <f t="shared" si="27"/>
        <v>30.816778784387097</v>
      </c>
      <c r="F145" s="20">
        <f t="shared" si="28"/>
        <v>324.5249999999989</v>
      </c>
      <c r="G145" s="20">
        <f t="shared" si="29"/>
        <v>23.832329845706607</v>
      </c>
      <c r="H145" s="20">
        <f t="shared" si="30"/>
        <v>20.694217730043476</v>
      </c>
      <c r="I145" s="20">
        <f t="shared" si="24"/>
        <v>349.1999999999984</v>
      </c>
      <c r="J145" s="20">
        <f t="shared" si="31"/>
        <v>27.893723504372101</v>
      </c>
      <c r="K145" s="20">
        <f t="shared" si="32"/>
        <v>20.875712112485484</v>
      </c>
    </row>
    <row r="146" spans="1:11">
      <c r="A146" s="14">
        <f t="shared" si="23"/>
        <v>145</v>
      </c>
      <c r="B146" s="14">
        <f t="shared" si="26"/>
        <v>9.7127193356651205</v>
      </c>
      <c r="C146" s="14">
        <f t="shared" si="27"/>
        <v>30.60364654526569</v>
      </c>
      <c r="F146" s="20">
        <f t="shared" si="28"/>
        <v>325.54999999999887</v>
      </c>
      <c r="G146" s="20">
        <f t="shared" si="29"/>
        <v>23.855395354244962</v>
      </c>
      <c r="H146" s="20">
        <f t="shared" si="30"/>
        <v>20.727204619961945</v>
      </c>
      <c r="I146" s="20">
        <f t="shared" si="24"/>
        <v>350.39999999999839</v>
      </c>
      <c r="J146" s="20">
        <f t="shared" si="31"/>
        <v>27.915976222423001</v>
      </c>
      <c r="K146" s="20">
        <f t="shared" si="32"/>
        <v>20.999387519703216</v>
      </c>
    </row>
    <row r="147" spans="1:11">
      <c r="A147" s="14">
        <f t="shared" si="23"/>
        <v>146</v>
      </c>
      <c r="B147" s="14">
        <f t="shared" si="26"/>
        <v>9.5644364116743752</v>
      </c>
      <c r="C147" s="14">
        <f t="shared" si="27"/>
        <v>30.387893552061204</v>
      </c>
      <c r="F147" s="20">
        <f t="shared" si="28"/>
        <v>326.57499999999885</v>
      </c>
      <c r="G147" s="20">
        <f t="shared" si="29"/>
        <v>23.877867080345823</v>
      </c>
      <c r="H147" s="20">
        <f t="shared" si="30"/>
        <v>20.760598842765809</v>
      </c>
      <c r="I147" s="20">
        <f t="shared" si="24"/>
        <v>351.59999999999837</v>
      </c>
      <c r="J147" s="20">
        <f t="shared" si="31"/>
        <v>27.935633997777906</v>
      </c>
      <c r="K147" s="20">
        <f t="shared" si="32"/>
        <v>21.123501828625361</v>
      </c>
    </row>
    <row r="148" spans="1:11">
      <c r="A148" s="14">
        <f t="shared" si="23"/>
        <v>147</v>
      </c>
      <c r="B148" s="14">
        <f t="shared" si="26"/>
        <v>9.4199414808186415</v>
      </c>
      <c r="C148" s="14">
        <f t="shared" si="27"/>
        <v>30.169585525225408</v>
      </c>
      <c r="F148" s="20">
        <f t="shared" si="28"/>
        <v>327.59999999999883</v>
      </c>
      <c r="G148" s="20">
        <f t="shared" si="29"/>
        <v>23.899737832379508</v>
      </c>
      <c r="H148" s="20">
        <f t="shared" si="30"/>
        <v>20.794389711297217</v>
      </c>
      <c r="I148" s="20">
        <f t="shared" si="24"/>
        <v>352.79999999999836</v>
      </c>
      <c r="J148" s="20">
        <f t="shared" si="31"/>
        <v>27.952688207886844</v>
      </c>
      <c r="K148" s="20">
        <f t="shared" si="32"/>
        <v>21.248000598614002</v>
      </c>
    </row>
    <row r="149" spans="1:11">
      <c r="A149" s="14">
        <f t="shared" si="23"/>
        <v>148</v>
      </c>
      <c r="B149" s="14">
        <f t="shared" si="26"/>
        <v>9.2792785576536101</v>
      </c>
      <c r="C149" s="14">
        <f t="shared" si="27"/>
        <v>29.948788963498075</v>
      </c>
      <c r="F149" s="20">
        <f t="shared" si="28"/>
        <v>328.62499999999881</v>
      </c>
      <c r="G149" s="20">
        <f t="shared" si="29"/>
        <v>23.921000611046157</v>
      </c>
      <c r="H149" s="20">
        <f t="shared" si="30"/>
        <v>20.828566411459747</v>
      </c>
      <c r="I149" s="20">
        <f t="shared" si="24"/>
        <v>353.99999999999835</v>
      </c>
      <c r="J149" s="20">
        <f t="shared" si="31"/>
        <v>27.967131372209622</v>
      </c>
      <c r="K149" s="20">
        <f t="shared" si="32"/>
        <v>21.372829220393903</v>
      </c>
    </row>
    <row r="150" spans="1:11">
      <c r="A150" s="14">
        <f t="shared" si="23"/>
        <v>149</v>
      </c>
      <c r="B150" s="14">
        <f t="shared" si="26"/>
        <v>9.142490489468317</v>
      </c>
      <c r="C150" s="14">
        <f t="shared" si="27"/>
        <v>29.725571123650816</v>
      </c>
      <c r="F150" s="20">
        <f t="shared" si="28"/>
        <v>329.64999999999878</v>
      </c>
      <c r="G150" s="20">
        <f t="shared" si="29"/>
        <v>23.941648611615697</v>
      </c>
      <c r="H150" s="20">
        <f t="shared" si="30"/>
        <v>20.863118005679205</v>
      </c>
      <c r="I150" s="20">
        <f t="shared" si="24"/>
        <v>355.19999999999834</v>
      </c>
      <c r="J150" s="20">
        <f t="shared" si="31"/>
        <v>27.97895715549701</v>
      </c>
      <c r="K150" s="20">
        <f t="shared" si="32"/>
        <v>21.497932940005931</v>
      </c>
    </row>
    <row r="151" spans="1:11">
      <c r="A151" s="14">
        <f t="shared" ref="A151:A214" si="33">A150+1</f>
        <v>150</v>
      </c>
      <c r="B151" s="14">
        <f t="shared" si="26"/>
        <v>9.0096189432334199</v>
      </c>
      <c r="C151" s="14">
        <f t="shared" si="27"/>
        <v>29.5</v>
      </c>
      <c r="F151" s="20">
        <f t="shared" si="28"/>
        <v>330.67499999999876</v>
      </c>
      <c r="G151" s="20">
        <f t="shared" si="29"/>
        <v>23.961675226105601</v>
      </c>
      <c r="H151" s="20">
        <f t="shared" si="30"/>
        <v>20.898033436404017</v>
      </c>
      <c r="I151" s="20">
        <f t="shared" ref="I151:I203" si="34">MOD(I150-$E$6*$K$2,360)</f>
        <v>356.39999999999833</v>
      </c>
      <c r="J151" s="20">
        <f t="shared" si="31"/>
        <v>27.98816037056962</v>
      </c>
      <c r="K151" s="20">
        <f t="shared" si="32"/>
        <v>21.623256882823945</v>
      </c>
    </row>
    <row r="152" spans="1:11">
      <c r="A152" s="14">
        <f t="shared" si="33"/>
        <v>151</v>
      </c>
      <c r="B152" s="14">
        <f t="shared" si="26"/>
        <v>8.8807043929090632</v>
      </c>
      <c r="C152" s="14">
        <f t="shared" si="27"/>
        <v>29.272144303695057</v>
      </c>
      <c r="F152" s="20">
        <f t="shared" si="28"/>
        <v>331.69999999999874</v>
      </c>
      <c r="G152" s="20">
        <f t="shared" si="29"/>
        <v>23.981074045395591</v>
      </c>
      <c r="H152" s="20">
        <f t="shared" si="30"/>
        <v>20.933301529643945</v>
      </c>
      <c r="I152" s="20">
        <f t="shared" si="34"/>
        <v>357.59999999999832</v>
      </c>
      <c r="J152" s="20">
        <f t="shared" si="31"/>
        <v>27.994736980593142</v>
      </c>
      <c r="K152" s="20">
        <f t="shared" si="32"/>
        <v>21.748746077624624</v>
      </c>
    </row>
    <row r="153" spans="1:11">
      <c r="A153" s="14">
        <f t="shared" si="33"/>
        <v>152</v>
      </c>
      <c r="B153" s="14">
        <f t="shared" si="26"/>
        <v>8.7557861071160943</v>
      </c>
      <c r="C153" s="14">
        <f t="shared" si="27"/>
        <v>29.042073441788361</v>
      </c>
      <c r="F153" s="20">
        <f t="shared" si="28"/>
        <v>332.72499999999872</v>
      </c>
      <c r="G153" s="20">
        <f t="shared" si="29"/>
        <v>23.999838861278793</v>
      </c>
      <c r="H153" s="20">
        <f t="shared" si="30"/>
        <v>20.968910998546129</v>
      </c>
      <c r="I153" s="20">
        <f t="shared" si="34"/>
        <v>358.79999999999831</v>
      </c>
      <c r="J153" s="20">
        <f t="shared" si="31"/>
        <v>27.998684100849069</v>
      </c>
      <c r="K153" s="20">
        <f t="shared" si="32"/>
        <v>21.874345480699677</v>
      </c>
    </row>
    <row r="154" spans="1:11">
      <c r="A154" s="14">
        <f t="shared" si="33"/>
        <v>153</v>
      </c>
      <c r="B154" s="14">
        <f t="shared" si="26"/>
        <v>8.6349021371744836</v>
      </c>
      <c r="C154" s="14">
        <f t="shared" si="27"/>
        <v>28.809857496093201</v>
      </c>
      <c r="F154" s="20">
        <f t="shared" si="28"/>
        <v>333.74999999999869</v>
      </c>
      <c r="G154" s="20">
        <f t="shared" si="29"/>
        <v>24.017963668448527</v>
      </c>
      <c r="H154" s="20">
        <f t="shared" si="30"/>
        <v>21.0048504470072</v>
      </c>
      <c r="I154" s="20">
        <f t="shared" si="34"/>
        <v>359.99999999999829</v>
      </c>
      <c r="J154" s="20">
        <f t="shared" si="31"/>
        <v>28</v>
      </c>
      <c r="K154" s="20">
        <f t="shared" si="32"/>
        <v>21.999999999999819</v>
      </c>
    </row>
    <row r="155" spans="1:11">
      <c r="A155" s="14">
        <f t="shared" si="33"/>
        <v>154</v>
      </c>
      <c r="B155" s="14">
        <f t="shared" si="26"/>
        <v>8.5180893055124969</v>
      </c>
      <c r="C155" s="14">
        <f t="shared" si="27"/>
        <v>28.575567201836165</v>
      </c>
      <c r="F155" s="20">
        <f t="shared" si="28"/>
        <v>334.77499999999867</v>
      </c>
      <c r="G155" s="20">
        <f t="shared" si="29"/>
        <v>24.035442666420188</v>
      </c>
      <c r="H155" s="20">
        <f t="shared" si="30"/>
        <v>21.041108373320387</v>
      </c>
      <c r="I155" s="20">
        <f t="shared" si="34"/>
        <v>1.1999999999982833</v>
      </c>
      <c r="J155" s="20">
        <f t="shared" si="31"/>
        <v>27.998684100849076</v>
      </c>
      <c r="K155" s="20">
        <f t="shared" si="32"/>
        <v>22.12565451929996</v>
      </c>
    </row>
    <row r="156" spans="1:11">
      <c r="A156" s="14">
        <f t="shared" si="33"/>
        <v>155</v>
      </c>
      <c r="B156" s="14">
        <f t="shared" si="26"/>
        <v>8.4053831944502502</v>
      </c>
      <c r="C156" s="14">
        <f t="shared" si="27"/>
        <v>28.339273926110494</v>
      </c>
      <c r="F156" s="20">
        <f t="shared" si="28"/>
        <v>335.79999999999865</v>
      </c>
      <c r="G156" s="20">
        <f t="shared" si="29"/>
        <v>24.052270261387591</v>
      </c>
      <c r="H156" s="20">
        <f t="shared" si="30"/>
        <v>21.077673173856414</v>
      </c>
      <c r="I156" s="20">
        <f t="shared" si="34"/>
        <v>2.3999999999982835</v>
      </c>
      <c r="J156" s="20">
        <f t="shared" si="31"/>
        <v>27.99473698059316</v>
      </c>
      <c r="K156" s="20">
        <f t="shared" si="32"/>
        <v>22.251253922375017</v>
      </c>
    </row>
    <row r="157" spans="1:11">
      <c r="A157" s="14">
        <f t="shared" si="33"/>
        <v>156</v>
      </c>
      <c r="B157" s="14">
        <f t="shared" si="26"/>
        <v>8.2968181353609847</v>
      </c>
      <c r="C157" s="14">
        <f t="shared" si="27"/>
        <v>28.101049646137</v>
      </c>
      <c r="F157" s="20">
        <f t="shared" si="28"/>
        <v>336.82499999999862</v>
      </c>
      <c r="G157" s="20">
        <f t="shared" si="29"/>
        <v>24.068441068013136</v>
      </c>
      <c r="H157" s="20">
        <f t="shared" si="30"/>
        <v>21.114533146776985</v>
      </c>
      <c r="I157" s="20">
        <f t="shared" si="34"/>
        <v>3.5999999999982837</v>
      </c>
      <c r="J157" s="20">
        <f t="shared" si="31"/>
        <v>27.988160370569641</v>
      </c>
      <c r="K157" s="20">
        <f t="shared" si="32"/>
        <v>22.3767431171757</v>
      </c>
    </row>
    <row r="158" spans="1:11">
      <c r="A158" s="14">
        <f t="shared" si="33"/>
        <v>157</v>
      </c>
      <c r="B158" s="14">
        <f t="shared" si="26"/>
        <v>8.1924271982133945</v>
      </c>
      <c r="C158" s="14">
        <f t="shared" si="27"/>
        <v>27.860966927339106</v>
      </c>
      <c r="F158" s="20">
        <f t="shared" si="28"/>
        <v>337.8499999999986</v>
      </c>
      <c r="G158" s="20">
        <f t="shared" si="29"/>
        <v>24.083949911151297</v>
      </c>
      <c r="H158" s="20">
        <f t="shared" si="30"/>
        <v>21.151676495779761</v>
      </c>
      <c r="I158" s="20">
        <f t="shared" si="34"/>
        <v>4.7999999999982839</v>
      </c>
      <c r="J158" s="20">
        <f t="shared" si="31"/>
        <v>27.978957155497042</v>
      </c>
      <c r="K158" s="20">
        <f t="shared" si="32"/>
        <v>22.502067059993713</v>
      </c>
    </row>
    <row r="159" spans="1:11">
      <c r="A159" s="14">
        <f t="shared" si="33"/>
        <v>158</v>
      </c>
      <c r="B159" s="14">
        <f t="shared" si="26"/>
        <v>8.0922421814981895</v>
      </c>
      <c r="C159" s="14">
        <f t="shared" si="27"/>
        <v>27.619098901238683</v>
      </c>
      <c r="F159" s="20">
        <f t="shared" si="28"/>
        <v>338.87499999999858</v>
      </c>
      <c r="G159" s="20">
        <f t="shared" si="29"/>
        <v>24.098791827504805</v>
      </c>
      <c r="H159" s="20">
        <f t="shared" si="30"/>
        <v>21.189091333873513</v>
      </c>
      <c r="I159" s="20">
        <f t="shared" si="34"/>
        <v>5.999999999998284</v>
      </c>
      <c r="J159" s="20">
        <f t="shared" si="31"/>
        <v>27.967131372209661</v>
      </c>
      <c r="K159" s="20">
        <f t="shared" si="32"/>
        <v>22.627170779605741</v>
      </c>
    </row>
    <row r="160" spans="1:11">
      <c r="A160" s="14">
        <f t="shared" si="33"/>
        <v>159</v>
      </c>
      <c r="B160" s="14">
        <f t="shared" si="26"/>
        <v>7.9962936025419751</v>
      </c>
      <c r="C160" s="14">
        <f t="shared" si="27"/>
        <v>27.375519243179511</v>
      </c>
      <c r="F160" s="20">
        <f t="shared" si="28"/>
        <v>339.89999999999856</v>
      </c>
      <c r="G160" s="20">
        <f t="shared" si="29"/>
        <v>24.112962067213076</v>
      </c>
      <c r="H160" s="20">
        <f t="shared" si="30"/>
        <v>21.226765687182311</v>
      </c>
      <c r="I160" s="20">
        <f t="shared" si="34"/>
        <v>7.1999999999982842</v>
      </c>
      <c r="J160" s="20">
        <f t="shared" si="31"/>
        <v>27.95268820788689</v>
      </c>
      <c r="K160" s="20">
        <f t="shared" si="32"/>
        <v>22.751999401385646</v>
      </c>
    </row>
    <row r="161" spans="1:11">
      <c r="A161" s="14">
        <f t="shared" si="33"/>
        <v>160</v>
      </c>
      <c r="B161" s="14">
        <f t="shared" si="26"/>
        <v>7.9046106882113758</v>
      </c>
      <c r="C161" s="14">
        <f t="shared" si="27"/>
        <v>27.130302149885033</v>
      </c>
      <c r="F161" s="20">
        <f t="shared" si="28"/>
        <v>340.92499999999853</v>
      </c>
      <c r="G161" s="20">
        <f t="shared" si="29"/>
        <v>24.126456095372291</v>
      </c>
      <c r="H161" s="20">
        <f t="shared" si="30"/>
        <v>21.264687498777544</v>
      </c>
      <c r="I161" s="20">
        <f t="shared" si="34"/>
        <v>8.3999999999982844</v>
      </c>
      <c r="J161" s="20">
        <f t="shared" si="31"/>
        <v>27.935633997777956</v>
      </c>
      <c r="K161" s="20">
        <f t="shared" si="32"/>
        <v>22.876498171374291</v>
      </c>
    </row>
    <row r="162" spans="1:11">
      <c r="A162" s="14">
        <f t="shared" si="33"/>
        <v>161</v>
      </c>
      <c r="B162" s="14">
        <f t="shared" si="26"/>
        <v>7.8172213660102479</v>
      </c>
      <c r="C162" s="14">
        <f t="shared" si="27"/>
        <v>26.883522316857348</v>
      </c>
      <c r="F162" s="20">
        <f t="shared" si="28"/>
        <v>341.94999999999851</v>
      </c>
      <c r="G162" s="20">
        <f t="shared" si="29"/>
        <v>24.139269593486713</v>
      </c>
      <c r="H162" s="20">
        <f t="shared" si="30"/>
        <v>21.302844632536484</v>
      </c>
      <c r="I162" s="20">
        <f t="shared" si="34"/>
        <v>9.5999999999982837</v>
      </c>
      <c r="J162" s="20">
        <f t="shared" si="31"/>
        <v>27.915976222423062</v>
      </c>
      <c r="K162" s="20">
        <f t="shared" si="32"/>
        <v>23.000612480296436</v>
      </c>
    </row>
    <row r="163" spans="1:11">
      <c r="A163" s="14">
        <f t="shared" si="33"/>
        <v>162</v>
      </c>
      <c r="B163" s="14">
        <f t="shared" si="26"/>
        <v>7.7341522555726971</v>
      </c>
      <c r="C163" s="14">
        <f t="shared" si="27"/>
        <v>26.635254915624213</v>
      </c>
      <c r="F163" s="20">
        <f t="shared" si="28"/>
        <v>342.97499999999849</v>
      </c>
      <c r="G163" s="20">
        <f t="shared" si="29"/>
        <v>24.151398460850729</v>
      </c>
      <c r="H163" s="20">
        <f t="shared" si="30"/>
        <v>21.341224877026225</v>
      </c>
      <c r="I163" s="20">
        <f t="shared" si="34"/>
        <v>10.799999999998283</v>
      </c>
      <c r="J163" s="20">
        <f t="shared" si="31"/>
        <v>27.893723504372165</v>
      </c>
      <c r="K163" s="20">
        <f t="shared" si="32"/>
        <v>23.124287887514171</v>
      </c>
    </row>
    <row r="164" spans="1:11">
      <c r="A164" s="14">
        <f t="shared" si="33"/>
        <v>163</v>
      </c>
      <c r="B164" s="14">
        <f t="shared" si="26"/>
        <v>7.6554286605544686</v>
      </c>
      <c r="C164" s="14">
        <f t="shared" si="27"/>
        <v>26.385575570841056</v>
      </c>
      <c r="F164" s="20">
        <f t="shared" si="28"/>
        <v>343.99999999999847</v>
      </c>
      <c r="G164" s="20">
        <f t="shared" si="29"/>
        <v>24.1628388158612</v>
      </c>
      <c r="H164" s="20">
        <f t="shared" si="30"/>
        <v>21.379815949411693</v>
      </c>
      <c r="I164" s="20">
        <f t="shared" si="34"/>
        <v>11.999999999998282</v>
      </c>
      <c r="J164" s="20">
        <f t="shared" si="31"/>
        <v>27.86888560440287</v>
      </c>
      <c r="K164" s="20">
        <f t="shared" si="32"/>
        <v>23.24747014490638</v>
      </c>
    </row>
    <row r="165" spans="1:11">
      <c r="A165" s="14">
        <f t="shared" si="33"/>
        <v>164</v>
      </c>
      <c r="B165" s="14">
        <f t="shared" si="26"/>
        <v>7.5810745609252166</v>
      </c>
      <c r="C165" s="14">
        <f t="shared" si="27"/>
        <v>26.134560337254989</v>
      </c>
      <c r="F165" s="20">
        <f t="shared" ref="F165:F196" si="35">MOD(F164-$E$6*$H$2,360)</f>
        <v>345.02499999999844</v>
      </c>
      <c r="G165" s="20">
        <f t="shared" si="29"/>
        <v>24.173586997259697</v>
      </c>
      <c r="H165" s="20">
        <f t="shared" si="30"/>
        <v>21.41860549938654</v>
      </c>
      <c r="I165" s="20">
        <f t="shared" si="34"/>
        <v>13.199999999998282</v>
      </c>
      <c r="J165" s="20">
        <f t="shared" si="31"/>
        <v>27.841473417239001</v>
      </c>
      <c r="K165" s="20">
        <f t="shared" si="32"/>
        <v>23.37010522066376</v>
      </c>
    </row>
    <row r="166" spans="1:11">
      <c r="A166" s="14">
        <f t="shared" si="33"/>
        <v>165</v>
      </c>
      <c r="B166" s="14">
        <f t="shared" si="26"/>
        <v>7.5111126056639765</v>
      </c>
      <c r="C166" s="14">
        <f t="shared" si="27"/>
        <v>25.882285676537816</v>
      </c>
      <c r="F166" s="20">
        <f t="shared" si="35"/>
        <v>346.04999999999842</v>
      </c>
      <c r="G166" s="20">
        <f t="shared" si="29"/>
        <v>24.183639565304205</v>
      </c>
      <c r="H166" s="20">
        <f t="shared" si="30"/>
        <v>21.457581113125602</v>
      </c>
      <c r="I166" s="20">
        <f t="shared" si="34"/>
        <v>14.399999999998281</v>
      </c>
      <c r="J166" s="20">
        <f t="shared" si="31"/>
        <v>27.811498966771833</v>
      </c>
      <c r="K166" s="20">
        <f t="shared" si="32"/>
        <v>23.492139322988955</v>
      </c>
    </row>
    <row r="167" spans="1:11">
      <c r="A167" s="14">
        <f t="shared" si="33"/>
        <v>166</v>
      </c>
      <c r="B167" s="14">
        <f t="shared" si="26"/>
        <v>7.4455641058600524</v>
      </c>
      <c r="C167" s="14">
        <f t="shared" si="27"/>
        <v>25.628828433995015</v>
      </c>
      <c r="F167" s="20">
        <f t="shared" si="35"/>
        <v>347.0749999999984</v>
      </c>
      <c r="G167" s="20">
        <f t="shared" si="29"/>
        <v>24.192993302869954</v>
      </c>
      <c r="H167" s="20">
        <f t="shared" si="30"/>
        <v>21.496730317257708</v>
      </c>
      <c r="I167" s="20">
        <f t="shared" si="34"/>
        <v>15.59999999999828</v>
      </c>
      <c r="J167" s="20">
        <f t="shared" si="31"/>
        <v>27.778975400785995</v>
      </c>
      <c r="K167" s="20">
        <f t="shared" si="32"/>
        <v>23.613518923691419</v>
      </c>
    </row>
    <row r="168" spans="1:11">
      <c r="A168" s="14">
        <f t="shared" si="33"/>
        <v>167</v>
      </c>
      <c r="B168" s="14">
        <f t="shared" si="26"/>
        <v>7.3844490282214732</v>
      </c>
      <c r="C168" s="14">
        <f t="shared" si="27"/>
        <v>25.374265815157976</v>
      </c>
      <c r="F168" s="20">
        <f t="shared" si="35"/>
        <v>348.09999999999837</v>
      </c>
      <c r="G168" s="20">
        <f t="shared" si="29"/>
        <v>24.201645216478987</v>
      </c>
      <c r="H168" s="20">
        <f t="shared" si="30"/>
        <v>21.53604058285752</v>
      </c>
      <c r="I168" s="20">
        <f t="shared" si="34"/>
        <v>16.799999999998281</v>
      </c>
      <c r="J168" s="20">
        <f t="shared" si="31"/>
        <v>27.743916985192456</v>
      </c>
      <c r="K168" s="20">
        <f t="shared" si="32"/>
        <v>23.734190781666658</v>
      </c>
    </row>
    <row r="169" spans="1:11">
      <c r="A169" s="14">
        <f t="shared" si="33"/>
        <v>168</v>
      </c>
      <c r="B169" s="14">
        <f t="shared" si="26"/>
        <v>7.3277859889929147</v>
      </c>
      <c r="C169" s="14">
        <f t="shared" si="27"/>
        <v>25.118675362266391</v>
      </c>
      <c r="F169" s="20">
        <f t="shared" si="35"/>
        <v>349.12499999999835</v>
      </c>
      <c r="G169" s="20">
        <f t="shared" si="29"/>
        <v>24.209592537258171</v>
      </c>
      <c r="H169" s="20">
        <f t="shared" si="30"/>
        <v>21.575499329455187</v>
      </c>
      <c r="I169" s="20">
        <f t="shared" si="34"/>
        <v>17.99999999999828</v>
      </c>
      <c r="J169" s="20">
        <f t="shared" si="31"/>
        <v>27.706339097770979</v>
      </c>
      <c r="K169" s="20">
        <f t="shared" si="32"/>
        <v>23.854101966249512</v>
      </c>
    </row>
    <row r="170" spans="1:11">
      <c r="A170" s="14">
        <f t="shared" si="33"/>
        <v>169</v>
      </c>
      <c r="B170" s="14">
        <f t="shared" si="26"/>
        <v>7.2755922482850401</v>
      </c>
      <c r="C170" s="14">
        <f t="shared" si="27"/>
        <v>24.862134930648175</v>
      </c>
      <c r="F170" s="20">
        <f t="shared" si="35"/>
        <v>350.14999999999833</v>
      </c>
      <c r="G170" s="20">
        <f t="shared" si="29"/>
        <v>24.216832721825313</v>
      </c>
      <c r="H170" s="20">
        <f t="shared" si="30"/>
        <v>21.615093929062454</v>
      </c>
      <c r="I170" s="20">
        <f t="shared" si="34"/>
        <v>19.19999999999828</v>
      </c>
      <c r="J170" s="20">
        <f t="shared" si="31"/>
        <v>27.666258221424947</v>
      </c>
      <c r="K170" s="20">
        <f t="shared" si="32"/>
        <v>23.973199880431331</v>
      </c>
    </row>
    <row r="171" spans="1:11">
      <c r="A171" s="14">
        <f t="shared" si="33"/>
        <v>170</v>
      </c>
      <c r="B171" s="14">
        <f t="shared" si="26"/>
        <v>7.2278837048168789</v>
      </c>
      <c r="C171" s="14">
        <f t="shared" si="27"/>
        <v>24.604722665003962</v>
      </c>
      <c r="F171" s="20">
        <f t="shared" si="35"/>
        <v>351.17499999999831</v>
      </c>
      <c r="G171" s="20">
        <f t="shared" si="29"/>
        <v>24.223363453103119</v>
      </c>
      <c r="H171" s="20">
        <f t="shared" si="30"/>
        <v>21.654811710214013</v>
      </c>
      <c r="I171" s="20">
        <f t="shared" si="34"/>
        <v>20.399999999998279</v>
      </c>
      <c r="J171" s="20">
        <f t="shared" si="31"/>
        <v>27.623691936951413</v>
      </c>
      <c r="K171" s="20">
        <f t="shared" si="32"/>
        <v>24.091432283930722</v>
      </c>
    </row>
    <row r="172" spans="1:11">
      <c r="A172" s="14">
        <f t="shared" si="33"/>
        <v>171</v>
      </c>
      <c r="B172" s="14">
        <f t="shared" si="26"/>
        <v>7.1846748910729357</v>
      </c>
      <c r="C172" s="14">
        <f t="shared" si="27"/>
        <v>24.346516975603464</v>
      </c>
      <c r="F172" s="20">
        <f t="shared" si="35"/>
        <v>352.19999999999828</v>
      </c>
      <c r="G172" s="20">
        <f t="shared" si="29"/>
        <v>24.229182641060738</v>
      </c>
      <c r="H172" s="20">
        <f t="shared" si="30"/>
        <v>21.694639962022748</v>
      </c>
      <c r="I172" s="20">
        <f t="shared" si="34"/>
        <v>21.599999999998278</v>
      </c>
      <c r="J172" s="20">
        <f t="shared" si="31"/>
        <v>27.578658915329576</v>
      </c>
      <c r="K172" s="20">
        <f t="shared" si="32"/>
        <v>24.2087473161079</v>
      </c>
    </row>
    <row r="173" spans="1:11">
      <c r="A173" s="14">
        <f t="shared" si="33"/>
        <v>172</v>
      </c>
      <c r="B173" s="14">
        <f t="shared" si="26"/>
        <v>7.1459789688764452</v>
      </c>
      <c r="C173" s="14">
        <f t="shared" si="27"/>
        <v>24.087596514400978</v>
      </c>
      <c r="F173" s="20">
        <f t="shared" si="35"/>
        <v>353.22499999999826</v>
      </c>
      <c r="G173" s="20">
        <f t="shared" si="29"/>
        <v>24.234288423382626</v>
      </c>
      <c r="H173" s="20">
        <f t="shared" si="30"/>
        <v>21.734565938247602</v>
      </c>
      <c r="I173" s="20">
        <f t="shared" si="34"/>
        <v>22.799999999998278</v>
      </c>
      <c r="J173" s="20">
        <f t="shared" si="31"/>
        <v>27.531178909531071</v>
      </c>
      <c r="K173" s="20">
        <f t="shared" si="32"/>
        <v>24.325093518712453</v>
      </c>
    </row>
    <row r="174" spans="1:11">
      <c r="A174" s="14">
        <f t="shared" si="33"/>
        <v>173</v>
      </c>
      <c r="B174" s="14">
        <f t="shared" si="26"/>
        <v>7.1118077253801708</v>
      </c>
      <c r="C174" s="14">
        <f t="shared" si="27"/>
        <v>23.828040151077214</v>
      </c>
      <c r="F174" s="20">
        <f t="shared" si="35"/>
        <v>354.24999999999824</v>
      </c>
      <c r="G174" s="20">
        <f t="shared" si="29"/>
        <v>24.238679166064543</v>
      </c>
      <c r="H174" s="20">
        <f t="shared" si="30"/>
        <v>21.774576861372758</v>
      </c>
      <c r="I174" s="20">
        <f t="shared" si="34"/>
        <v>23.999999999998277</v>
      </c>
      <c r="J174" s="20">
        <f t="shared" si="31"/>
        <v>27.48127274585568</v>
      </c>
      <c r="K174" s="20">
        <f t="shared" si="32"/>
        <v>24.440419858454636</v>
      </c>
    </row>
    <row r="175" spans="1:11">
      <c r="A175" s="14">
        <f t="shared" si="33"/>
        <v>174</v>
      </c>
      <c r="B175" s="14">
        <f t="shared" si="26"/>
        <v>7.0821715694759</v>
      </c>
      <c r="C175" s="14">
        <f t="shared" si="27"/>
        <v>23.567926949014804</v>
      </c>
      <c r="F175" s="20">
        <f t="shared" si="35"/>
        <v>355.27499999999822</v>
      </c>
      <c r="G175" s="20">
        <f t="shared" si="29"/>
        <v>24.242353463936489</v>
      </c>
      <c r="H175" s="20">
        <f t="shared" si="30"/>
        <v>21.814659926696837</v>
      </c>
      <c r="I175" s="20">
        <f t="shared" si="34"/>
        <v>25.199999999998276</v>
      </c>
      <c r="J175" s="20">
        <f t="shared" si="31"/>
        <v>27.428962314796195</v>
      </c>
      <c r="K175" s="20">
        <f t="shared" si="32"/>
        <v>24.55467574939027</v>
      </c>
    </row>
    <row r="176" spans="1:11">
      <c r="A176" s="14">
        <f t="shared" si="33"/>
        <v>175</v>
      </c>
      <c r="B176" s="14">
        <f t="shared" si="26"/>
        <v>7.0570795286238166</v>
      </c>
      <c r="C176" s="14">
        <f t="shared" si="27"/>
        <v>23.307336141214872</v>
      </c>
      <c r="F176" s="20">
        <f t="shared" si="35"/>
        <v>356.29999999999819</v>
      </c>
      <c r="G176" s="20">
        <f t="shared" si="29"/>
        <v>24.245310141112398</v>
      </c>
      <c r="H176" s="20">
        <f t="shared" si="30"/>
        <v>21.854802306430773</v>
      </c>
      <c r="I176" s="20">
        <f t="shared" si="34"/>
        <v>26.399999999998276</v>
      </c>
      <c r="J176" s="20">
        <f t="shared" si="31"/>
        <v>27.374270561436557</v>
      </c>
      <c r="K176" s="20">
        <f t="shared" si="32"/>
        <v>24.667811075109405</v>
      </c>
    </row>
    <row r="177" spans="1:11">
      <c r="A177" s="14">
        <f t="shared" si="33"/>
        <v>176</v>
      </c>
      <c r="B177" s="14">
        <f t="shared" si="26"/>
        <v>7.0365392461026364</v>
      </c>
      <c r="C177" s="14">
        <f t="shared" si="27"/>
        <v>23.046347106161882</v>
      </c>
      <c r="F177" s="20">
        <f t="shared" si="35"/>
        <v>357.32499999999817</v>
      </c>
      <c r="G177" s="20">
        <f t="shared" si="29"/>
        <v>24.247548251366453</v>
      </c>
      <c r="H177" s="20">
        <f t="shared" si="30"/>
        <v>21.894991153803108</v>
      </c>
      <c r="I177" s="20">
        <f t="shared" si="34"/>
        <v>27.599999999998275</v>
      </c>
      <c r="J177" s="20">
        <f t="shared" si="31"/>
        <v>27.317221475387374</v>
      </c>
      <c r="K177" s="20">
        <f t="shared" si="32"/>
        <v>24.77977621071901</v>
      </c>
    </row>
    <row r="178" spans="1:11">
      <c r="A178" s="14">
        <f t="shared" si="33"/>
        <v>177</v>
      </c>
      <c r="B178" s="14">
        <f t="shared" si="26"/>
        <v>7.0205569786813928</v>
      </c>
      <c r="C178" s="14">
        <f t="shared" si="27"/>
        <v>22.785039343644165</v>
      </c>
      <c r="F178" s="20">
        <f t="shared" si="35"/>
        <v>358.34999999999815</v>
      </c>
      <c r="G178" s="20">
        <f t="shared" si="29"/>
        <v>24.249067078435914</v>
      </c>
      <c r="H178" s="20">
        <f t="shared" si="30"/>
        <v>21.935213607171331</v>
      </c>
      <c r="I178" s="20">
        <f t="shared" si="34"/>
        <v>28.799999999998274</v>
      </c>
      <c r="J178" s="20">
        <f t="shared" si="31"/>
        <v>27.257840080263268</v>
      </c>
      <c r="K178" s="20">
        <f t="shared" si="32"/>
        <v>24.890522044610133</v>
      </c>
    </row>
    <row r="179" spans="1:11">
      <c r="A179" s="14">
        <f t="shared" si="33"/>
        <v>178</v>
      </c>
      <c r="B179" s="14">
        <f t="shared" si="26"/>
        <v>7.0091375947135628</v>
      </c>
      <c r="C179" s="14">
        <f t="shared" si="27"/>
        <v>22.523492450537518</v>
      </c>
      <c r="F179" s="20">
        <f t="shared" si="35"/>
        <v>359.37499999999812</v>
      </c>
      <c r="G179" s="20">
        <f t="shared" si="29"/>
        <v>24.249866136250336</v>
      </c>
      <c r="H179" s="20">
        <f t="shared" si="30"/>
        <v>21.975456794138015</v>
      </c>
      <c r="I179" s="20">
        <f t="shared" si="34"/>
        <v>29.999999999998273</v>
      </c>
      <c r="J179" s="20">
        <f t="shared" si="31"/>
        <v>27.196152422706724</v>
      </c>
      <c r="K179" s="20">
        <f t="shared" si="32"/>
        <v>24.999999999999844</v>
      </c>
    </row>
    <row r="180" spans="1:11">
      <c r="A180" s="14">
        <f t="shared" si="33"/>
        <v>179</v>
      </c>
      <c r="B180" s="14">
        <f t="shared" si="26"/>
        <v>7.0022845726541316</v>
      </c>
      <c r="C180" s="14">
        <f t="shared" si="27"/>
        <v>22.261786096559252</v>
      </c>
      <c r="F180" s="20">
        <f t="shared" si="35"/>
        <v>0.39999999999810143</v>
      </c>
      <c r="G180" s="20">
        <f t="shared" si="29"/>
        <v>24.249945169087137</v>
      </c>
      <c r="H180" s="20">
        <f t="shared" si="30"/>
        <v>22.015707835670337</v>
      </c>
      <c r="I180" s="20">
        <f t="shared" si="34"/>
        <v>31.199999999998273</v>
      </c>
      <c r="J180" s="20">
        <f t="shared" si="31"/>
        <v>27.132185560963133</v>
      </c>
      <c r="K180" s="20">
        <f t="shared" si="32"/>
        <v>25.108162056238626</v>
      </c>
    </row>
    <row r="181" spans="1:11">
      <c r="A181" s="14">
        <f t="shared" si="33"/>
        <v>180</v>
      </c>
      <c r="B181" s="14">
        <f t="shared" si="26"/>
        <v>7</v>
      </c>
      <c r="C181" s="14">
        <f t="shared" si="27"/>
        <v>22.000000000000004</v>
      </c>
      <c r="F181" s="20">
        <f t="shared" si="35"/>
        <v>1.4249999999981013</v>
      </c>
      <c r="G181" s="20">
        <f t="shared" si="29"/>
        <v>24.24930415165343</v>
      </c>
      <c r="H181" s="20">
        <f t="shared" si="30"/>
        <v>22.055953850221794</v>
      </c>
      <c r="I181" s="20">
        <f t="shared" si="34"/>
        <v>32.399999999998272</v>
      </c>
      <c r="J181" s="20">
        <f t="shared" si="31"/>
        <v>27.065967553012186</v>
      </c>
      <c r="K181" s="20">
        <f t="shared" si="32"/>
        <v>25.214960769873827</v>
      </c>
    </row>
    <row r="182" spans="1:11">
      <c r="A182" s="14">
        <f t="shared" si="33"/>
        <v>181</v>
      </c>
      <c r="B182" s="14">
        <f t="shared" si="26"/>
        <v>7.0022845726541316</v>
      </c>
      <c r="C182" s="14">
        <f t="shared" si="27"/>
        <v>21.738213903440752</v>
      </c>
      <c r="F182" s="20">
        <f t="shared" si="35"/>
        <v>2.4499999999981013</v>
      </c>
      <c r="G182" s="20">
        <f t="shared" si="29"/>
        <v>24.24794328909411</v>
      </c>
      <c r="H182" s="20">
        <f t="shared" si="30"/>
        <v>22.09618195785465</v>
      </c>
      <c r="I182" s="20">
        <f t="shared" si="34"/>
        <v>33.599999999998275</v>
      </c>
      <c r="J182" s="20">
        <f t="shared" si="31"/>
        <v>26.997527444260697</v>
      </c>
      <c r="K182" s="20">
        <f t="shared" si="32"/>
        <v>25.320349295459913</v>
      </c>
    </row>
    <row r="183" spans="1:11">
      <c r="A183" s="14">
        <f t="shared" si="33"/>
        <v>182</v>
      </c>
      <c r="B183" s="14">
        <f t="shared" si="26"/>
        <v>7.0091375947135628</v>
      </c>
      <c r="C183" s="14">
        <f t="shared" si="27"/>
        <v>21.476507549462486</v>
      </c>
      <c r="F183" s="20">
        <f t="shared" si="35"/>
        <v>3.4749999999981012</v>
      </c>
      <c r="G183" s="20">
        <f t="shared" si="29"/>
        <v>24.245863016926215</v>
      </c>
      <c r="H183" s="20">
        <f t="shared" si="30"/>
        <v>22.13637928436194</v>
      </c>
      <c r="I183" s="20">
        <f t="shared" si="34"/>
        <v>34.799999999998278</v>
      </c>
      <c r="J183" s="20">
        <f t="shared" si="31"/>
        <v>26.926895254802329</v>
      </c>
      <c r="K183" s="20">
        <f t="shared" si="32"/>
        <v>25.424281406106441</v>
      </c>
    </row>
    <row r="184" spans="1:11">
      <c r="A184" s="14">
        <f t="shared" si="33"/>
        <v>183</v>
      </c>
      <c r="B184" s="14">
        <f t="shared" si="26"/>
        <v>7.0205569786813928</v>
      </c>
      <c r="C184" s="14">
        <f t="shared" si="27"/>
        <v>21.214960656355846</v>
      </c>
      <c r="F184" s="20">
        <f t="shared" si="35"/>
        <v>4.4999999999981011</v>
      </c>
      <c r="G184" s="20">
        <f t="shared" si="29"/>
        <v>24.243064000899544</v>
      </c>
      <c r="H184" s="20">
        <f t="shared" si="30"/>
        <v>22.176532965387576</v>
      </c>
      <c r="I184" s="20">
        <f t="shared" si="34"/>
        <v>35.99999999999828</v>
      </c>
      <c r="J184" s="20">
        <f t="shared" si="31"/>
        <v>26.854101966249793</v>
      </c>
      <c r="K184" s="20">
        <f t="shared" si="32"/>
        <v>25.526711513754694</v>
      </c>
    </row>
    <row r="185" spans="1:11">
      <c r="A185" s="14">
        <f t="shared" si="33"/>
        <v>184</v>
      </c>
      <c r="B185" s="14">
        <f t="shared" si="26"/>
        <v>7.0365392461026346</v>
      </c>
      <c r="C185" s="14">
        <f t="shared" si="27"/>
        <v>20.953652893838129</v>
      </c>
      <c r="F185" s="20">
        <f t="shared" si="35"/>
        <v>5.5249999999981014</v>
      </c>
      <c r="G185" s="20">
        <f t="shared" si="29"/>
        <v>24.239547136783589</v>
      </c>
      <c r="H185" s="20">
        <f t="shared" si="30"/>
        <v>22.216630150543345</v>
      </c>
      <c r="I185" s="20">
        <f t="shared" si="34"/>
        <v>37.199999999998283</v>
      </c>
      <c r="J185" s="20">
        <f t="shared" si="31"/>
        <v>26.779179508145287</v>
      </c>
      <c r="K185" s="20">
        <f t="shared" si="32"/>
        <v>25.627594689174106</v>
      </c>
    </row>
    <row r="186" spans="1:11">
      <c r="A186" s="14">
        <f t="shared" si="33"/>
        <v>185</v>
      </c>
      <c r="B186" s="14">
        <f t="shared" si="26"/>
        <v>7.0570795286238166</v>
      </c>
      <c r="C186" s="14">
        <f t="shared" si="27"/>
        <v>20.692663858785131</v>
      </c>
      <c r="F186" s="20">
        <f t="shared" si="35"/>
        <v>6.5499999999981018</v>
      </c>
      <c r="G186" s="20">
        <f t="shared" si="29"/>
        <v>24.235313550080868</v>
      </c>
      <c r="H186" s="20">
        <f t="shared" si="30"/>
        <v>22.256658007521416</v>
      </c>
      <c r="I186" s="20">
        <f t="shared" si="34"/>
        <v>38.399999999998286</v>
      </c>
      <c r="J186" s="20">
        <f t="shared" si="31"/>
        <v>26.702160743955151</v>
      </c>
      <c r="K186" s="20">
        <f t="shared" si="32"/>
        <v>25.726886681669722</v>
      </c>
    </row>
    <row r="187" spans="1:11">
      <c r="A187" s="14">
        <f t="shared" si="33"/>
        <v>186</v>
      </c>
      <c r="B187" s="14">
        <f t="shared" si="26"/>
        <v>7.0821715694759</v>
      </c>
      <c r="C187" s="14">
        <f t="shared" si="27"/>
        <v>20.432073050985199</v>
      </c>
      <c r="F187" s="20">
        <f t="shared" si="35"/>
        <v>7.5749999999981021</v>
      </c>
      <c r="G187" s="20">
        <f t="shared" si="29"/>
        <v>24.230364595666735</v>
      </c>
      <c r="H187" s="20">
        <f t="shared" si="30"/>
        <v>22.296603726201056</v>
      </c>
      <c r="I187" s="20">
        <f t="shared" si="34"/>
        <v>39.599999999998289</v>
      </c>
      <c r="J187" s="20">
        <f t="shared" si="31"/>
        <v>26.62307945665485</v>
      </c>
      <c r="K187" s="20">
        <f t="shared" si="32"/>
        <v>25.824543938491999</v>
      </c>
    </row>
    <row r="188" spans="1:11">
      <c r="A188" s="14">
        <f t="shared" si="33"/>
        <v>187</v>
      </c>
      <c r="B188" s="14">
        <f t="shared" si="26"/>
        <v>7.1118077253801708</v>
      </c>
      <c r="C188" s="14">
        <f t="shared" si="27"/>
        <v>20.171959848922782</v>
      </c>
      <c r="F188" s="20">
        <f t="shared" si="35"/>
        <v>8.5999999999981025</v>
      </c>
      <c r="G188" s="20">
        <f t="shared" si="29"/>
        <v>24.224701857355775</v>
      </c>
      <c r="H188" s="20">
        <f t="shared" si="30"/>
        <v>22.336454522748273</v>
      </c>
      <c r="I188" s="20">
        <f t="shared" si="34"/>
        <v>40.799999999998292</v>
      </c>
      <c r="J188" s="20">
        <f t="shared" si="31"/>
        <v>26.541970333910655</v>
      </c>
      <c r="K188" s="20">
        <f t="shared" si="32"/>
        <v>25.920523623940497</v>
      </c>
    </row>
    <row r="189" spans="1:11">
      <c r="A189" s="14">
        <f t="shared" si="33"/>
        <v>188</v>
      </c>
      <c r="B189" s="14">
        <f t="shared" si="26"/>
        <v>7.145978968876447</v>
      </c>
      <c r="C189" s="14">
        <f t="shared" si="27"/>
        <v>19.912403485599018</v>
      </c>
      <c r="F189" s="20">
        <f t="shared" si="35"/>
        <v>9.6249999999981029</v>
      </c>
      <c r="G189" s="20">
        <f t="shared" si="29"/>
        <v>24.218327147394923</v>
      </c>
      <c r="H189" s="20">
        <f t="shared" si="30"/>
        <v>22.376197643707016</v>
      </c>
      <c r="I189" s="20">
        <f t="shared" si="34"/>
        <v>41.999999999998295</v>
      </c>
      <c r="J189" s="20">
        <f t="shared" si="31"/>
        <v>26.458868952864485</v>
      </c>
      <c r="K189" s="20">
        <f t="shared" si="32"/>
        <v>26.014783638153016</v>
      </c>
    </row>
    <row r="190" spans="1:11">
      <c r="A190" s="14">
        <f t="shared" si="33"/>
        <v>189</v>
      </c>
      <c r="B190" s="14">
        <f t="shared" si="26"/>
        <v>7.1846748910729339</v>
      </c>
      <c r="C190" s="14">
        <f t="shared" si="27"/>
        <v>19.653483024396539</v>
      </c>
      <c r="F190" s="20">
        <f t="shared" si="35"/>
        <v>10.649999999998103</v>
      </c>
      <c r="G190" s="20">
        <f t="shared" si="29"/>
        <v>24.211242505883508</v>
      </c>
      <c r="H190" s="20">
        <f t="shared" si="30"/>
        <v>22.415820370080663</v>
      </c>
      <c r="I190" s="20">
        <f t="shared" si="34"/>
        <v>43.199999999998298</v>
      </c>
      <c r="J190" s="20">
        <f t="shared" si="31"/>
        <v>26.37381176452859</v>
      </c>
      <c r="K190" s="20">
        <f t="shared" si="32"/>
        <v>26.107282635572002</v>
      </c>
    </row>
    <row r="191" spans="1:11">
      <c r="A191" s="14">
        <f t="shared" si="33"/>
        <v>190</v>
      </c>
      <c r="B191" s="14">
        <f t="shared" si="26"/>
        <v>7.2278837048168789</v>
      </c>
      <c r="C191" s="14">
        <f t="shared" si="27"/>
        <v>19.395277334996042</v>
      </c>
      <c r="F191" s="20">
        <f t="shared" si="35"/>
        <v>11.674999999998104</v>
      </c>
      <c r="G191" s="20">
        <f t="shared" si="29"/>
        <v>24.203450200120361</v>
      </c>
      <c r="H191" s="20">
        <f t="shared" si="30"/>
        <v>22.455310021402493</v>
      </c>
      <c r="I191" s="20">
        <f t="shared" si="34"/>
        <v>44.3999999999983</v>
      </c>
      <c r="J191" s="20">
        <f t="shared" si="31"/>
        <v>26.286836077796945</v>
      </c>
      <c r="K191" s="20">
        <f t="shared" si="32"/>
        <v>26.197980043080065</v>
      </c>
    </row>
    <row r="192" spans="1:11">
      <c r="A192" s="14">
        <f t="shared" si="33"/>
        <v>191</v>
      </c>
      <c r="B192" s="14">
        <f t="shared" si="26"/>
        <v>7.2755922482850401</v>
      </c>
      <c r="C192" s="14">
        <f t="shared" si="27"/>
        <v>19.137865069351829</v>
      </c>
      <c r="F192" s="20">
        <f t="shared" si="35"/>
        <v>12.699999999998104</v>
      </c>
      <c r="G192" s="20">
        <f t="shared" si="29"/>
        <v>24.194952723878195</v>
      </c>
      <c r="H192" s="20">
        <f t="shared" si="30"/>
        <v>22.494653959793812</v>
      </c>
      <c r="I192" s="20">
        <f t="shared" si="34"/>
        <v>45.599999999998303</v>
      </c>
      <c r="J192" s="20">
        <f t="shared" si="31"/>
        <v>26.197980043080321</v>
      </c>
      <c r="K192" s="20">
        <f t="shared" si="32"/>
        <v>26.286836077796696</v>
      </c>
    </row>
    <row r="193" spans="1:11">
      <c r="A193" s="14">
        <f t="shared" si="33"/>
        <v>192</v>
      </c>
      <c r="B193" s="14">
        <f t="shared" ref="B193:B256" si="36">COS(A193/180*PI())*$E$1+$E$2</f>
        <v>7.3277859889929147</v>
      </c>
      <c r="C193" s="14">
        <f t="shared" ref="C193:C256" si="37">SIN(A193/180*PI())*$E$1+$E$3</f>
        <v>18.881324637733613</v>
      </c>
      <c r="F193" s="20">
        <f t="shared" si="35"/>
        <v>13.724999999998104</v>
      </c>
      <c r="G193" s="20">
        <f t="shared" si="29"/>
        <v>24.185752796605527</v>
      </c>
      <c r="H193" s="20">
        <f t="shared" si="30"/>
        <v>22.533839594008455</v>
      </c>
      <c r="I193" s="20">
        <f t="shared" si="34"/>
        <v>46.799999999998306</v>
      </c>
      <c r="J193" s="20">
        <f t="shared" si="31"/>
        <v>26.107282635572261</v>
      </c>
      <c r="K193" s="20">
        <f t="shared" si="32"/>
        <v>26.373811764528348</v>
      </c>
    </row>
    <row r="194" spans="1:11">
      <c r="A194" s="14">
        <f t="shared" si="33"/>
        <v>193</v>
      </c>
      <c r="B194" s="14">
        <f t="shared" si="36"/>
        <v>7.3844490282214714</v>
      </c>
      <c r="C194" s="14">
        <f t="shared" si="37"/>
        <v>18.625734184842024</v>
      </c>
      <c r="F194" s="20">
        <f t="shared" si="35"/>
        <v>14.749999999998105</v>
      </c>
      <c r="G194" s="20">
        <f t="shared" si="29"/>
        <v>24.175853362556392</v>
      </c>
      <c r="H194" s="20">
        <f t="shared" si="30"/>
        <v>22.572854383462364</v>
      </c>
      <c r="I194" s="20">
        <f t="shared" si="34"/>
        <v>47.999999999998309</v>
      </c>
      <c r="J194" s="20">
        <f t="shared" si="31"/>
        <v>26.014783638153283</v>
      </c>
      <c r="K194" s="20">
        <f t="shared" si="32"/>
        <v>26.458868952864247</v>
      </c>
    </row>
    <row r="195" spans="1:11">
      <c r="A195" s="14">
        <f t="shared" si="33"/>
        <v>194</v>
      </c>
      <c r="B195" s="14">
        <f t="shared" si="36"/>
        <v>7.4455641058600524</v>
      </c>
      <c r="C195" s="14">
        <f t="shared" si="37"/>
        <v>18.371171566004989</v>
      </c>
      <c r="F195" s="20">
        <f t="shared" si="35"/>
        <v>15.774999999998105</v>
      </c>
      <c r="G195" s="20">
        <f t="shared" si="29"/>
        <v>24.165257589848061</v>
      </c>
      <c r="H195" s="20">
        <f t="shared" si="30"/>
        <v>22.611685842246956</v>
      </c>
      <c r="I195" s="20">
        <f t="shared" si="34"/>
        <v>49.199999999998312</v>
      </c>
      <c r="J195" s="20">
        <f t="shared" si="31"/>
        <v>25.920523623940767</v>
      </c>
      <c r="K195" s="20">
        <f t="shared" si="32"/>
        <v>26.541970333910424</v>
      </c>
    </row>
    <row r="196" spans="1:11">
      <c r="A196" s="14">
        <f t="shared" si="33"/>
        <v>195</v>
      </c>
      <c r="B196" s="14">
        <f t="shared" si="36"/>
        <v>7.511112605663973</v>
      </c>
      <c r="C196" s="14">
        <f t="shared" si="37"/>
        <v>18.117714323462195</v>
      </c>
      <c r="F196" s="20">
        <f t="shared" si="35"/>
        <v>16.799999999998104</v>
      </c>
      <c r="G196" s="20">
        <f t="shared" si="29"/>
        <v>24.153968869447173</v>
      </c>
      <c r="H196" s="20">
        <f t="shared" si="30"/>
        <v>22.650321543124988</v>
      </c>
      <c r="I196" s="20">
        <f t="shared" si="34"/>
        <v>50.399999999998315</v>
      </c>
      <c r="J196" s="20">
        <f t="shared" si="31"/>
        <v>25.824543938492276</v>
      </c>
      <c r="K196" s="20">
        <f t="shared" si="32"/>
        <v>26.623079456654622</v>
      </c>
    </row>
    <row r="197" spans="1:11">
      <c r="A197" s="14">
        <f t="shared" si="33"/>
        <v>196</v>
      </c>
      <c r="B197" s="14">
        <f t="shared" si="36"/>
        <v>7.5810745609252148</v>
      </c>
      <c r="C197" s="14">
        <f t="shared" si="37"/>
        <v>17.865439662745022</v>
      </c>
      <c r="F197" s="20">
        <f t="shared" ref="F197:F204" si="38">MOD(F196-$E$6*$H$2,360)</f>
        <v>17.824999999998102</v>
      </c>
      <c r="G197" s="20">
        <f t="shared" si="29"/>
        <v>24.141990814084515</v>
      </c>
      <c r="H197" s="20">
        <f t="shared" si="30"/>
        <v>22.688749121507648</v>
      </c>
      <c r="I197" s="20">
        <f t="shared" si="34"/>
        <v>51.599999999998317</v>
      </c>
      <c r="J197" s="20">
        <f t="shared" si="31"/>
        <v>25.726886681670003</v>
      </c>
      <c r="K197" s="20">
        <f t="shared" si="32"/>
        <v>26.702160743954927</v>
      </c>
    </row>
    <row r="198" spans="1:11">
      <c r="A198" s="14">
        <f t="shared" si="33"/>
        <v>197</v>
      </c>
      <c r="B198" s="14">
        <f t="shared" si="36"/>
        <v>7.6554286605544686</v>
      </c>
      <c r="C198" s="14">
        <f t="shared" si="37"/>
        <v>17.614424429158948</v>
      </c>
      <c r="F198" s="20">
        <f t="shared" si="38"/>
        <v>18.849999999998101</v>
      </c>
      <c r="G198" s="20">
        <f t="shared" ref="G198:G204" si="39">COS(F198/180*PI())*$E$1*$M$19+$E$2</f>
        <v>24.129327257098836</v>
      </c>
      <c r="H198" s="20">
        <f t="shared" ref="H198:H204" si="40">SIN(F198/180*PI())*$E$1*$M$19+$E$3</f>
        <v>22.726956279411588</v>
      </c>
      <c r="I198" s="20">
        <f t="shared" si="34"/>
        <v>52.79999999999832</v>
      </c>
      <c r="J198" s="20">
        <f t="shared" ref="J198:J204" si="41">COS(I198/180*PI())*$E$1*$M$23+$E$2</f>
        <v>25.627594689174391</v>
      </c>
      <c r="K198" s="20">
        <f t="shared" ref="K198:K204" si="42">SIN(I198/180*PI())*$E$1*$M$23+$E$3</f>
        <v>26.77917950814507</v>
      </c>
    </row>
    <row r="199" spans="1:11">
      <c r="A199" s="14">
        <f t="shared" si="33"/>
        <v>198</v>
      </c>
      <c r="B199" s="14">
        <f t="shared" si="36"/>
        <v>7.7341522555726971</v>
      </c>
      <c r="C199" s="14">
        <f t="shared" si="37"/>
        <v>17.364745084375784</v>
      </c>
      <c r="F199" s="20">
        <f t="shared" si="38"/>
        <v>19.874999999998099</v>
      </c>
      <c r="G199" s="20">
        <f t="shared" si="39"/>
        <v>24.115982251210074</v>
      </c>
      <c r="H199" s="20">
        <f t="shared" si="40"/>
        <v>22.764930789394668</v>
      </c>
      <c r="I199" s="20">
        <f t="shared" si="34"/>
        <v>53.999999999998323</v>
      </c>
      <c r="J199" s="20">
        <f t="shared" si="41"/>
        <v>25.526711513754982</v>
      </c>
      <c r="K199" s="20">
        <f t="shared" si="42"/>
        <v>26.85410196624958</v>
      </c>
    </row>
    <row r="200" spans="1:11">
      <c r="A200" s="14">
        <f t="shared" si="33"/>
        <v>199</v>
      </c>
      <c r="B200" s="14">
        <f t="shared" si="36"/>
        <v>7.8172213660102496</v>
      </c>
      <c r="C200" s="14">
        <f t="shared" si="37"/>
        <v>17.116477683142648</v>
      </c>
      <c r="F200" s="20">
        <f t="shared" si="38"/>
        <v>20.899999999998098</v>
      </c>
      <c r="G200" s="20">
        <f t="shared" si="39"/>
        <v>24.101960067222343</v>
      </c>
      <c r="H200" s="20">
        <f t="shared" si="40"/>
        <v>22.802660498469088</v>
      </c>
      <c r="I200" s="20">
        <f t="shared" si="34"/>
        <v>55.199999999998326</v>
      </c>
      <c r="J200" s="20">
        <f t="shared" si="41"/>
        <v>25.424281406106736</v>
      </c>
      <c r="K200" s="20">
        <f t="shared" si="42"/>
        <v>26.926895254802126</v>
      </c>
    </row>
    <row r="201" spans="1:11">
      <c r="A201" s="14">
        <f t="shared" si="33"/>
        <v>200</v>
      </c>
      <c r="B201" s="14">
        <f t="shared" si="36"/>
        <v>7.904610688211374</v>
      </c>
      <c r="C201" s="14">
        <f t="shared" si="37"/>
        <v>16.869697850114971</v>
      </c>
      <c r="F201" s="20">
        <f t="shared" si="38"/>
        <v>21.924999999998096</v>
      </c>
      <c r="G201" s="20">
        <f t="shared" si="39"/>
        <v>24.087265192657171</v>
      </c>
      <c r="H201" s="20">
        <f t="shared" si="40"/>
        <v>22.840133331990717</v>
      </c>
      <c r="I201" s="20">
        <f t="shared" si="34"/>
        <v>56.399999999998329</v>
      </c>
      <c r="J201" s="20">
        <f t="shared" si="41"/>
        <v>25.320349295460211</v>
      </c>
      <c r="K201" s="20">
        <f t="shared" si="42"/>
        <v>26.997527444260498</v>
      </c>
    </row>
    <row r="202" spans="1:11">
      <c r="A202" s="14">
        <f t="shared" si="33"/>
        <v>201</v>
      </c>
      <c r="B202" s="14">
        <f t="shared" si="36"/>
        <v>7.9962936025419733</v>
      </c>
      <c r="C202" s="14">
        <f t="shared" si="37"/>
        <v>16.624480756820493</v>
      </c>
      <c r="F202" s="20">
        <f t="shared" si="38"/>
        <v>22.949999999998095</v>
      </c>
      <c r="G202" s="20">
        <f t="shared" si="39"/>
        <v>24.071902330317339</v>
      </c>
      <c r="H202" s="20">
        <f t="shared" si="40"/>
        <v>22.877337297523354</v>
      </c>
      <c r="I202" s="20">
        <f t="shared" si="34"/>
        <v>57.599999999998332</v>
      </c>
      <c r="J202" s="20">
        <f t="shared" si="41"/>
        <v>25.214960769874125</v>
      </c>
      <c r="K202" s="20">
        <f t="shared" si="42"/>
        <v>27.065967553011998</v>
      </c>
    </row>
    <row r="203" spans="1:11">
      <c r="A203" s="14">
        <f t="shared" si="33"/>
        <v>202</v>
      </c>
      <c r="B203" s="14">
        <f t="shared" si="36"/>
        <v>8.0922421814981895</v>
      </c>
      <c r="C203" s="14">
        <f t="shared" si="37"/>
        <v>16.380901098761321</v>
      </c>
      <c r="F203" s="20">
        <f t="shared" si="38"/>
        <v>23.974999999998094</v>
      </c>
      <c r="G203" s="20">
        <f t="shared" si="39"/>
        <v>24.055876396781855</v>
      </c>
      <c r="H203" s="20">
        <f t="shared" si="40"/>
        <v>22.914260488676646</v>
      </c>
      <c r="I203" s="20">
        <f t="shared" si="34"/>
        <v>58.799999999998334</v>
      </c>
      <c r="J203" s="20">
        <f t="shared" si="41"/>
        <v>25.108162056238932</v>
      </c>
      <c r="K203" s="20">
        <f t="shared" si="42"/>
        <v>27.132185560962949</v>
      </c>
    </row>
    <row r="204" spans="1:11">
      <c r="A204" s="14">
        <f t="shared" si="33"/>
        <v>203</v>
      </c>
      <c r="B204" s="14">
        <f t="shared" si="36"/>
        <v>8.1924271982133945</v>
      </c>
      <c r="C204" s="14">
        <f t="shared" si="37"/>
        <v>16.139033072660897</v>
      </c>
      <c r="F204" s="20">
        <f t="shared" si="38"/>
        <v>24.999999999998092</v>
      </c>
      <c r="G204" s="20">
        <f t="shared" si="39"/>
        <v>24.039192520832493</v>
      </c>
      <c r="H204" s="20">
        <f t="shared" si="40"/>
        <v>22.950891088916507</v>
      </c>
      <c r="I204" s="20">
        <f>MOD(I203-$E$6*$K$2,360)</f>
        <v>59.999999999998337</v>
      </c>
      <c r="J204" s="20">
        <f t="shared" si="41"/>
        <v>25.000000000000149</v>
      </c>
      <c r="K204" s="20">
        <f t="shared" si="42"/>
        <v>27.196152422706547</v>
      </c>
    </row>
    <row r="205" spans="1:11">
      <c r="A205" s="14">
        <f t="shared" si="33"/>
        <v>204</v>
      </c>
      <c r="B205" s="14">
        <f t="shared" si="36"/>
        <v>8.2968181353609829</v>
      </c>
      <c r="C205" s="14">
        <f t="shared" si="37"/>
        <v>15.898950353863004</v>
      </c>
      <c r="F205" s="20"/>
      <c r="G205" s="16" t="s">
        <v>123</v>
      </c>
      <c r="H205" s="16"/>
      <c r="I205" s="20"/>
      <c r="J205" s="16" t="s">
        <v>121</v>
      </c>
      <c r="K205" s="16"/>
    </row>
    <row r="206" spans="1:11">
      <c r="A206" s="14">
        <f t="shared" si="33"/>
        <v>205</v>
      </c>
      <c r="B206" s="14">
        <f t="shared" si="36"/>
        <v>8.4053831944502484</v>
      </c>
      <c r="C206" s="14">
        <f t="shared" si="37"/>
        <v>15.66072607388951</v>
      </c>
      <c r="G206" s="6">
        <f>(G103-E2)*1.5+E2</f>
        <v>22.67142365640801</v>
      </c>
      <c r="H206" s="6">
        <f>(H103-E3)*1.5+E3</f>
        <v>18.692460843222609</v>
      </c>
      <c r="J206" s="6">
        <f>(J103-E2)*1.2+E2</f>
        <v>25.468626453532224</v>
      </c>
      <c r="K206" s="6">
        <f>(K103-E3)*1.2+E3</f>
        <v>15.690591903684112</v>
      </c>
    </row>
    <row r="207" spans="1:11">
      <c r="A207" s="14">
        <f t="shared" si="33"/>
        <v>206</v>
      </c>
      <c r="B207" s="14">
        <f t="shared" si="36"/>
        <v>8.5180893055124933</v>
      </c>
      <c r="C207" s="14">
        <f t="shared" si="37"/>
        <v>15.424432798163844</v>
      </c>
      <c r="F207" s="4">
        <f>G2</f>
        <v>25</v>
      </c>
      <c r="G207" s="4">
        <f>MOD(M3-E6*M7+720,360)</f>
        <v>165</v>
      </c>
      <c r="H207" s="4">
        <f>MOD(720+M8,360)/200</f>
        <v>0.7</v>
      </c>
      <c r="I207" s="4">
        <f>J2</f>
        <v>60</v>
      </c>
      <c r="J207" s="4">
        <f>MOD(M4-E6*M11+720,360)</f>
        <v>200</v>
      </c>
      <c r="K207" s="4">
        <f>MOD(720+M12,360)/200</f>
        <v>0.7</v>
      </c>
    </row>
    <row r="208" spans="1:11">
      <c r="A208" s="14">
        <f t="shared" si="33"/>
        <v>207</v>
      </c>
      <c r="B208" s="14">
        <f t="shared" si="36"/>
        <v>8.6349021371744783</v>
      </c>
      <c r="C208" s="14">
        <f t="shared" si="37"/>
        <v>15.190142503906806</v>
      </c>
      <c r="F208" s="21" t="s">
        <v>121</v>
      </c>
      <c r="G208" s="4" t="str">
        <f>MOD(H207*200,360) &amp;"°"</f>
        <v>140°</v>
      </c>
      <c r="H208" s="4"/>
      <c r="I208" s="21" t="s">
        <v>121</v>
      </c>
      <c r="J208" s="4" t="str">
        <f>MOD(K207*200,360) &amp;"°"</f>
        <v>140°</v>
      </c>
      <c r="K208" s="4"/>
    </row>
    <row r="209" spans="1:14">
      <c r="A209" s="14">
        <f t="shared" si="33"/>
        <v>208</v>
      </c>
      <c r="B209" s="14">
        <f t="shared" si="36"/>
        <v>8.7557861071160943</v>
      </c>
      <c r="C209" s="14">
        <f t="shared" si="37"/>
        <v>14.957926558211643</v>
      </c>
      <c r="F209" s="20">
        <f>MOD(F207,360)</f>
        <v>25</v>
      </c>
      <c r="G209" s="20">
        <f>COS(F209/180*PI())*$E$1*$M$17+$E$2</f>
        <v>24.718923361109951</v>
      </c>
      <c r="H209" s="20">
        <f>SIN(F209/180*PI())*$E$1*$M$17+$E$3</f>
        <v>23.267854785222099</v>
      </c>
      <c r="I209" s="20">
        <f>MOD(I207,360)</f>
        <v>60</v>
      </c>
      <c r="J209" s="20">
        <f>COS(I209/180*PI())*$E$1*$M$21+$E$2</f>
        <v>25.375</v>
      </c>
      <c r="K209" s="20">
        <f>SIN(I209/180*PI())*$E$1*$M$21+$E$3</f>
        <v>27.845671475544961</v>
      </c>
    </row>
    <row r="210" spans="1:14">
      <c r="A210" s="14">
        <f t="shared" si="33"/>
        <v>209</v>
      </c>
      <c r="B210" s="14">
        <f t="shared" si="36"/>
        <v>8.880704392909065</v>
      </c>
      <c r="C210" s="14">
        <f t="shared" si="37"/>
        <v>14.727855696304939</v>
      </c>
      <c r="F210" s="20">
        <f t="shared" ref="F210:F241" si="43">MOD(F209-$E$6*$H$207,360)</f>
        <v>25.7</v>
      </c>
      <c r="G210" s="20">
        <f>COS(F210/180*PI())*$E$1*$M$17+$E$2</f>
        <v>24.703231063966275</v>
      </c>
      <c r="H210" s="20">
        <f>SIN(F210/180*PI())*$E$1*$M$17+$E$3</f>
        <v>23.300977253762632</v>
      </c>
      <c r="I210" s="20">
        <f>MOD(I209-$E$6*$K$207,360)</f>
        <v>60.7</v>
      </c>
      <c r="J210" s="20">
        <f>COS(I210/180*PI())*$E$1*$M$21+$E$2</f>
        <v>25.303331549304712</v>
      </c>
      <c r="K210" s="20">
        <f>SIN(I210/180*PI())*$E$1*$M$21+$E$3</f>
        <v>27.886467588916815</v>
      </c>
    </row>
    <row r="211" spans="1:14">
      <c r="A211" s="14">
        <f t="shared" si="33"/>
        <v>210</v>
      </c>
      <c r="B211" s="14">
        <f t="shared" si="36"/>
        <v>9.0096189432334217</v>
      </c>
      <c r="C211" s="14">
        <f t="shared" si="37"/>
        <v>14.499999999999998</v>
      </c>
      <c r="F211" s="20">
        <f t="shared" si="43"/>
        <v>26.4</v>
      </c>
      <c r="G211" s="20">
        <f t="shared" ref="G211:G274" si="44">COS(F211/180*PI())*$E$1*$M$17+$E$2</f>
        <v>24.687135280718238</v>
      </c>
      <c r="H211" s="20">
        <f t="shared" ref="H211:H274" si="45">SIN(F211/180*PI())*$E$1*$M$17+$E$3</f>
        <v>23.333905537554784</v>
      </c>
      <c r="I211" s="20">
        <f t="shared" ref="I211:I274" si="46">MOD(I210-$E$6*$K$207,360)</f>
        <v>61.400000000000006</v>
      </c>
      <c r="J211" s="20">
        <f t="shared" ref="J211:J274" si="47">COS(I211/180*PI())*$E$1*$M$21+$E$2</f>
        <v>25.231170041099094</v>
      </c>
      <c r="K211" s="20">
        <f t="shared" ref="K211:K274" si="48">SIN(I211/180*PI())*$E$1*$M$21+$E$3</f>
        <v>27.926385084138868</v>
      </c>
    </row>
    <row r="212" spans="1:14">
      <c r="A212" s="14">
        <f t="shared" si="33"/>
        <v>211</v>
      </c>
      <c r="B212" s="14">
        <f t="shared" si="36"/>
        <v>9.1424904894683152</v>
      </c>
      <c r="C212" s="14">
        <f t="shared" si="37"/>
        <v>14.274428876349187</v>
      </c>
      <c r="F212" s="20">
        <f t="shared" si="43"/>
        <v>27.099999999999998</v>
      </c>
      <c r="G212" s="20">
        <f t="shared" si="44"/>
        <v>24.67063841383338</v>
      </c>
      <c r="H212" s="20">
        <f t="shared" si="45"/>
        <v>23.366634721700546</v>
      </c>
      <c r="I212" s="20">
        <f t="shared" si="46"/>
        <v>62.100000000000009</v>
      </c>
      <c r="J212" s="20">
        <f t="shared" si="47"/>
        <v>25.158526246258869</v>
      </c>
      <c r="K212" s="20">
        <f t="shared" si="48"/>
        <v>27.96541800309868</v>
      </c>
    </row>
    <row r="213" spans="1:14">
      <c r="A213" s="14">
        <f t="shared" si="33"/>
        <v>212</v>
      </c>
      <c r="B213" s="14">
        <f t="shared" si="36"/>
        <v>9.2792785576536083</v>
      </c>
      <c r="C213" s="14">
        <f t="shared" si="37"/>
        <v>14.051211036501929</v>
      </c>
      <c r="F213" s="20">
        <f t="shared" si="43"/>
        <v>27.799999999999997</v>
      </c>
      <c r="G213" s="20">
        <f t="shared" si="44"/>
        <v>24.653742925645254</v>
      </c>
      <c r="H213" s="20">
        <f t="shared" si="45"/>
        <v>23.399159921019674</v>
      </c>
      <c r="I213" s="20">
        <f t="shared" si="46"/>
        <v>62.800000000000011</v>
      </c>
      <c r="J213" s="20">
        <f t="shared" si="47"/>
        <v>25.085411007646186</v>
      </c>
      <c r="K213" s="20">
        <f t="shared" si="48"/>
        <v>28.00356051971626</v>
      </c>
    </row>
    <row r="214" spans="1:14">
      <c r="A214" s="14">
        <f t="shared" si="33"/>
        <v>213</v>
      </c>
      <c r="B214" s="14">
        <f t="shared" si="36"/>
        <v>9.4199414808186397</v>
      </c>
      <c r="C214" s="14">
        <f t="shared" si="37"/>
        <v>13.830414474774594</v>
      </c>
      <c r="F214" s="20">
        <f t="shared" si="43"/>
        <v>28.499999999999996</v>
      </c>
      <c r="G214" s="20">
        <f t="shared" si="44"/>
        <v>24.636451337985896</v>
      </c>
      <c r="H214" s="20">
        <f t="shared" si="45"/>
        <v>23.431476280778824</v>
      </c>
      <c r="I214" s="20">
        <f t="shared" si="46"/>
        <v>63.500000000000014</v>
      </c>
      <c r="J214" s="20">
        <f t="shared" si="47"/>
        <v>25.011835238491209</v>
      </c>
      <c r="K214" s="20">
        <f t="shared" si="48"/>
        <v>28.04080694081367</v>
      </c>
    </row>
    <row r="215" spans="1:14">
      <c r="A215" s="14">
        <f t="shared" ref="A215:A278" si="49">A214+1</f>
        <v>214</v>
      </c>
      <c r="B215" s="14">
        <f t="shared" si="36"/>
        <v>9.5644364116743716</v>
      </c>
      <c r="C215" s="14">
        <f t="shared" si="37"/>
        <v>13.6121064479388</v>
      </c>
      <c r="F215" s="20">
        <f t="shared" si="43"/>
        <v>29.199999999999996</v>
      </c>
      <c r="G215" s="20">
        <f t="shared" si="44"/>
        <v>24.618766231809431</v>
      </c>
      <c r="H215" s="20">
        <f t="shared" si="45"/>
        <v>23.463578977416198</v>
      </c>
      <c r="I215" s="20">
        <f t="shared" si="46"/>
        <v>64.200000000000017</v>
      </c>
      <c r="J215" s="20">
        <f t="shared" si="47"/>
        <v>24.937809920763208</v>
      </c>
      <c r="K215" s="20">
        <f t="shared" si="48"/>
        <v>28.077151706964806</v>
      </c>
      <c r="L215" s="20"/>
      <c r="M215" s="20"/>
    </row>
    <row r="216" spans="1:14">
      <c r="A216" s="14">
        <f t="shared" si="49"/>
        <v>215</v>
      </c>
      <c r="B216" s="14">
        <f t="shared" si="36"/>
        <v>9.7127193356651205</v>
      </c>
      <c r="C216" s="14">
        <f t="shared" si="37"/>
        <v>13.396353454734312</v>
      </c>
      <c r="F216" s="20">
        <f t="shared" si="43"/>
        <v>29.899999999999995</v>
      </c>
      <c r="G216" s="20">
        <f t="shared" si="44"/>
        <v>24.60069024680681</v>
      </c>
      <c r="H216" s="20">
        <f t="shared" si="45"/>
        <v>23.495463219261492</v>
      </c>
      <c r="I216" s="20">
        <f t="shared" si="46"/>
        <v>64.90000000000002</v>
      </c>
      <c r="J216" s="20">
        <f t="shared" si="47"/>
        <v>24.863346103531381</v>
      </c>
      <c r="K216" s="20">
        <f t="shared" si="48"/>
        <v>28.112589393325194</v>
      </c>
    </row>
    <row r="217" spans="1:14">
      <c r="A217" s="14">
        <f t="shared" si="49"/>
        <v>216</v>
      </c>
      <c r="B217" s="14">
        <f t="shared" si="36"/>
        <v>9.8647450843757873</v>
      </c>
      <c r="C217" s="14">
        <f t="shared" si="37"/>
        <v>13.183221215612905</v>
      </c>
      <c r="F217" s="20">
        <f t="shared" si="43"/>
        <v>30.599999999999994</v>
      </c>
      <c r="G217" s="20">
        <f t="shared" si="44"/>
        <v>24.582226081011832</v>
      </c>
      <c r="H217" s="20">
        <f t="shared" si="45"/>
        <v>23.527124247251113</v>
      </c>
      <c r="I217" s="20">
        <f t="shared" si="46"/>
        <v>65.600000000000023</v>
      </c>
      <c r="J217" s="20">
        <f t="shared" si="47"/>
        <v>24.788454901315657</v>
      </c>
      <c r="K217" s="20">
        <f t="shared" si="48"/>
        <v>28.147114710441699</v>
      </c>
    </row>
    <row r="218" spans="1:14">
      <c r="A218" s="14">
        <f t="shared" si="49"/>
        <v>217</v>
      </c>
      <c r="B218" s="14">
        <f t="shared" si="36"/>
        <v>10.020467349290604</v>
      </c>
      <c r="C218" s="14">
        <f t="shared" si="37"/>
        <v>12.972774652719279</v>
      </c>
      <c r="F218" s="20">
        <f t="shared" si="43"/>
        <v>31.299999999999994</v>
      </c>
      <c r="G218" s="20">
        <f t="shared" si="44"/>
        <v>24.563376490398422</v>
      </c>
      <c r="H218" s="20">
        <f t="shared" si="45"/>
        <v>23.558557335638529</v>
      </c>
      <c r="I218" s="20">
        <f t="shared" si="46"/>
        <v>66.300000000000026</v>
      </c>
      <c r="J218" s="20">
        <f t="shared" si="47"/>
        <v>24.71314749242773</v>
      </c>
      <c r="K218" s="20">
        <f t="shared" si="48"/>
        <v>28.180722505042038</v>
      </c>
    </row>
    <row r="219" spans="1:14">
      <c r="A219" s="14">
        <f t="shared" si="49"/>
        <v>218</v>
      </c>
      <c r="B219" s="14">
        <f t="shared" si="36"/>
        <v>10.179838695899166</v>
      </c>
      <c r="C219" s="14">
        <f t="shared" si="37"/>
        <v>12.765077870115132</v>
      </c>
      <c r="F219" s="20">
        <f t="shared" si="43"/>
        <v>31.999999999999993</v>
      </c>
      <c r="G219" s="20">
        <f t="shared" si="44"/>
        <v>24.54414428846928</v>
      </c>
      <c r="H219" s="20">
        <f t="shared" si="45"/>
        <v>23.589757792699615</v>
      </c>
      <c r="I219" s="20">
        <f t="shared" si="46"/>
        <v>67.000000000000028</v>
      </c>
      <c r="J219" s="20">
        <f t="shared" si="47"/>
        <v>24.637435117302594</v>
      </c>
      <c r="K219" s="20">
        <f t="shared" si="48"/>
        <v>28.213407760803975</v>
      </c>
    </row>
    <row r="220" spans="1:14">
      <c r="A220" s="14">
        <f t="shared" si="49"/>
        <v>219</v>
      </c>
      <c r="B220" s="14">
        <f t="shared" si="36"/>
        <v>10.342810578145436</v>
      </c>
      <c r="C220" s="14">
        <f t="shared" si="37"/>
        <v>12.560194134252443</v>
      </c>
      <c r="F220" s="20">
        <f t="shared" si="43"/>
        <v>32.699999999999996</v>
      </c>
      <c r="G220" s="20">
        <f t="shared" si="44"/>
        <v>24.524532345835919</v>
      </c>
      <c r="H220" s="20">
        <f t="shared" si="45"/>
        <v>23.620720961432966</v>
      </c>
      <c r="I220" s="20">
        <f t="shared" si="46"/>
        <v>67.700000000000031</v>
      </c>
      <c r="J220" s="20">
        <f t="shared" si="47"/>
        <v>24.561329076820783</v>
      </c>
      <c r="K220" s="20">
        <f t="shared" si="48"/>
        <v>28.24516559910403</v>
      </c>
    </row>
    <row r="221" spans="1:14">
      <c r="A221" s="14">
        <f t="shared" si="49"/>
        <v>220</v>
      </c>
      <c r="B221" s="14">
        <f t="shared" si="36"/>
        <v>10.509333353215331</v>
      </c>
      <c r="C221" s="14">
        <f t="shared" si="37"/>
        <v>12.358185854701912</v>
      </c>
      <c r="F221" s="20">
        <f t="shared" si="43"/>
        <v>33.4</v>
      </c>
      <c r="G221" s="20">
        <f t="shared" si="44"/>
        <v>24.50454358979022</v>
      </c>
      <c r="H221" s="20">
        <f t="shared" si="45"/>
        <v>23.651442220254985</v>
      </c>
      <c r="I221" s="20">
        <f t="shared" si="46"/>
        <v>68.400000000000034</v>
      </c>
      <c r="J221" s="20">
        <f t="shared" si="47"/>
        <v>24.484840730621574</v>
      </c>
      <c r="K221" s="20">
        <f t="shared" si="48"/>
        <v>28.2759912797457</v>
      </c>
    </row>
    <row r="222" spans="1:14">
      <c r="A222" s="14">
        <f t="shared" si="49"/>
        <v>221</v>
      </c>
      <c r="B222" s="14">
        <f t="shared" si="36"/>
        <v>10.679356296658421</v>
      </c>
      <c r="C222" s="14">
        <f t="shared" si="37"/>
        <v>12.159114565142389</v>
      </c>
      <c r="F222" s="20">
        <f t="shared" si="43"/>
        <v>34.1</v>
      </c>
      <c r="G222" s="20">
        <f t="shared" si="44"/>
        <v>24.484181003867484</v>
      </c>
      <c r="H222" s="20">
        <f t="shared" si="45"/>
        <v>23.681916983689725</v>
      </c>
      <c r="I222" s="20">
        <f t="shared" si="46"/>
        <v>69.100000000000037</v>
      </c>
      <c r="J222" s="20">
        <f t="shared" si="47"/>
        <v>24.407981495407466</v>
      </c>
      <c r="K222" s="20">
        <f t="shared" si="48"/>
        <v>28.305880201666952</v>
      </c>
      <c r="N222" s="20"/>
    </row>
    <row r="223" spans="1:14">
      <c r="A223" s="14">
        <f t="shared" si="49"/>
        <v>222</v>
      </c>
      <c r="B223" s="14">
        <f t="shared" si="36"/>
        <v>10.852827617839086</v>
      </c>
      <c r="C223" s="14">
        <f t="shared" si="37"/>
        <v>11.963040904617127</v>
      </c>
      <c r="F223" s="20">
        <f t="shared" si="43"/>
        <v>34.800000000000004</v>
      </c>
      <c r="G223" s="20">
        <f t="shared" si="44"/>
        <v>24.463447627401113</v>
      </c>
      <c r="H223" s="20">
        <f t="shared" si="45"/>
        <v>23.712140703053294</v>
      </c>
      <c r="I223" s="20">
        <f t="shared" si="46"/>
        <v>69.80000000000004</v>
      </c>
      <c r="J223" s="20">
        <f t="shared" si="47"/>
        <v>24.330762843240105</v>
      </c>
      <c r="K223" s="20">
        <f t="shared" si="48"/>
        <v>28.334827903627005</v>
      </c>
    </row>
    <row r="224" spans="1:14">
      <c r="A224" s="14">
        <f t="shared" si="49"/>
        <v>223</v>
      </c>
      <c r="B224" s="14">
        <f t="shared" si="36"/>
        <v>11.029694475712441</v>
      </c>
      <c r="C224" s="14">
        <f t="shared" si="37"/>
        <v>11.770024599062525</v>
      </c>
      <c r="F224" s="20">
        <f t="shared" si="43"/>
        <v>35.500000000000007</v>
      </c>
      <c r="G224" s="20">
        <f t="shared" si="44"/>
        <v>24.442346555068958</v>
      </c>
      <c r="H224" s="20">
        <f t="shared" si="45"/>
        <v>23.742108867132821</v>
      </c>
      <c r="I224" s="20">
        <f t="shared" si="46"/>
        <v>70.500000000000043</v>
      </c>
      <c r="J224" s="20">
        <f t="shared" si="47"/>
        <v>24.253196299827948</v>
      </c>
      <c r="K224" s="20">
        <f t="shared" si="48"/>
        <v>28.362830064872206</v>
      </c>
    </row>
    <row r="225" spans="1:11">
      <c r="A225" s="14">
        <f t="shared" si="49"/>
        <v>224</v>
      </c>
      <c r="B225" s="14">
        <f t="shared" si="36"/>
        <v>11.209902994920235</v>
      </c>
      <c r="C225" s="14">
        <f t="shared" si="37"/>
        <v>11.580124443115039</v>
      </c>
      <c r="F225" s="20">
        <f t="shared" si="43"/>
        <v>36.20000000000001</v>
      </c>
      <c r="G225" s="20">
        <f t="shared" si="44"/>
        <v>24.420880936431406</v>
      </c>
      <c r="H225" s="20">
        <f t="shared" si="45"/>
        <v>23.771817002859777</v>
      </c>
      <c r="I225" s="20">
        <f t="shared" si="46"/>
        <v>71.200000000000045</v>
      </c>
      <c r="J225" s="20">
        <f t="shared" si="47"/>
        <v>24.175293442805945</v>
      </c>
      <c r="K225" s="20">
        <f t="shared" si="48"/>
        <v>28.389882505780953</v>
      </c>
    </row>
    <row r="226" spans="1:11">
      <c r="A226" s="14">
        <f t="shared" si="49"/>
        <v>225</v>
      </c>
      <c r="B226" s="14">
        <f t="shared" si="36"/>
        <v>11.393398282201785</v>
      </c>
      <c r="C226" s="14">
        <f t="shared" si="37"/>
        <v>11.393398282201789</v>
      </c>
      <c r="F226" s="20">
        <f t="shared" si="43"/>
        <v>36.900000000000013</v>
      </c>
      <c r="G226" s="20">
        <f t="shared" si="44"/>
        <v>24.399053975461271</v>
      </c>
      <c r="H226" s="20">
        <f t="shared" si="45"/>
        <v>23.801260675977652</v>
      </c>
      <c r="I226" s="20">
        <f t="shared" si="46"/>
        <v>71.900000000000048</v>
      </c>
      <c r="J226" s="20">
        <f t="shared" si="47"/>
        <v>24.097065900007436</v>
      </c>
      <c r="K226" s="20">
        <f t="shared" si="48"/>
        <v>28.415981188487542</v>
      </c>
    </row>
    <row r="227" spans="1:11">
      <c r="A227" s="14">
        <f t="shared" si="49"/>
        <v>226</v>
      </c>
      <c r="B227" s="14">
        <f t="shared" si="36"/>
        <v>11.580124443115036</v>
      </c>
      <c r="C227" s="14">
        <f t="shared" si="37"/>
        <v>11.209902994920236</v>
      </c>
      <c r="F227" s="20">
        <f t="shared" si="43"/>
        <v>37.600000000000016</v>
      </c>
      <c r="G227" s="20">
        <f t="shared" si="44"/>
        <v>24.376868930065573</v>
      </c>
      <c r="H227" s="20">
        <f t="shared" si="45"/>
        <v>23.830435491703803</v>
      </c>
      <c r="I227" s="20">
        <f t="shared" si="46"/>
        <v>72.600000000000051</v>
      </c>
      <c r="J227" s="20">
        <f t="shared" si="47"/>
        <v>24.01852534772858</v>
      </c>
      <c r="K227" s="20">
        <f t="shared" si="48"/>
        <v>28.441122217484871</v>
      </c>
    </row>
    <row r="228" spans="1:11">
      <c r="A228" s="14">
        <f t="shared" si="49"/>
        <v>227</v>
      </c>
      <c r="B228" s="14">
        <f t="shared" si="36"/>
        <v>11.770024599062522</v>
      </c>
      <c r="C228" s="14">
        <f t="shared" si="37"/>
        <v>11.029694475712443</v>
      </c>
      <c r="F228" s="20">
        <f t="shared" si="43"/>
        <v>38.300000000000018</v>
      </c>
      <c r="G228" s="20">
        <f t="shared" si="44"/>
        <v>24.354329111599249</v>
      </c>
      <c r="H228" s="20">
        <f t="shared" si="45"/>
        <v>23.85933709538542</v>
      </c>
      <c r="I228" s="20">
        <f t="shared" si="46"/>
        <v>73.300000000000054</v>
      </c>
      <c r="J228" s="20">
        <f t="shared" si="47"/>
        <v>23.939683508985549</v>
      </c>
      <c r="K228" s="20">
        <f t="shared" si="48"/>
        <v>28.465301840205878</v>
      </c>
    </row>
    <row r="229" spans="1:11">
      <c r="A229" s="14">
        <f t="shared" si="49"/>
        <v>228</v>
      </c>
      <c r="B229" s="14">
        <f t="shared" si="36"/>
        <v>11.963040904617124</v>
      </c>
      <c r="C229" s="14">
        <f t="shared" si="37"/>
        <v>10.85282761783909</v>
      </c>
      <c r="F229" s="20">
        <f t="shared" si="43"/>
        <v>39.000000000000021</v>
      </c>
      <c r="G229" s="20">
        <f t="shared" si="44"/>
        <v>24.331437884370914</v>
      </c>
      <c r="H229" s="20">
        <f t="shared" si="45"/>
        <v>23.887961173149513</v>
      </c>
      <c r="I229" s="20">
        <f t="shared" si="46"/>
        <v>74.000000000000057</v>
      </c>
      <c r="J229" s="20">
        <f t="shared" si="47"/>
        <v>23.86055215176474</v>
      </c>
      <c r="K229" s="20">
        <f t="shared" si="48"/>
        <v>28.488516447583656</v>
      </c>
    </row>
    <row r="230" spans="1:11">
      <c r="A230" s="14">
        <f t="shared" si="49"/>
        <v>229</v>
      </c>
      <c r="B230" s="14">
        <f t="shared" si="36"/>
        <v>12.159114565142385</v>
      </c>
      <c r="C230" s="14">
        <f t="shared" si="37"/>
        <v>10.679356296658424</v>
      </c>
      <c r="F230" s="20">
        <f t="shared" si="43"/>
        <v>39.700000000000024</v>
      </c>
      <c r="G230" s="20">
        <f t="shared" si="44"/>
        <v>24.308198665140683</v>
      </c>
      <c r="H230" s="20">
        <f t="shared" si="45"/>
        <v>23.916303452546792</v>
      </c>
      <c r="I230" s="20">
        <f t="shared" si="46"/>
        <v>74.70000000000006</v>
      </c>
      <c r="J230" s="20">
        <f t="shared" si="47"/>
        <v>23.781143087266262</v>
      </c>
      <c r="K230" s="20">
        <f t="shared" si="48"/>
        <v>28.510762574590139</v>
      </c>
    </row>
    <row r="231" spans="1:11">
      <c r="A231" s="14">
        <f t="shared" si="49"/>
        <v>230</v>
      </c>
      <c r="B231" s="14">
        <f t="shared" si="36"/>
        <v>12.358185854701908</v>
      </c>
      <c r="C231" s="14">
        <f t="shared" si="37"/>
        <v>10.509333353215332</v>
      </c>
      <c r="F231" s="20">
        <f t="shared" si="43"/>
        <v>40.400000000000027</v>
      </c>
      <c r="G231" s="20">
        <f t="shared" si="44"/>
        <v>24.28461492261021</v>
      </c>
      <c r="H231" s="20">
        <f t="shared" si="45"/>
        <v>23.944359703189395</v>
      </c>
      <c r="I231" s="20">
        <f t="shared" si="46"/>
        <v>75.400000000000063</v>
      </c>
      <c r="J231" s="20">
        <f t="shared" si="47"/>
        <v>23.701468168141009</v>
      </c>
      <c r="K231" s="20">
        <f t="shared" si="48"/>
        <v>28.532036900753308</v>
      </c>
    </row>
    <row r="232" spans="1:11">
      <c r="A232" s="14">
        <f t="shared" si="49"/>
        <v>231</v>
      </c>
      <c r="B232" s="14">
        <f t="shared" si="36"/>
        <v>12.560194134252443</v>
      </c>
      <c r="C232" s="14">
        <f t="shared" si="37"/>
        <v>10.342810578145434</v>
      </c>
      <c r="F232" s="20">
        <f t="shared" si="43"/>
        <v>41.10000000000003</v>
      </c>
      <c r="G232" s="20">
        <f t="shared" si="44"/>
        <v>24.260690176904912</v>
      </c>
      <c r="H232" s="20">
        <f t="shared" si="45"/>
        <v>23.972125737382289</v>
      </c>
      <c r="I232" s="20">
        <f t="shared" si="46"/>
        <v>76.100000000000065</v>
      </c>
      <c r="J232" s="20">
        <f t="shared" si="47"/>
        <v>23.621539286721521</v>
      </c>
      <c r="K232" s="20">
        <f t="shared" si="48"/>
        <v>28.55233625065279</v>
      </c>
    </row>
    <row r="233" spans="1:11">
      <c r="A233" s="14">
        <f t="shared" si="49"/>
        <v>232</v>
      </c>
      <c r="B233" s="14">
        <f t="shared" si="36"/>
        <v>12.765077870115128</v>
      </c>
      <c r="C233" s="14">
        <f t="shared" si="37"/>
        <v>10.179838695899168</v>
      </c>
      <c r="F233" s="20">
        <f t="shared" si="43"/>
        <v>41.800000000000033</v>
      </c>
      <c r="G233" s="20">
        <f t="shared" si="44"/>
        <v>24.236427999048587</v>
      </c>
      <c r="H233" s="20">
        <f t="shared" si="45"/>
        <v>23.999597410748358</v>
      </c>
      <c r="I233" s="20">
        <f t="shared" si="46"/>
        <v>76.800000000000068</v>
      </c>
      <c r="J233" s="20">
        <f t="shared" si="47"/>
        <v>23.541368373246918</v>
      </c>
      <c r="K233" s="20">
        <f t="shared" si="48"/>
        <v>28.571657594393834</v>
      </c>
    </row>
    <row r="234" spans="1:11">
      <c r="A234" s="14">
        <f t="shared" si="49"/>
        <v>233</v>
      </c>
      <c r="B234" s="14">
        <f t="shared" si="36"/>
        <v>12.972774652719275</v>
      </c>
      <c r="C234" s="14">
        <f t="shared" si="37"/>
        <v>10.020467349290607</v>
      </c>
      <c r="F234" s="20">
        <f t="shared" si="43"/>
        <v>42.500000000000036</v>
      </c>
      <c r="G234" s="20">
        <f t="shared" si="44"/>
        <v>24.211832010430371</v>
      </c>
      <c r="H234" s="20">
        <f t="shared" si="45"/>
        <v>24.026770622846982</v>
      </c>
      <c r="I234" s="20">
        <f t="shared" si="46"/>
        <v>77.500000000000071</v>
      </c>
      <c r="J234" s="20">
        <f t="shared" si="47"/>
        <v>23.460967394082186</v>
      </c>
      <c r="K234" s="20">
        <f t="shared" si="48"/>
        <v>28.589998048059552</v>
      </c>
    </row>
    <row r="235" spans="1:11">
      <c r="A235" s="14">
        <f t="shared" si="49"/>
        <v>234</v>
      </c>
      <c r="B235" s="14">
        <f t="shared" si="36"/>
        <v>13.183221215612901</v>
      </c>
      <c r="C235" s="14">
        <f t="shared" si="37"/>
        <v>9.8647450843757891</v>
      </c>
      <c r="F235" s="20">
        <f t="shared" si="43"/>
        <v>43.200000000000038</v>
      </c>
      <c r="G235" s="20">
        <f t="shared" si="44"/>
        <v>24.186905882264234</v>
      </c>
      <c r="H235" s="20">
        <f t="shared" si="45"/>
        <v>24.053641317786067</v>
      </c>
      <c r="I235" s="20">
        <f t="shared" si="46"/>
        <v>78.200000000000074</v>
      </c>
      <c r="J235" s="20">
        <f t="shared" si="47"/>
        <v>23.380348349932078</v>
      </c>
      <c r="K235" s="20">
        <f t="shared" si="48"/>
        <v>28.607354874141375</v>
      </c>
    </row>
    <row r="236" spans="1:11">
      <c r="A236" s="14">
        <f t="shared" si="49"/>
        <v>235</v>
      </c>
      <c r="B236" s="14">
        <f t="shared" si="36"/>
        <v>13.396353454734305</v>
      </c>
      <c r="C236" s="14">
        <f t="shared" si="37"/>
        <v>9.7127193356651258</v>
      </c>
      <c r="F236" s="20">
        <f t="shared" si="43"/>
        <v>43.900000000000041</v>
      </c>
      <c r="G236" s="20">
        <f t="shared" si="44"/>
        <v>24.161653335040988</v>
      </c>
      <c r="H236" s="20">
        <f t="shared" si="45"/>
        <v>24.080205484827442</v>
      </c>
      <c r="I236" s="20">
        <f t="shared" si="46"/>
        <v>78.900000000000077</v>
      </c>
      <c r="J236" s="20">
        <f t="shared" si="47"/>
        <v>23.299523274049868</v>
      </c>
      <c r="K236" s="20">
        <f t="shared" si="48"/>
        <v>28.623725481947659</v>
      </c>
    </row>
    <row r="237" spans="1:11">
      <c r="A237" s="14">
        <f t="shared" si="49"/>
        <v>236</v>
      </c>
      <c r="B237" s="14">
        <f t="shared" si="36"/>
        <v>13.612106447938791</v>
      </c>
      <c r="C237" s="14">
        <f t="shared" si="37"/>
        <v>9.5644364116743787</v>
      </c>
      <c r="F237" s="20">
        <f t="shared" si="43"/>
        <v>44.600000000000044</v>
      </c>
      <c r="G237" s="20">
        <f t="shared" si="44"/>
        <v>24.136078137972987</v>
      </c>
      <c r="H237" s="20">
        <f t="shared" si="45"/>
        <v>24.106459158985487</v>
      </c>
      <c r="I237" s="20">
        <f t="shared" si="46"/>
        <v>79.60000000000008</v>
      </c>
      <c r="J237" s="20">
        <f t="shared" si="47"/>
        <v>23.218504230441269</v>
      </c>
      <c r="K237" s="20">
        <f t="shared" si="48"/>
        <v>28.639107427990357</v>
      </c>
    </row>
    <row r="238" spans="1:11">
      <c r="A238" s="14">
        <f t="shared" si="49"/>
        <v>237</v>
      </c>
      <c r="B238" s="14">
        <f t="shared" si="36"/>
        <v>13.830414474774596</v>
      </c>
      <c r="C238" s="14">
        <f t="shared" si="37"/>
        <v>9.4199414808186397</v>
      </c>
      <c r="F238" s="20">
        <f t="shared" si="43"/>
        <v>45.300000000000047</v>
      </c>
      <c r="G238" s="20">
        <f t="shared" si="44"/>
        <v>24.110184108431511</v>
      </c>
      <c r="H238" s="20">
        <f t="shared" si="45"/>
        <v>24.13239842161898</v>
      </c>
      <c r="I238" s="20">
        <f t="shared" si="46"/>
        <v>80.300000000000082</v>
      </c>
      <c r="J238" s="20">
        <f t="shared" si="47"/>
        <v>23.137303312063757</v>
      </c>
      <c r="K238" s="20">
        <f t="shared" si="48"/>
        <v>28.653498416349763</v>
      </c>
    </row>
    <row r="239" spans="1:11">
      <c r="A239" s="14">
        <f t="shared" si="49"/>
        <v>238</v>
      </c>
      <c r="B239" s="14">
        <f t="shared" si="36"/>
        <v>14.051211036501925</v>
      </c>
      <c r="C239" s="14">
        <f t="shared" si="37"/>
        <v>9.2792785576536101</v>
      </c>
      <c r="F239" s="20">
        <f t="shared" si="43"/>
        <v>46.00000000000005</v>
      </c>
      <c r="G239" s="20">
        <f t="shared" si="44"/>
        <v>24.08397511137699</v>
      </c>
      <c r="H239" s="20">
        <f t="shared" si="45"/>
        <v>24.158019401015956</v>
      </c>
      <c r="I239" s="20">
        <f t="shared" si="46"/>
        <v>81.000000000000085</v>
      </c>
      <c r="J239" s="20">
        <f t="shared" si="47"/>
        <v>23.055932639021549</v>
      </c>
      <c r="K239" s="20">
        <f t="shared" si="48"/>
        <v>28.666896299017182</v>
      </c>
    </row>
    <row r="240" spans="1:11">
      <c r="A240" s="14">
        <f t="shared" si="49"/>
        <v>239</v>
      </c>
      <c r="B240" s="14">
        <f t="shared" si="36"/>
        <v>14.274428876349184</v>
      </c>
      <c r="C240" s="14">
        <f t="shared" si="37"/>
        <v>9.1424904894683188</v>
      </c>
      <c r="F240" s="20">
        <f t="shared" si="43"/>
        <v>46.700000000000053</v>
      </c>
      <c r="G240" s="20">
        <f t="shared" si="44"/>
        <v>24.057455058782125</v>
      </c>
      <c r="H240" s="20">
        <f t="shared" si="45"/>
        <v>24.183318272971633</v>
      </c>
      <c r="I240" s="20">
        <f t="shared" si="46"/>
        <v>81.700000000000088</v>
      </c>
      <c r="J240" s="20">
        <f t="shared" si="47"/>
        <v>22.974404356756558</v>
      </c>
      <c r="K240" s="20">
        <f t="shared" si="48"/>
        <v>28.679299076215546</v>
      </c>
    </row>
    <row r="241" spans="1:11">
      <c r="A241" s="14">
        <f t="shared" si="49"/>
        <v>240</v>
      </c>
      <c r="B241" s="14">
        <f t="shared" si="36"/>
        <v>14.499999999999993</v>
      </c>
      <c r="C241" s="14">
        <f t="shared" si="37"/>
        <v>9.0096189432334235</v>
      </c>
      <c r="F241" s="20">
        <f t="shared" si="43"/>
        <v>47.400000000000055</v>
      </c>
      <c r="G241" s="20">
        <f t="shared" si="44"/>
        <v>24.030627909047979</v>
      </c>
      <c r="H241" s="20">
        <f t="shared" si="45"/>
        <v>24.208291261359204</v>
      </c>
      <c r="I241" s="20">
        <f t="shared" si="46"/>
        <v>82.400000000000091</v>
      </c>
      <c r="J241" s="20">
        <f t="shared" si="47"/>
        <v>22.892730634235566</v>
      </c>
      <c r="K241" s="20">
        <f t="shared" si="48"/>
        <v>28.690704896697909</v>
      </c>
    </row>
    <row r="242" spans="1:11">
      <c r="A242" s="14">
        <f t="shared" si="49"/>
        <v>241</v>
      </c>
      <c r="B242" s="14">
        <f t="shared" si="36"/>
        <v>14.727855696304935</v>
      </c>
      <c r="C242" s="14">
        <f t="shared" si="37"/>
        <v>8.8807043929090668</v>
      </c>
      <c r="F242" s="20">
        <f t="shared" ref="F242:F273" si="50">MOD(F241-$E$6*$H$207,360)</f>
        <v>48.100000000000058</v>
      </c>
      <c r="G242" s="20">
        <f t="shared" si="44"/>
        <v>24.003497666413139</v>
      </c>
      <c r="H242" s="20">
        <f t="shared" si="45"/>
        <v>24.232934638693465</v>
      </c>
      <c r="I242" s="20">
        <f t="shared" si="46"/>
        <v>83.100000000000094</v>
      </c>
      <c r="J242" s="20">
        <f t="shared" si="47"/>
        <v>22.81092366213386</v>
      </c>
      <c r="K242" s="20">
        <f t="shared" si="48"/>
        <v>28.70111205802376</v>
      </c>
    </row>
    <row r="243" spans="1:11">
      <c r="A243" s="14">
        <f t="shared" si="49"/>
        <v>242</v>
      </c>
      <c r="B243" s="14">
        <f t="shared" si="36"/>
        <v>14.957926558211639</v>
      </c>
      <c r="C243" s="14">
        <f t="shared" si="37"/>
        <v>8.7557861071160943</v>
      </c>
      <c r="F243" s="20">
        <f t="shared" si="50"/>
        <v>48.800000000000061</v>
      </c>
      <c r="G243" s="20">
        <f t="shared" si="44"/>
        <v>23.97606838035604</v>
      </c>
      <c r="H243" s="20">
        <f t="shared" si="45"/>
        <v>24.257244726687176</v>
      </c>
      <c r="I243" s="20">
        <f t="shared" si="46"/>
        <v>83.800000000000097</v>
      </c>
      <c r="J243" s="20">
        <f t="shared" si="47"/>
        <v>22.728995651015641</v>
      </c>
      <c r="K243" s="20">
        <f t="shared" si="48"/>
        <v>28.710519006813129</v>
      </c>
    </row>
    <row r="244" spans="1:11">
      <c r="A244" s="14">
        <f t="shared" si="49"/>
        <v>243</v>
      </c>
      <c r="B244" s="14">
        <f t="shared" si="36"/>
        <v>15.190142503906795</v>
      </c>
      <c r="C244" s="14">
        <f t="shared" si="37"/>
        <v>8.6349021371744836</v>
      </c>
      <c r="F244" s="20">
        <f t="shared" si="50"/>
        <v>49.500000000000064</v>
      </c>
      <c r="G244" s="20">
        <f t="shared" si="44"/>
        <v>23.94834414499055</v>
      </c>
      <c r="H244" s="20">
        <f t="shared" si="45"/>
        <v>24.281217896800094</v>
      </c>
      <c r="I244" s="20">
        <f t="shared" si="46"/>
        <v>84.500000000000099</v>
      </c>
      <c r="J244" s="20">
        <f t="shared" si="47"/>
        <v>22.646958829511501</v>
      </c>
      <c r="K244" s="20">
        <f t="shared" si="48"/>
        <v>28.718924338978457</v>
      </c>
    </row>
    <row r="245" spans="1:11">
      <c r="A245" s="14">
        <f t="shared" si="49"/>
        <v>244</v>
      </c>
      <c r="B245" s="14">
        <f t="shared" si="36"/>
        <v>15.424432798163835</v>
      </c>
      <c r="C245" s="14">
        <f t="shared" si="37"/>
        <v>8.5180893055124969</v>
      </c>
      <c r="F245" s="20">
        <f t="shared" si="50"/>
        <v>50.200000000000067</v>
      </c>
      <c r="G245" s="20">
        <f t="shared" si="44"/>
        <v>23.920329098454864</v>
      </c>
      <c r="H245" s="20">
        <f t="shared" si="45"/>
        <v>24.304850570780573</v>
      </c>
      <c r="I245" s="20">
        <f t="shared" si="46"/>
        <v>85.200000000000102</v>
      </c>
      <c r="J245" s="20">
        <f t="shared" si="47"/>
        <v>22.56482544249312</v>
      </c>
      <c r="K245" s="20">
        <f t="shared" si="48"/>
        <v>28.726326799934156</v>
      </c>
    </row>
    <row r="246" spans="1:11">
      <c r="A246" s="14">
        <f t="shared" si="49"/>
        <v>245</v>
      </c>
      <c r="B246" s="14">
        <f t="shared" si="36"/>
        <v>15.660726073889514</v>
      </c>
      <c r="C246" s="14">
        <f t="shared" si="37"/>
        <v>8.4053831944502484</v>
      </c>
      <c r="F246" s="20">
        <f t="shared" si="50"/>
        <v>50.90000000000007</v>
      </c>
      <c r="G246" s="20">
        <f t="shared" si="44"/>
        <v>23.892027422293857</v>
      </c>
      <c r="H246" s="20">
        <f t="shared" si="45"/>
        <v>24.328139221199642</v>
      </c>
      <c r="I246" s="20">
        <f t="shared" si="46"/>
        <v>85.900000000000105</v>
      </c>
      <c r="J246" s="20">
        <f t="shared" si="47"/>
        <v>22.48260774924562</v>
      </c>
      <c r="K246" s="20">
        <f t="shared" si="48"/>
        <v>28.732725284783871</v>
      </c>
    </row>
    <row r="247" spans="1:11">
      <c r="A247" s="14">
        <f t="shared" si="49"/>
        <v>246</v>
      </c>
      <c r="B247" s="14">
        <f t="shared" si="36"/>
        <v>15.898950353862999</v>
      </c>
      <c r="C247" s="14">
        <f t="shared" si="37"/>
        <v>8.2968181353609847</v>
      </c>
      <c r="F247" s="20">
        <f t="shared" si="50"/>
        <v>51.600000000000072</v>
      </c>
      <c r="G247" s="20">
        <f t="shared" si="44"/>
        <v>23.863443340834927</v>
      </c>
      <c r="H247" s="20">
        <f t="shared" si="45"/>
        <v>24.35108037197752</v>
      </c>
      <c r="I247" s="20">
        <f t="shared" si="46"/>
        <v>86.600000000000108</v>
      </c>
      <c r="J247" s="20">
        <f t="shared" si="47"/>
        <v>22.40031802163773</v>
      </c>
      <c r="K247" s="20">
        <f t="shared" si="48"/>
        <v>28.738118838485416</v>
      </c>
    </row>
    <row r="248" spans="1:11">
      <c r="A248" s="14">
        <f t="shared" si="49"/>
        <v>247</v>
      </c>
      <c r="B248" s="14">
        <f t="shared" si="36"/>
        <v>16.139033072660894</v>
      </c>
      <c r="C248" s="14">
        <f t="shared" si="37"/>
        <v>8.1924271982133963</v>
      </c>
      <c r="F248" s="20">
        <f t="shared" si="50"/>
        <v>52.300000000000075</v>
      </c>
      <c r="G248" s="20">
        <f t="shared" si="44"/>
        <v>23.834581120557491</v>
      </c>
      <c r="H248" s="20">
        <f t="shared" si="45"/>
        <v>24.373670598902471</v>
      </c>
      <c r="I248" s="20">
        <f t="shared" si="46"/>
        <v>87.300000000000111</v>
      </c>
      <c r="J248" s="20">
        <f t="shared" si="47"/>
        <v>22.317968542290075</v>
      </c>
      <c r="K248" s="20">
        <f t="shared" si="48"/>
        <v>28.742506655993296</v>
      </c>
    </row>
    <row r="249" spans="1:11">
      <c r="A249" s="14">
        <f t="shared" si="49"/>
        <v>248</v>
      </c>
      <c r="B249" s="14">
        <f t="shared" si="36"/>
        <v>16.380901098761314</v>
      </c>
      <c r="C249" s="14">
        <f t="shared" si="37"/>
        <v>8.0922421814981895</v>
      </c>
      <c r="F249" s="20">
        <f t="shared" si="50"/>
        <v>53.000000000000078</v>
      </c>
      <c r="G249" s="20">
        <f t="shared" si="44"/>
        <v>23.805445069456141</v>
      </c>
      <c r="H249" s="20">
        <f t="shared" si="45"/>
        <v>24.395906530141882</v>
      </c>
      <c r="I249" s="20">
        <f t="shared" si="46"/>
        <v>88.000000000000114</v>
      </c>
      <c r="J249" s="20">
        <f t="shared" si="47"/>
        <v>22.235571602741867</v>
      </c>
      <c r="K249" s="20">
        <f t="shared" si="48"/>
        <v>28.745888082378897</v>
      </c>
    </row>
    <row r="250" spans="1:11">
      <c r="A250" s="14">
        <f t="shared" si="49"/>
        <v>249</v>
      </c>
      <c r="B250" s="14">
        <f t="shared" si="36"/>
        <v>16.624480756820489</v>
      </c>
      <c r="C250" s="14">
        <f t="shared" si="37"/>
        <v>7.9962936025419751</v>
      </c>
      <c r="F250" s="20">
        <f t="shared" si="50"/>
        <v>53.700000000000081</v>
      </c>
      <c r="G250" s="20">
        <f t="shared" si="44"/>
        <v>23.776039536397654</v>
      </c>
      <c r="H250" s="20">
        <f t="shared" si="45"/>
        <v>24.417784846745551</v>
      </c>
      <c r="I250" s="20">
        <f t="shared" si="46"/>
        <v>88.700000000000117</v>
      </c>
      <c r="J250" s="20">
        <f t="shared" si="47"/>
        <v>22.153139501616259</v>
      </c>
      <c r="K250" s="20">
        <f t="shared" si="48"/>
        <v>28.748262612928215</v>
      </c>
    </row>
    <row r="251" spans="1:11">
      <c r="A251" s="14">
        <f t="shared" si="49"/>
        <v>250</v>
      </c>
      <c r="B251" s="14">
        <f t="shared" si="36"/>
        <v>16.86969785011496</v>
      </c>
      <c r="C251" s="14">
        <f t="shared" si="37"/>
        <v>7.9046106882113776</v>
      </c>
      <c r="F251" s="20">
        <f t="shared" si="50"/>
        <v>54.400000000000084</v>
      </c>
      <c r="G251" s="20">
        <f t="shared" si="44"/>
        <v>23.746368910471865</v>
      </c>
      <c r="H251" s="20">
        <f t="shared" si="45"/>
        <v>24.439302283141085</v>
      </c>
      <c r="I251" s="20">
        <f t="shared" si="46"/>
        <v>89.400000000000119</v>
      </c>
      <c r="J251" s="20">
        <f t="shared" si="47"/>
        <v>22.070684542784647</v>
      </c>
      <c r="K251" s="20">
        <f t="shared" si="48"/>
        <v>28.749629893217207</v>
      </c>
    </row>
    <row r="252" spans="1:11">
      <c r="A252" s="14">
        <f t="shared" si="49"/>
        <v>251</v>
      </c>
      <c r="B252" s="14">
        <f t="shared" si="36"/>
        <v>17.116477683142652</v>
      </c>
      <c r="C252" s="14">
        <f t="shared" si="37"/>
        <v>7.8172213660102479</v>
      </c>
      <c r="F252" s="20">
        <f t="shared" si="50"/>
        <v>55.100000000000087</v>
      </c>
      <c r="G252" s="20">
        <f t="shared" si="44"/>
        <v>23.716437620336546</v>
      </c>
      <c r="H252" s="20">
        <f t="shared" si="45"/>
        <v>24.460455627621318</v>
      </c>
      <c r="I252" s="20">
        <f t="shared" si="46"/>
        <v>90.100000000000122</v>
      </c>
      <c r="J252" s="20">
        <f t="shared" si="47"/>
        <v>21.988219033530171</v>
      </c>
      <c r="K252" s="20">
        <f t="shared" si="48"/>
        <v>28.749989719164692</v>
      </c>
    </row>
    <row r="253" spans="1:11">
      <c r="A253" s="14">
        <f t="shared" si="49"/>
        <v>252</v>
      </c>
      <c r="B253" s="14">
        <f t="shared" si="36"/>
        <v>17.364745084375787</v>
      </c>
      <c r="C253" s="14">
        <f t="shared" si="37"/>
        <v>7.7341522555726971</v>
      </c>
      <c r="F253" s="20">
        <f t="shared" si="50"/>
        <v>55.80000000000009</v>
      </c>
      <c r="G253" s="20">
        <f t="shared" si="44"/>
        <v>23.686250133556388</v>
      </c>
      <c r="H253" s="20">
        <f t="shared" si="45"/>
        <v>24.48124172282369</v>
      </c>
      <c r="I253" s="20">
        <f t="shared" si="46"/>
        <v>90.800000000000125</v>
      </c>
      <c r="J253" s="20">
        <f t="shared" si="47"/>
        <v>21.905755282710754</v>
      </c>
      <c r="K253" s="20">
        <f t="shared" si="48"/>
        <v>28.749342037062803</v>
      </c>
    </row>
    <row r="254" spans="1:11">
      <c r="A254" s="14">
        <f t="shared" si="49"/>
        <v>253</v>
      </c>
      <c r="B254" s="14">
        <f t="shared" si="36"/>
        <v>17.614424429158944</v>
      </c>
      <c r="C254" s="14">
        <f t="shared" si="37"/>
        <v>7.6554286605544704</v>
      </c>
      <c r="F254" s="20">
        <f t="shared" si="50"/>
        <v>56.500000000000092</v>
      </c>
      <c r="G254" s="20">
        <f t="shared" si="44"/>
        <v>23.655810955936172</v>
      </c>
      <c r="H254" s="20">
        <f t="shared" si="45"/>
        <v>24.501657466201507</v>
      </c>
      <c r="I254" s="20">
        <f t="shared" si="46"/>
        <v>91.500000000000128</v>
      </c>
      <c r="J254" s="20">
        <f t="shared" si="47"/>
        <v>21.823305598921841</v>
      </c>
      <c r="K254" s="20">
        <f t="shared" si="48"/>
        <v>28.747686943585013</v>
      </c>
    </row>
    <row r="255" spans="1:11">
      <c r="A255" s="14">
        <f t="shared" si="49"/>
        <v>254</v>
      </c>
      <c r="B255" s="14">
        <f t="shared" si="36"/>
        <v>17.865439662745018</v>
      </c>
      <c r="C255" s="14">
        <f t="shared" si="37"/>
        <v>7.5810745609252148</v>
      </c>
      <c r="F255" s="20">
        <f t="shared" si="50"/>
        <v>57.200000000000095</v>
      </c>
      <c r="G255" s="20">
        <f t="shared" si="44"/>
        <v>23.625124630848216</v>
      </c>
      <c r="H255" s="20">
        <f t="shared" si="45"/>
        <v>24.521699810487057</v>
      </c>
      <c r="I255" s="20">
        <f t="shared" si="46"/>
        <v>92.200000000000131</v>
      </c>
      <c r="J255" s="20">
        <f t="shared" si="47"/>
        <v>21.740882288659225</v>
      </c>
      <c r="K255" s="20">
        <f t="shared" si="48"/>
        <v>28.745024685771693</v>
      </c>
    </row>
    <row r="256" spans="1:11">
      <c r="A256" s="14">
        <f t="shared" si="49"/>
        <v>255</v>
      </c>
      <c r="B256" s="14">
        <f t="shared" si="36"/>
        <v>18.117714323462192</v>
      </c>
      <c r="C256" s="14">
        <f t="shared" si="37"/>
        <v>7.5111126056639748</v>
      </c>
      <c r="F256" s="20">
        <f t="shared" si="50"/>
        <v>57.900000000000098</v>
      </c>
      <c r="G256" s="20">
        <f t="shared" si="44"/>
        <v>23.594195738554244</v>
      </c>
      <c r="H256" s="20">
        <f t="shared" si="45"/>
        <v>24.541365764146413</v>
      </c>
      <c r="I256" s="20">
        <f t="shared" si="46"/>
        <v>92.900000000000134</v>
      </c>
      <c r="J256" s="20">
        <f t="shared" si="47"/>
        <v>21.658497654482169</v>
      </c>
      <c r="K256" s="20">
        <f t="shared" si="48"/>
        <v>28.741355660993257</v>
      </c>
    </row>
    <row r="257" spans="1:11">
      <c r="A257" s="14">
        <f t="shared" si="49"/>
        <v>256</v>
      </c>
      <c r="B257" s="14">
        <f t="shared" ref="B257:B320" si="51">COS(A257/180*PI())*$E$1+$E$2</f>
        <v>18.371171566004982</v>
      </c>
      <c r="C257" s="14">
        <f t="shared" ref="C257:C320" si="52">SIN(A257/180*PI())*$E$1+$E$3</f>
        <v>7.4455641058600524</v>
      </c>
      <c r="F257" s="20">
        <f t="shared" si="50"/>
        <v>58.600000000000101</v>
      </c>
      <c r="G257" s="20">
        <f t="shared" si="44"/>
        <v>23.563028895521725</v>
      </c>
      <c r="H257" s="20">
        <f t="shared" si="45"/>
        <v>24.560652391825986</v>
      </c>
      <c r="I257" s="20">
        <f t="shared" si="46"/>
        <v>93.600000000000136</v>
      </c>
      <c r="J257" s="20">
        <f t="shared" si="47"/>
        <v>21.576163993177119</v>
      </c>
      <c r="K257" s="20">
        <f t="shared" si="48"/>
        <v>28.736680416890831</v>
      </c>
    </row>
    <row r="258" spans="1:11">
      <c r="A258" s="14">
        <f t="shared" si="49"/>
        <v>257</v>
      </c>
      <c r="B258" s="14">
        <f t="shared" si="51"/>
        <v>18.62573418484202</v>
      </c>
      <c r="C258" s="14">
        <f t="shared" si="52"/>
        <v>7.3844490282214732</v>
      </c>
      <c r="F258" s="20">
        <f t="shared" si="50"/>
        <v>59.300000000000104</v>
      </c>
      <c r="G258" s="20">
        <f t="shared" si="44"/>
        <v>23.531628753734815</v>
      </c>
      <c r="H258" s="20">
        <f t="shared" si="45"/>
        <v>24.579556814790621</v>
      </c>
      <c r="I258" s="20">
        <f t="shared" si="46"/>
        <v>94.300000000000139</v>
      </c>
      <c r="J258" s="20">
        <f t="shared" si="47"/>
        <v>21.493893593922273</v>
      </c>
      <c r="K258" s="20">
        <f t="shared" si="48"/>
        <v>28.730999651294532</v>
      </c>
    </row>
    <row r="259" spans="1:11">
      <c r="A259" s="14">
        <f t="shared" si="49"/>
        <v>258</v>
      </c>
      <c r="B259" s="14">
        <f t="shared" si="51"/>
        <v>18.881324637733602</v>
      </c>
      <c r="C259" s="14">
        <f t="shared" si="52"/>
        <v>7.3277859889929164</v>
      </c>
      <c r="F259" s="20">
        <f t="shared" si="50"/>
        <v>60.000000000000107</v>
      </c>
      <c r="G259" s="20">
        <f t="shared" si="44"/>
        <v>23.499999999999996</v>
      </c>
      <c r="H259" s="20">
        <f t="shared" si="45"/>
        <v>24.59807621135332</v>
      </c>
      <c r="I259" s="20">
        <f t="shared" si="46"/>
        <v>95.000000000000142</v>
      </c>
      <c r="J259" s="20">
        <f t="shared" si="47"/>
        <v>21.411698736453289</v>
      </c>
      <c r="K259" s="20">
        <f t="shared" si="48"/>
        <v>28.724314212119282</v>
      </c>
    </row>
    <row r="260" spans="1:11">
      <c r="A260" s="14">
        <f t="shared" si="49"/>
        <v>259</v>
      </c>
      <c r="B260" s="14">
        <f t="shared" si="51"/>
        <v>19.137865069351832</v>
      </c>
      <c r="C260" s="14">
        <f t="shared" si="52"/>
        <v>7.2755922482850401</v>
      </c>
      <c r="F260" s="20">
        <f t="shared" si="50"/>
        <v>60.700000000000109</v>
      </c>
      <c r="G260" s="20">
        <f t="shared" si="44"/>
        <v>23.468147355246533</v>
      </c>
      <c r="H260" s="20">
        <f t="shared" si="45"/>
        <v>24.616207817296363</v>
      </c>
      <c r="I260" s="20">
        <f t="shared" si="46"/>
        <v>95.700000000000145</v>
      </c>
      <c r="J260" s="20">
        <f t="shared" si="47"/>
        <v>21.329591689230419</v>
      </c>
      <c r="K260" s="20">
        <f t="shared" si="48"/>
        <v>28.716625097238275</v>
      </c>
    </row>
    <row r="261" spans="1:11">
      <c r="A261" s="14">
        <f t="shared" si="49"/>
        <v>260</v>
      </c>
      <c r="B261" s="14">
        <f t="shared" si="51"/>
        <v>19.395277334996045</v>
      </c>
      <c r="C261" s="14">
        <f t="shared" si="52"/>
        <v>7.2278837048168789</v>
      </c>
      <c r="F261" s="20">
        <f t="shared" si="50"/>
        <v>61.400000000000112</v>
      </c>
      <c r="G261" s="20">
        <f t="shared" si="44"/>
        <v>23.436075573821814</v>
      </c>
      <c r="H261" s="20">
        <f t="shared" si="45"/>
        <v>24.633948926283946</v>
      </c>
      <c r="I261" s="20">
        <f t="shared" si="46"/>
        <v>96.400000000000148</v>
      </c>
      <c r="J261" s="20">
        <f t="shared" si="47"/>
        <v>21.247584707607288</v>
      </c>
      <c r="K261" s="20">
        <f t="shared" si="48"/>
        <v>28.707933454334025</v>
      </c>
    </row>
    <row r="262" spans="1:11">
      <c r="A262" s="14">
        <f t="shared" si="49"/>
        <v>261</v>
      </c>
      <c r="B262" s="14">
        <f t="shared" si="51"/>
        <v>19.653483024396536</v>
      </c>
      <c r="C262" s="14">
        <f t="shared" si="52"/>
        <v>7.1846748910729357</v>
      </c>
      <c r="F262" s="20">
        <f t="shared" si="50"/>
        <v>62.100000000000115</v>
      </c>
      <c r="G262" s="20">
        <f t="shared" si="44"/>
        <v>23.403789442781715</v>
      </c>
      <c r="H262" s="20">
        <f t="shared" si="45"/>
        <v>24.651296890266082</v>
      </c>
      <c r="I262" s="20">
        <f t="shared" si="46"/>
        <v>97.100000000000151</v>
      </c>
      <c r="J262" s="20">
        <f t="shared" si="47"/>
        <v>21.165690032001656</v>
      </c>
      <c r="K262" s="20">
        <f t="shared" si="48"/>
        <v>28.698240580727045</v>
      </c>
    </row>
    <row r="263" spans="1:11">
      <c r="A263" s="14">
        <f t="shared" si="49"/>
        <v>262</v>
      </c>
      <c r="B263" s="14">
        <f t="shared" si="51"/>
        <v>19.912403485599011</v>
      </c>
      <c r="C263" s="14">
        <f t="shared" si="52"/>
        <v>7.145978968876447</v>
      </c>
      <c r="F263" s="20">
        <f t="shared" si="50"/>
        <v>62.800000000000118</v>
      </c>
      <c r="G263" s="20">
        <f t="shared" si="44"/>
        <v>23.371293781176078</v>
      </c>
      <c r="H263" s="20">
        <f t="shared" si="45"/>
        <v>24.668249119873895</v>
      </c>
      <c r="I263" s="20">
        <f t="shared" si="46"/>
        <v>97.800000000000153</v>
      </c>
      <c r="J263" s="20">
        <f t="shared" si="47"/>
        <v>21.083919886068426</v>
      </c>
      <c r="K263" s="20">
        <f t="shared" si="48"/>
        <v>28.687547923182244</v>
      </c>
    </row>
    <row r="264" spans="1:11">
      <c r="A264" s="14">
        <f t="shared" si="49"/>
        <v>263</v>
      </c>
      <c r="B264" s="14">
        <f t="shared" si="51"/>
        <v>20.171959848922778</v>
      </c>
      <c r="C264" s="14">
        <f t="shared" si="52"/>
        <v>7.1118077253801708</v>
      </c>
      <c r="F264" s="20">
        <f t="shared" si="50"/>
        <v>63.500000000000121</v>
      </c>
      <c r="G264" s="20">
        <f t="shared" si="44"/>
        <v>23.338593439329422</v>
      </c>
      <c r="H264" s="20">
        <f t="shared" si="45"/>
        <v>24.684803084806077</v>
      </c>
      <c r="I264" s="20">
        <f t="shared" si="46"/>
        <v>98.500000000000156</v>
      </c>
      <c r="J264" s="20">
        <f t="shared" si="47"/>
        <v>21.002286474875113</v>
      </c>
      <c r="K264" s="20">
        <f t="shared" si="48"/>
        <v>28.675857077692935</v>
      </c>
    </row>
    <row r="265" spans="1:11">
      <c r="A265" s="14">
        <f t="shared" si="49"/>
        <v>264</v>
      </c>
      <c r="B265" s="14">
        <f t="shared" si="51"/>
        <v>20.432073050985185</v>
      </c>
      <c r="C265" s="14">
        <f t="shared" si="52"/>
        <v>7.0821715694759</v>
      </c>
      <c r="F265" s="20">
        <f t="shared" si="50"/>
        <v>64.200000000000117</v>
      </c>
      <c r="G265" s="20">
        <f t="shared" si="44"/>
        <v>23.305693298116978</v>
      </c>
      <c r="H265" s="20">
        <f t="shared" si="45"/>
        <v>24.700956314206582</v>
      </c>
      <c r="I265" s="20">
        <f t="shared" si="46"/>
        <v>99.200000000000159</v>
      </c>
      <c r="J265" s="20">
        <f t="shared" si="47"/>
        <v>20.920801983080096</v>
      </c>
      <c r="K265" s="20">
        <f t="shared" si="48"/>
        <v>28.663169789242666</v>
      </c>
    </row>
    <row r="266" spans="1:11">
      <c r="A266" s="14">
        <f t="shared" si="49"/>
        <v>265</v>
      </c>
      <c r="B266" s="14">
        <f t="shared" si="51"/>
        <v>20.692663858785124</v>
      </c>
      <c r="C266" s="14">
        <f t="shared" si="52"/>
        <v>7.0570795286238166</v>
      </c>
      <c r="F266" s="20">
        <f t="shared" si="50"/>
        <v>64.900000000000119</v>
      </c>
      <c r="G266" s="20">
        <f t="shared" si="44"/>
        <v>23.272598268236166</v>
      </c>
      <c r="H266" s="20">
        <f t="shared" si="45"/>
        <v>24.71670639703342</v>
      </c>
      <c r="I266" s="20">
        <f t="shared" si="46"/>
        <v>99.900000000000162</v>
      </c>
      <c r="J266" s="20">
        <f t="shared" si="47"/>
        <v>20.839478573113965</v>
      </c>
      <c r="K266" s="20">
        <f t="shared" si="48"/>
        <v>28.649487951544721</v>
      </c>
    </row>
    <row r="267" spans="1:11">
      <c r="A267" s="14">
        <f t="shared" si="49"/>
        <v>266</v>
      </c>
      <c r="B267" s="14">
        <f t="shared" si="51"/>
        <v>20.953652893838118</v>
      </c>
      <c r="C267" s="14">
        <f t="shared" si="52"/>
        <v>7.0365392461026364</v>
      </c>
      <c r="F267" s="20">
        <f t="shared" si="50"/>
        <v>65.600000000000122</v>
      </c>
      <c r="G267" s="20">
        <f t="shared" si="44"/>
        <v>23.239313289473621</v>
      </c>
      <c r="H267" s="20">
        <f t="shared" si="45"/>
        <v>24.732050982418535</v>
      </c>
      <c r="I267" s="20">
        <f t="shared" si="46"/>
        <v>100.60000000000016</v>
      </c>
      <c r="J267" s="20">
        <f t="shared" si="47"/>
        <v>20.758328383364123</v>
      </c>
      <c r="K267" s="20">
        <f t="shared" si="48"/>
        <v>28.634813606759487</v>
      </c>
    </row>
    <row r="268" spans="1:11">
      <c r="A268" s="14">
        <f t="shared" si="49"/>
        <v>267</v>
      </c>
      <c r="B268" s="14">
        <f t="shared" si="51"/>
        <v>21.214960656355849</v>
      </c>
      <c r="C268" s="14">
        <f t="shared" si="52"/>
        <v>7.0205569786813911</v>
      </c>
      <c r="F268" s="20">
        <f t="shared" si="50"/>
        <v>66.300000000000125</v>
      </c>
      <c r="G268" s="20">
        <f t="shared" si="44"/>
        <v>23.205843329967873</v>
      </c>
      <c r="H268" s="20">
        <f t="shared" si="45"/>
        <v>24.746987780018685</v>
      </c>
      <c r="I268" s="20">
        <f t="shared" si="46"/>
        <v>101.30000000000017</v>
      </c>
      <c r="J268" s="20">
        <f t="shared" si="47"/>
        <v>20.677363526362988</v>
      </c>
      <c r="K268" s="20">
        <f t="shared" si="48"/>
        <v>28.619148945189636</v>
      </c>
    </row>
    <row r="269" spans="1:11">
      <c r="A269" s="14">
        <f t="shared" si="49"/>
        <v>268</v>
      </c>
      <c r="B269" s="14">
        <f t="shared" si="51"/>
        <v>21.47650754946249</v>
      </c>
      <c r="C269" s="14">
        <f t="shared" si="52"/>
        <v>7.0091375947135628</v>
      </c>
      <c r="F269" s="20">
        <f t="shared" si="50"/>
        <v>67.000000000000128</v>
      </c>
      <c r="G269" s="20">
        <f t="shared" si="44"/>
        <v>23.172193385467814</v>
      </c>
      <c r="H269" s="20">
        <f t="shared" si="45"/>
        <v>24.761514560357323</v>
      </c>
      <c r="I269" s="20">
        <f t="shared" si="46"/>
        <v>102.00000000000017</v>
      </c>
      <c r="J269" s="20">
        <f t="shared" si="47"/>
        <v>20.596596086980103</v>
      </c>
      <c r="K269" s="20">
        <f t="shared" si="48"/>
        <v>28.602496304953185</v>
      </c>
    </row>
    <row r="270" spans="1:11">
      <c r="A270" s="14">
        <f t="shared" si="49"/>
        <v>269</v>
      </c>
      <c r="B270" s="14">
        <f t="shared" si="51"/>
        <v>21.738213903440748</v>
      </c>
      <c r="C270" s="14">
        <f t="shared" si="52"/>
        <v>7.0022845726541316</v>
      </c>
      <c r="F270" s="20">
        <f t="shared" si="50"/>
        <v>67.700000000000131</v>
      </c>
      <c r="G270" s="20">
        <f t="shared" si="44"/>
        <v>23.138368478587008</v>
      </c>
      <c r="H270" s="20">
        <f t="shared" si="45"/>
        <v>24.775629155157347</v>
      </c>
      <c r="I270" s="20">
        <f t="shared" si="46"/>
        <v>102.70000000000017</v>
      </c>
      <c r="J270" s="20">
        <f t="shared" si="47"/>
        <v>20.51603812061833</v>
      </c>
      <c r="K270" s="20">
        <f t="shared" si="48"/>
        <v>28.584858171634529</v>
      </c>
    </row>
    <row r="271" spans="1:11">
      <c r="A271" s="14">
        <f t="shared" si="49"/>
        <v>270</v>
      </c>
      <c r="B271" s="14">
        <f t="shared" si="51"/>
        <v>21.999999999999996</v>
      </c>
      <c r="C271" s="14">
        <f t="shared" si="52"/>
        <v>7</v>
      </c>
      <c r="F271" s="20">
        <f t="shared" si="50"/>
        <v>68.400000000000134</v>
      </c>
      <c r="G271" s="20">
        <f t="shared" si="44"/>
        <v>23.104373658054026</v>
      </c>
      <c r="H271" s="20">
        <f t="shared" si="45"/>
        <v>24.789329457664756</v>
      </c>
      <c r="I271" s="20">
        <f t="shared" si="46"/>
        <v>103.40000000000018</v>
      </c>
      <c r="J271" s="20">
        <f t="shared" si="47"/>
        <v>20.435701651414419</v>
      </c>
      <c r="K271" s="20">
        <f t="shared" si="48"/>
        <v>28.566237177913422</v>
      </c>
    </row>
    <row r="272" spans="1:11">
      <c r="A272" s="14">
        <f t="shared" si="49"/>
        <v>271</v>
      </c>
      <c r="B272" s="14">
        <f t="shared" si="51"/>
        <v>22.261786096559248</v>
      </c>
      <c r="C272" s="14">
        <f t="shared" si="52"/>
        <v>7.0022845726541316</v>
      </c>
      <c r="F272" s="20">
        <f t="shared" si="50"/>
        <v>69.100000000000136</v>
      </c>
      <c r="G272" s="20">
        <f t="shared" si="44"/>
        <v>23.07021399795887</v>
      </c>
      <c r="H272" s="20">
        <f t="shared" si="45"/>
        <v>24.802613422963091</v>
      </c>
      <c r="I272" s="20">
        <f t="shared" si="46"/>
        <v>104.10000000000018</v>
      </c>
      <c r="J272" s="20">
        <f t="shared" si="47"/>
        <v>20.355598670444326</v>
      </c>
      <c r="K272" s="20">
        <f t="shared" si="48"/>
        <v>28.546636103172034</v>
      </c>
    </row>
    <row r="273" spans="1:11">
      <c r="A273" s="14">
        <f t="shared" si="49"/>
        <v>272</v>
      </c>
      <c r="B273" s="14">
        <f t="shared" si="51"/>
        <v>22.523492450537507</v>
      </c>
      <c r="C273" s="14">
        <f t="shared" si="52"/>
        <v>7.0091375947135628</v>
      </c>
      <c r="F273" s="20">
        <f t="shared" si="50"/>
        <v>69.800000000000139</v>
      </c>
      <c r="G273" s="20">
        <f t="shared" si="44"/>
        <v>23.035894596995597</v>
      </c>
      <c r="H273" s="20">
        <f t="shared" si="45"/>
        <v>24.81547906827867</v>
      </c>
      <c r="I273" s="20">
        <f t="shared" si="46"/>
        <v>104.80000000000018</v>
      </c>
      <c r="J273" s="20">
        <f t="shared" si="47"/>
        <v>20.275741133933394</v>
      </c>
      <c r="K273" s="20">
        <f t="shared" si="48"/>
        <v>28.526057873080095</v>
      </c>
    </row>
    <row r="274" spans="1:11">
      <c r="A274" s="14">
        <f t="shared" si="49"/>
        <v>273</v>
      </c>
      <c r="B274" s="14">
        <f t="shared" si="51"/>
        <v>22.785039343644147</v>
      </c>
      <c r="C274" s="14">
        <f t="shared" si="52"/>
        <v>7.0205569786813911</v>
      </c>
      <c r="F274" s="20">
        <f t="shared" ref="F274:F305" si="53">MOD(F273-$E$6*$H$207,360)</f>
        <v>70.500000000000142</v>
      </c>
      <c r="G274" s="20">
        <f t="shared" si="44"/>
        <v>23.001420577701307</v>
      </c>
      <c r="H274" s="20">
        <f t="shared" si="45"/>
        <v>24.827924473276539</v>
      </c>
      <c r="I274" s="20">
        <f t="shared" si="46"/>
        <v>105.50000000000018</v>
      </c>
      <c r="J274" s="20">
        <f t="shared" si="47"/>
        <v>20.196140961471745</v>
      </c>
      <c r="K274" s="20">
        <f t="shared" si="48"/>
        <v>28.504505559158201</v>
      </c>
    </row>
    <row r="275" spans="1:11">
      <c r="A275" s="14">
        <f t="shared" si="49"/>
        <v>274</v>
      </c>
      <c r="B275" s="14">
        <f t="shared" si="51"/>
        <v>23.046347106161878</v>
      </c>
      <c r="C275" s="14">
        <f t="shared" si="52"/>
        <v>7.0365392461026346</v>
      </c>
      <c r="F275" s="20">
        <f t="shared" si="53"/>
        <v>71.200000000000145</v>
      </c>
      <c r="G275" s="20">
        <f t="shared" ref="G275:G338" si="54">COS(F275/180*PI())*$E$1*$M$17+$E$2</f>
        <v>22.966797085691525</v>
      </c>
      <c r="H275" s="20">
        <f t="shared" ref="H275:H338" si="55">SIN(F275/180*PI())*$E$1*$M$17+$E$3</f>
        <v>24.839947780347092</v>
      </c>
      <c r="I275" s="20">
        <f t="shared" ref="I275:I338" si="56">MOD(I274-$E$6*$K$207,360)</f>
        <v>106.20000000000019</v>
      </c>
      <c r="J275" s="20">
        <f t="shared" ref="J275:J338" si="57">COS(I275/180*PI())*$E$1*$M$21+$E$2</f>
        <v>20.116810034235183</v>
      </c>
      <c r="K275" s="20">
        <f t="shared" ref="K275:K338" si="58">SIN(I275/180*PI())*$E$1*$M$21+$E$3</f>
        <v>28.481982378319358</v>
      </c>
    </row>
    <row r="276" spans="1:11">
      <c r="A276" s="14">
        <f t="shared" si="49"/>
        <v>275</v>
      </c>
      <c r="B276" s="14">
        <f t="shared" si="51"/>
        <v>23.307336141214869</v>
      </c>
      <c r="C276" s="14">
        <f t="shared" si="52"/>
        <v>7.0570795286238166</v>
      </c>
      <c r="F276" s="20">
        <f t="shared" si="53"/>
        <v>71.900000000000148</v>
      </c>
      <c r="G276" s="20">
        <f t="shared" si="54"/>
        <v>22.932029288892188</v>
      </c>
      <c r="H276" s="20">
        <f t="shared" si="55"/>
        <v>24.851547194883352</v>
      </c>
      <c r="I276" s="20">
        <f t="shared" si="56"/>
        <v>106.90000000000019</v>
      </c>
      <c r="J276" s="20">
        <f t="shared" si="57"/>
        <v>20.037760193211774</v>
      </c>
      <c r="K276" s="20">
        <f t="shared" si="58"/>
        <v>28.458491692388844</v>
      </c>
    </row>
    <row r="277" spans="1:11">
      <c r="A277" s="14">
        <f t="shared" si="49"/>
        <v>276</v>
      </c>
      <c r="B277" s="14">
        <f t="shared" si="51"/>
        <v>23.567926949014808</v>
      </c>
      <c r="C277" s="14">
        <f t="shared" si="52"/>
        <v>7.0821715694759</v>
      </c>
      <c r="F277" s="20">
        <f t="shared" si="53"/>
        <v>72.600000000000151</v>
      </c>
      <c r="G277" s="20">
        <f t="shared" si="54"/>
        <v>22.897122376768252</v>
      </c>
      <c r="H277" s="20">
        <f t="shared" si="55"/>
        <v>24.862720985548833</v>
      </c>
      <c r="I277" s="20">
        <f t="shared" si="56"/>
        <v>107.60000000000019</v>
      </c>
      <c r="J277" s="20">
        <f t="shared" si="57"/>
        <v>19.95900323743448</v>
      </c>
      <c r="K277" s="20">
        <f t="shared" si="58"/>
        <v>28.434037007602385</v>
      </c>
    </row>
    <row r="278" spans="1:11">
      <c r="A278" s="14">
        <f t="shared" si="49"/>
        <v>277</v>
      </c>
      <c r="B278" s="14">
        <f t="shared" si="51"/>
        <v>23.828040151077214</v>
      </c>
      <c r="C278" s="14">
        <f t="shared" si="52"/>
        <v>7.1118077253801708</v>
      </c>
      <c r="F278" s="20">
        <f t="shared" si="53"/>
        <v>73.300000000000153</v>
      </c>
      <c r="G278" s="20">
        <f t="shared" si="54"/>
        <v>22.862081559549129</v>
      </c>
      <c r="H278" s="20">
        <f t="shared" si="55"/>
        <v>24.873467484535947</v>
      </c>
      <c r="I278" s="20">
        <f t="shared" si="56"/>
        <v>108.3000000000002</v>
      </c>
      <c r="J278" s="20">
        <f t="shared" si="57"/>
        <v>19.880550922219996</v>
      </c>
      <c r="K278" s="20">
        <f t="shared" si="58"/>
        <v>28.408621974082845</v>
      </c>
    </row>
    <row r="279" spans="1:11">
      <c r="A279" s="14">
        <f t="shared" ref="A279:A342" si="59">A278+1</f>
        <v>278</v>
      </c>
      <c r="B279" s="14">
        <f t="shared" si="51"/>
        <v>24.087596514400982</v>
      </c>
      <c r="C279" s="14">
        <f t="shared" si="52"/>
        <v>7.1459789688764452</v>
      </c>
      <c r="F279" s="20">
        <f t="shared" si="53"/>
        <v>74.000000000000156</v>
      </c>
      <c r="G279" s="20">
        <f t="shared" si="54"/>
        <v>22.826912067450991</v>
      </c>
      <c r="H279" s="20">
        <f t="shared" si="55"/>
        <v>24.88378508781496</v>
      </c>
      <c r="I279" s="20">
        <f t="shared" si="56"/>
        <v>109.0000000000002</v>
      </c>
      <c r="J279" s="20">
        <f t="shared" si="57"/>
        <v>19.802414957414172</v>
      </c>
      <c r="K279" s="20">
        <f t="shared" si="58"/>
        <v>28.382250385295382</v>
      </c>
    </row>
    <row r="280" spans="1:11">
      <c r="A280" s="14">
        <f t="shared" si="59"/>
        <v>279</v>
      </c>
      <c r="B280" s="14">
        <f t="shared" si="51"/>
        <v>24.346516975603461</v>
      </c>
      <c r="C280" s="14">
        <f t="shared" si="52"/>
        <v>7.1846748910729339</v>
      </c>
      <c r="F280" s="20">
        <f t="shared" si="53"/>
        <v>74.700000000000159</v>
      </c>
      <c r="G280" s="20">
        <f t="shared" si="54"/>
        <v>22.79161914989611</v>
      </c>
      <c r="H280" s="20">
        <f t="shared" si="55"/>
        <v>24.893672255373396</v>
      </c>
      <c r="I280" s="20">
        <f t="shared" si="56"/>
        <v>109.7000000000002</v>
      </c>
      <c r="J280" s="20">
        <f t="shared" si="57"/>
        <v>19.724607005644174</v>
      </c>
      <c r="K280" s="20">
        <f t="shared" si="58"/>
        <v>28.354926177481246</v>
      </c>
    </row>
    <row r="281" spans="1:11">
      <c r="A281" s="14">
        <f t="shared" si="59"/>
        <v>280</v>
      </c>
      <c r="B281" s="14">
        <f t="shared" si="51"/>
        <v>24.604722665003948</v>
      </c>
      <c r="C281" s="14">
        <f t="shared" si="52"/>
        <v>7.2278837048168789</v>
      </c>
      <c r="F281" s="20">
        <f t="shared" si="53"/>
        <v>75.400000000000162</v>
      </c>
      <c r="G281" s="20">
        <f t="shared" si="54"/>
        <v>22.756208074729333</v>
      </c>
      <c r="H281" s="20">
        <f t="shared" si="55"/>
        <v>24.903127511445916</v>
      </c>
      <c r="I281" s="20">
        <f t="shared" si="56"/>
        <v>110.4000000000002</v>
      </c>
      <c r="J281" s="20">
        <f t="shared" si="57"/>
        <v>19.647138680577726</v>
      </c>
      <c r="K281" s="20">
        <f t="shared" si="58"/>
        <v>28.326653429070259</v>
      </c>
    </row>
    <row r="282" spans="1:11">
      <c r="A282" s="14">
        <f t="shared" si="59"/>
        <v>281</v>
      </c>
      <c r="B282" s="14">
        <f t="shared" si="51"/>
        <v>24.862134930648164</v>
      </c>
      <c r="C282" s="14">
        <f t="shared" si="52"/>
        <v>7.2755922482850384</v>
      </c>
      <c r="F282" s="20">
        <f t="shared" si="53"/>
        <v>76.100000000000165</v>
      </c>
      <c r="G282" s="20">
        <f t="shared" si="54"/>
        <v>22.720684127431785</v>
      </c>
      <c r="H282" s="20">
        <f t="shared" si="55"/>
        <v>24.912149444734574</v>
      </c>
      <c r="I282" s="20">
        <f t="shared" si="56"/>
        <v>111.10000000000021</v>
      </c>
      <c r="J282" s="20">
        <f t="shared" si="57"/>
        <v>19.570021545189633</v>
      </c>
      <c r="K282" s="20">
        <f t="shared" si="58"/>
        <v>28.297436360072041</v>
      </c>
    </row>
    <row r="283" spans="1:11">
      <c r="A283" s="14">
        <f t="shared" si="59"/>
        <v>282</v>
      </c>
      <c r="B283" s="14">
        <f t="shared" si="51"/>
        <v>25.118675362266391</v>
      </c>
      <c r="C283" s="14">
        <f t="shared" si="52"/>
        <v>7.3277859889929164</v>
      </c>
      <c r="F283" s="20">
        <f t="shared" si="53"/>
        <v>76.800000000000168</v>
      </c>
      <c r="G283" s="20">
        <f t="shared" si="54"/>
        <v>22.685052610331958</v>
      </c>
      <c r="H283" s="20">
        <f t="shared" si="55"/>
        <v>24.920736708619483</v>
      </c>
      <c r="I283" s="20">
        <f t="shared" si="56"/>
        <v>111.80000000000021</v>
      </c>
      <c r="J283" s="20">
        <f t="shared" si="57"/>
        <v>19.493267110035895</v>
      </c>
      <c r="K283" s="20">
        <f t="shared" si="58"/>
        <v>28.267279331446158</v>
      </c>
    </row>
    <row r="284" spans="1:11">
      <c r="A284" s="14">
        <f t="shared" si="59"/>
        <v>283</v>
      </c>
      <c r="B284" s="14">
        <f t="shared" si="51"/>
        <v>25.374265815157973</v>
      </c>
      <c r="C284" s="14">
        <f t="shared" si="52"/>
        <v>7.3844490282214714</v>
      </c>
      <c r="F284" s="20">
        <f t="shared" si="53"/>
        <v>77.500000000000171</v>
      </c>
      <c r="G284" s="20">
        <f t="shared" si="54"/>
        <v>22.649318841814299</v>
      </c>
      <c r="H284" s="20">
        <f t="shared" si="55"/>
        <v>24.928888021359803</v>
      </c>
      <c r="I284" s="20">
        <f t="shared" si="56"/>
        <v>112.50000000000021</v>
      </c>
      <c r="J284" s="20">
        <f t="shared" si="57"/>
        <v>19.416886831535621</v>
      </c>
      <c r="K284" s="20">
        <f t="shared" si="58"/>
        <v>28.236186844451176</v>
      </c>
    </row>
    <row r="285" spans="1:11">
      <c r="A285" s="14">
        <f t="shared" si="59"/>
        <v>284</v>
      </c>
      <c r="B285" s="14">
        <f t="shared" si="51"/>
        <v>25.628828433995011</v>
      </c>
      <c r="C285" s="14">
        <f t="shared" si="52"/>
        <v>7.4455641058600506</v>
      </c>
      <c r="F285" s="20">
        <f t="shared" si="53"/>
        <v>78.200000000000173</v>
      </c>
      <c r="G285" s="20">
        <f t="shared" si="54"/>
        <v>22.613488155525364</v>
      </c>
      <c r="H285" s="20">
        <f t="shared" si="55"/>
        <v>24.936602166285056</v>
      </c>
      <c r="I285" s="20">
        <f t="shared" si="56"/>
        <v>113.20000000000022</v>
      </c>
      <c r="J285" s="20">
        <f t="shared" si="57"/>
        <v>19.340892110261059</v>
      </c>
      <c r="K285" s="20">
        <f t="shared" si="58"/>
        <v>28.204163539972825</v>
      </c>
    </row>
    <row r="286" spans="1:11">
      <c r="A286" s="14">
        <f t="shared" si="59"/>
        <v>285</v>
      </c>
      <c r="B286" s="14">
        <f t="shared" si="51"/>
        <v>25.882285676537805</v>
      </c>
      <c r="C286" s="14">
        <f t="shared" si="52"/>
        <v>7.511112605663973</v>
      </c>
      <c r="F286" s="20">
        <f t="shared" si="53"/>
        <v>78.900000000000176</v>
      </c>
      <c r="G286" s="20">
        <f t="shared" si="54"/>
        <v>22.577565899577714</v>
      </c>
      <c r="H286" s="20">
        <f t="shared" si="55"/>
        <v>24.943877991976738</v>
      </c>
      <c r="I286" s="20">
        <f t="shared" si="56"/>
        <v>113.90000000000022</v>
      </c>
      <c r="J286" s="20">
        <f t="shared" si="57"/>
        <v>19.265294289235904</v>
      </c>
      <c r="K286" s="20">
        <f t="shared" si="58"/>
        <v>28.171214197831269</v>
      </c>
    </row>
    <row r="287" spans="1:11">
      <c r="A287" s="14">
        <f t="shared" si="59"/>
        <v>286</v>
      </c>
      <c r="B287" s="14">
        <f t="shared" si="51"/>
        <v>26.134560337254978</v>
      </c>
      <c r="C287" s="14">
        <f t="shared" si="52"/>
        <v>7.5810745609252148</v>
      </c>
      <c r="F287" s="20">
        <f t="shared" si="53"/>
        <v>79.600000000000179</v>
      </c>
      <c r="G287" s="20">
        <f t="shared" si="54"/>
        <v>22.54155743575167</v>
      </c>
      <c r="H287" s="20">
        <f t="shared" si="55"/>
        <v>24.95071441244016</v>
      </c>
      <c r="I287" s="20">
        <f t="shared" si="56"/>
        <v>114.60000000000022</v>
      </c>
      <c r="J287" s="20">
        <f t="shared" si="57"/>
        <v>19.190104652242269</v>
      </c>
      <c r="K287" s="20">
        <f t="shared" si="58"/>
        <v>28.137343736067702</v>
      </c>
    </row>
    <row r="288" spans="1:11">
      <c r="A288" s="14">
        <f t="shared" si="59"/>
        <v>287</v>
      </c>
      <c r="B288" s="14">
        <f t="shared" si="51"/>
        <v>26.385575570841052</v>
      </c>
      <c r="C288" s="14">
        <f t="shared" si="52"/>
        <v>7.6554286605544686</v>
      </c>
      <c r="F288" s="20">
        <f t="shared" si="53"/>
        <v>80.300000000000182</v>
      </c>
      <c r="G288" s="20">
        <f t="shared" si="54"/>
        <v>22.505468138694997</v>
      </c>
      <c r="H288" s="20">
        <f t="shared" si="55"/>
        <v>24.957110407266562</v>
      </c>
      <c r="I288" s="20">
        <f t="shared" si="56"/>
        <v>115.30000000000022</v>
      </c>
      <c r="J288" s="20">
        <f t="shared" si="57"/>
        <v>19.115334422136428</v>
      </c>
      <c r="K288" s="20">
        <f t="shared" si="58"/>
        <v>28.102557210210243</v>
      </c>
    </row>
    <row r="289" spans="1:11">
      <c r="A289" s="14">
        <f t="shared" si="59"/>
        <v>288</v>
      </c>
      <c r="B289" s="14">
        <f t="shared" si="51"/>
        <v>26.635254915624209</v>
      </c>
      <c r="C289" s="14">
        <f t="shared" si="52"/>
        <v>7.7341522555726954</v>
      </c>
      <c r="F289" s="20">
        <f t="shared" si="53"/>
        <v>81.000000000000185</v>
      </c>
      <c r="G289" s="20">
        <f t="shared" si="54"/>
        <v>22.469303395120683</v>
      </c>
      <c r="H289" s="20">
        <f t="shared" si="55"/>
        <v>24.963065021785415</v>
      </c>
      <c r="I289" s="20">
        <f t="shared" si="56"/>
        <v>116.00000000000023</v>
      </c>
      <c r="J289" s="20">
        <f t="shared" si="57"/>
        <v>19.040994759173707</v>
      </c>
      <c r="K289" s="20">
        <f t="shared" si="58"/>
        <v>28.066859812519368</v>
      </c>
    </row>
    <row r="290" spans="1:11">
      <c r="A290" s="14">
        <f t="shared" si="59"/>
        <v>289</v>
      </c>
      <c r="B290" s="14">
        <f t="shared" si="51"/>
        <v>26.883522316857345</v>
      </c>
      <c r="C290" s="14">
        <f t="shared" si="52"/>
        <v>7.8172213660102461</v>
      </c>
      <c r="F290" s="20">
        <f t="shared" si="53"/>
        <v>81.700000000000188</v>
      </c>
      <c r="G290" s="20">
        <f t="shared" si="54"/>
        <v>22.433068603002909</v>
      </c>
      <c r="H290" s="20">
        <f t="shared" si="55"/>
        <v>24.968577367206912</v>
      </c>
      <c r="I290" s="20">
        <f t="shared" si="56"/>
        <v>116.70000000000023</v>
      </c>
      <c r="J290" s="20">
        <f t="shared" si="57"/>
        <v>18.967096759342674</v>
      </c>
      <c r="K290" s="20">
        <f t="shared" si="58"/>
        <v>28.030256871212892</v>
      </c>
    </row>
    <row r="291" spans="1:11">
      <c r="A291" s="14">
        <f t="shared" si="59"/>
        <v>290</v>
      </c>
      <c r="B291" s="14">
        <f t="shared" si="51"/>
        <v>27.130302149885033</v>
      </c>
      <c r="C291" s="14">
        <f t="shared" si="52"/>
        <v>7.9046106882113758</v>
      </c>
      <c r="F291" s="20">
        <f t="shared" si="53"/>
        <v>82.40000000000019</v>
      </c>
      <c r="G291" s="20">
        <f t="shared" si="54"/>
        <v>22.396769170771357</v>
      </c>
      <c r="H291" s="20">
        <f t="shared" si="55"/>
        <v>24.973646620754629</v>
      </c>
      <c r="I291" s="20">
        <f t="shared" si="56"/>
        <v>117.40000000000023</v>
      </c>
      <c r="J291" s="20">
        <f t="shared" si="57"/>
        <v>18.893651452708976</v>
      </c>
      <c r="K291" s="20">
        <f t="shared" si="58"/>
        <v>27.992753849670699</v>
      </c>
    </row>
    <row r="292" spans="1:11">
      <c r="A292" s="14">
        <f t="shared" si="59"/>
        <v>291</v>
      </c>
      <c r="B292" s="14">
        <f t="shared" si="51"/>
        <v>27.375519243179504</v>
      </c>
      <c r="C292" s="14">
        <f t="shared" si="52"/>
        <v>7.9962936025419733</v>
      </c>
      <c r="F292" s="20">
        <f t="shared" si="53"/>
        <v>83.100000000000193</v>
      </c>
      <c r="G292" s="20">
        <f t="shared" si="54"/>
        <v>22.360410516503933</v>
      </c>
      <c r="H292" s="20">
        <f t="shared" si="55"/>
        <v>24.978272025788339</v>
      </c>
      <c r="I292" s="20">
        <f t="shared" si="56"/>
        <v>118.10000000000024</v>
      </c>
      <c r="J292" s="20">
        <f t="shared" si="57"/>
        <v>18.820669801768958</v>
      </c>
      <c r="K292" s="20">
        <f t="shared" si="58"/>
        <v>27.954356345619246</v>
      </c>
    </row>
    <row r="293" spans="1:11">
      <c r="A293" s="14">
        <f t="shared" si="59"/>
        <v>292</v>
      </c>
      <c r="B293" s="14">
        <f t="shared" si="51"/>
        <v>27.619098901238679</v>
      </c>
      <c r="C293" s="14">
        <f t="shared" si="52"/>
        <v>8.0922421814981895</v>
      </c>
      <c r="F293" s="20">
        <f t="shared" si="53"/>
        <v>83.800000000000196</v>
      </c>
      <c r="G293" s="20">
        <f t="shared" si="54"/>
        <v>22.323998067118058</v>
      </c>
      <c r="H293" s="20">
        <f t="shared" si="55"/>
        <v>24.982452891916946</v>
      </c>
      <c r="I293" s="20">
        <f t="shared" si="56"/>
        <v>118.80000000000024</v>
      </c>
      <c r="J293" s="20">
        <f t="shared" si="57"/>
        <v>18.748162699813399</v>
      </c>
      <c r="K293" s="20">
        <f t="shared" si="58"/>
        <v>27.915070090296066</v>
      </c>
    </row>
    <row r="294" spans="1:11">
      <c r="A294" s="14">
        <f t="shared" si="59"/>
        <v>293</v>
      </c>
      <c r="B294" s="14">
        <f t="shared" si="51"/>
        <v>27.860966927339103</v>
      </c>
      <c r="C294" s="14">
        <f t="shared" si="52"/>
        <v>8.1924271982133927</v>
      </c>
      <c r="F294" s="20">
        <f t="shared" si="53"/>
        <v>84.500000000000199</v>
      </c>
      <c r="G294" s="20">
        <f t="shared" si="54"/>
        <v>22.287537257560661</v>
      </c>
      <c r="H294" s="20">
        <f t="shared" si="55"/>
        <v>24.986188595101538</v>
      </c>
      <c r="I294" s="20">
        <f t="shared" si="56"/>
        <v>119.50000000000024</v>
      </c>
      <c r="J294" s="20">
        <f t="shared" si="57"/>
        <v>18.676140969301574</v>
      </c>
      <c r="K294" s="20">
        <f t="shared" si="58"/>
        <v>27.874900947594313</v>
      </c>
    </row>
    <row r="295" spans="1:11">
      <c r="A295" s="14">
        <f t="shared" si="59"/>
        <v>294</v>
      </c>
      <c r="B295" s="14">
        <f t="shared" si="51"/>
        <v>28.101049646136996</v>
      </c>
      <c r="C295" s="14">
        <f t="shared" si="52"/>
        <v>8.2968181353609829</v>
      </c>
      <c r="F295" s="20">
        <f t="shared" si="53"/>
        <v>85.200000000000202</v>
      </c>
      <c r="G295" s="20">
        <f t="shared" si="54"/>
        <v>22.251033529996935</v>
      </c>
      <c r="H295" s="20">
        <f t="shared" si="55"/>
        <v>24.989478577748514</v>
      </c>
      <c r="I295" s="20">
        <f t="shared" si="56"/>
        <v>120.20000000000024</v>
      </c>
      <c r="J295" s="20">
        <f t="shared" si="57"/>
        <v>18.604615360245891</v>
      </c>
      <c r="K295" s="20">
        <f t="shared" si="58"/>
        <v>27.833854913187494</v>
      </c>
    </row>
    <row r="296" spans="1:11">
      <c r="A296" s="14">
        <f t="shared" si="59"/>
        <v>295</v>
      </c>
      <c r="B296" s="14">
        <f t="shared" si="51"/>
        <v>28.339273926110483</v>
      </c>
      <c r="C296" s="14">
        <f t="shared" si="52"/>
        <v>8.4053831944502466</v>
      </c>
      <c r="F296" s="20">
        <f t="shared" si="53"/>
        <v>85.900000000000205</v>
      </c>
      <c r="G296" s="20">
        <f t="shared" si="54"/>
        <v>22.214492332998049</v>
      </c>
      <c r="H296" s="20">
        <f t="shared" si="55"/>
        <v>24.992322348792833</v>
      </c>
      <c r="I296" s="20">
        <f t="shared" si="56"/>
        <v>120.90000000000025</v>
      </c>
      <c r="J296" s="20">
        <f t="shared" si="57"/>
        <v>18.533596548607324</v>
      </c>
      <c r="K296" s="20">
        <f t="shared" si="58"/>
        <v>27.791938113634586</v>
      </c>
    </row>
    <row r="297" spans="1:11">
      <c r="A297" s="14">
        <f t="shared" si="59"/>
        <v>296</v>
      </c>
      <c r="B297" s="14">
        <f t="shared" si="51"/>
        <v>28.575567201836162</v>
      </c>
      <c r="C297" s="14">
        <f t="shared" si="52"/>
        <v>8.5180893055124951</v>
      </c>
      <c r="F297" s="20">
        <f t="shared" si="53"/>
        <v>86.600000000000207</v>
      </c>
      <c r="G297" s="20">
        <f t="shared" si="54"/>
        <v>22.177919120727875</v>
      </c>
      <c r="H297" s="20">
        <f t="shared" si="55"/>
        <v>24.994719483771298</v>
      </c>
      <c r="I297" s="20">
        <f t="shared" si="56"/>
        <v>121.60000000000025</v>
      </c>
      <c r="J297" s="20">
        <f t="shared" si="57"/>
        <v>18.463095134701941</v>
      </c>
      <c r="K297" s="20">
        <f t="shared" si="58"/>
        <v>27.749156805465557</v>
      </c>
    </row>
    <row r="298" spans="1:11">
      <c r="A298" s="14">
        <f t="shared" si="59"/>
        <v>297</v>
      </c>
      <c r="B298" s="14">
        <f t="shared" si="51"/>
        <v>28.809857496093201</v>
      </c>
      <c r="C298" s="14">
        <f t="shared" si="52"/>
        <v>8.6349021371744819</v>
      </c>
      <c r="F298" s="20">
        <f t="shared" si="53"/>
        <v>87.30000000000021</v>
      </c>
      <c r="G298" s="20">
        <f t="shared" si="54"/>
        <v>22.141319352128917</v>
      </c>
      <c r="H298" s="20">
        <f t="shared" si="55"/>
        <v>24.996669624885911</v>
      </c>
      <c r="I298" s="20">
        <f t="shared" si="56"/>
        <v>122.30000000000025</v>
      </c>
      <c r="J298" s="20">
        <f t="shared" si="57"/>
        <v>18.393121641618649</v>
      </c>
      <c r="K298" s="20">
        <f t="shared" si="58"/>
        <v>27.705517374247513</v>
      </c>
    </row>
    <row r="299" spans="1:11">
      <c r="A299" s="14">
        <f t="shared" si="59"/>
        <v>298</v>
      </c>
      <c r="B299" s="14">
        <f t="shared" si="51"/>
        <v>29.042073441788357</v>
      </c>
      <c r="C299" s="14">
        <f t="shared" si="52"/>
        <v>8.7557861071160943</v>
      </c>
      <c r="F299" s="20">
        <f t="shared" si="53"/>
        <v>88.000000000000213</v>
      </c>
      <c r="G299" s="20">
        <f t="shared" si="54"/>
        <v>22.104698490107491</v>
      </c>
      <c r="H299" s="20">
        <f t="shared" si="55"/>
        <v>24.998172481057289</v>
      </c>
      <c r="I299" s="20">
        <f t="shared" si="56"/>
        <v>123.00000000000026</v>
      </c>
      <c r="J299" s="20">
        <f t="shared" si="57"/>
        <v>18.323686513648543</v>
      </c>
      <c r="K299" s="20">
        <f t="shared" si="58"/>
        <v>27.661026333631597</v>
      </c>
    </row>
    <row r="300" spans="1:11">
      <c r="A300" s="14">
        <f t="shared" si="59"/>
        <v>299</v>
      </c>
      <c r="B300" s="14">
        <f t="shared" si="51"/>
        <v>29.272144303695057</v>
      </c>
      <c r="C300" s="14">
        <f t="shared" si="52"/>
        <v>8.880704392909065</v>
      </c>
      <c r="F300" s="20">
        <f t="shared" si="53"/>
        <v>88.700000000000216</v>
      </c>
      <c r="G300" s="20">
        <f t="shared" si="54"/>
        <v>22.068062000718331</v>
      </c>
      <c r="H300" s="20">
        <f t="shared" si="55"/>
        <v>24.999227827968095</v>
      </c>
      <c r="I300" s="20">
        <f t="shared" si="56"/>
        <v>123.70000000000026</v>
      </c>
      <c r="J300" s="20">
        <f t="shared" si="57"/>
        <v>18.254800114725981</v>
      </c>
      <c r="K300" s="20">
        <f t="shared" si="58"/>
        <v>27.615690324380743</v>
      </c>
    </row>
    <row r="301" spans="1:11">
      <c r="A301" s="14">
        <f t="shared" si="59"/>
        <v>300</v>
      </c>
      <c r="B301" s="14">
        <f t="shared" si="51"/>
        <v>29.5</v>
      </c>
      <c r="C301" s="14">
        <f t="shared" si="52"/>
        <v>9.0096189432334217</v>
      </c>
      <c r="F301" s="20">
        <f t="shared" si="53"/>
        <v>89.400000000000219</v>
      </c>
      <c r="G301" s="20">
        <f t="shared" si="54"/>
        <v>22.031415352348727</v>
      </c>
      <c r="H301" s="20">
        <f t="shared" si="55"/>
        <v>24.999835508096538</v>
      </c>
      <c r="I301" s="20">
        <f t="shared" si="56"/>
        <v>124.40000000000026</v>
      </c>
      <c r="J301" s="20">
        <f t="shared" si="57"/>
        <v>18.186472726881643</v>
      </c>
      <c r="K301" s="20">
        <f t="shared" si="58"/>
        <v>27.569516113378477</v>
      </c>
    </row>
    <row r="302" spans="1:11">
      <c r="A302" s="14">
        <f t="shared" si="59"/>
        <v>301</v>
      </c>
      <c r="B302" s="14">
        <f t="shared" si="51"/>
        <v>29.725571123650813</v>
      </c>
      <c r="C302" s="14">
        <f t="shared" si="52"/>
        <v>9.1424904894683152</v>
      </c>
      <c r="F302" s="20">
        <f t="shared" si="53"/>
        <v>90.100000000000222</v>
      </c>
      <c r="G302" s="20">
        <f t="shared" si="54"/>
        <v>21.994764014902294</v>
      </c>
      <c r="H302" s="20">
        <f t="shared" si="55"/>
        <v>24.999995430739865</v>
      </c>
      <c r="I302" s="20">
        <f t="shared" si="56"/>
        <v>125.10000000000026</v>
      </c>
      <c r="J302" s="20">
        <f t="shared" si="57"/>
        <v>18.118714548707846</v>
      </c>
      <c r="K302" s="20">
        <f t="shared" si="58"/>
        <v>27.522510592618893</v>
      </c>
    </row>
    <row r="303" spans="1:11">
      <c r="A303" s="14">
        <f t="shared" si="59"/>
        <v>302</v>
      </c>
      <c r="B303" s="14">
        <f t="shared" si="51"/>
        <v>29.948788963498071</v>
      </c>
      <c r="C303" s="14">
        <f t="shared" si="52"/>
        <v>9.2792785576536065</v>
      </c>
      <c r="F303" s="20">
        <f t="shared" si="53"/>
        <v>90.800000000000225</v>
      </c>
      <c r="G303" s="20">
        <f t="shared" si="54"/>
        <v>21.958113458982552</v>
      </c>
      <c r="H303" s="20">
        <f t="shared" si="55"/>
        <v>24.999707572027912</v>
      </c>
      <c r="I303" s="20">
        <f t="shared" si="56"/>
        <v>125.80000000000027</v>
      </c>
      <c r="J303" s="20">
        <f t="shared" si="57"/>
        <v>18.051535693836271</v>
      </c>
      <c r="K303" s="20">
        <f t="shared" si="58"/>
        <v>27.474680778177937</v>
      </c>
    </row>
    <row r="304" spans="1:11">
      <c r="A304" s="14">
        <f t="shared" si="59"/>
        <v>303</v>
      </c>
      <c r="B304" s="14">
        <f t="shared" si="51"/>
        <v>30.169585525225401</v>
      </c>
      <c r="C304" s="14">
        <f t="shared" si="52"/>
        <v>9.4199414808186361</v>
      </c>
      <c r="F304" s="20">
        <f t="shared" si="53"/>
        <v>91.500000000000227</v>
      </c>
      <c r="G304" s="20">
        <f t="shared" si="54"/>
        <v>21.92146915507637</v>
      </c>
      <c r="H304" s="20">
        <f t="shared" si="55"/>
        <v>24.998971974926672</v>
      </c>
      <c r="I304" s="20">
        <f t="shared" si="56"/>
        <v>126.50000000000027</v>
      </c>
      <c r="J304" s="20">
        <f t="shared" si="57"/>
        <v>17.98494618942842</v>
      </c>
      <c r="K304" s="20">
        <f t="shared" si="58"/>
        <v>27.426033809166199</v>
      </c>
    </row>
    <row r="305" spans="1:11">
      <c r="A305" s="14">
        <f t="shared" si="59"/>
        <v>304</v>
      </c>
      <c r="B305" s="14">
        <f t="shared" si="51"/>
        <v>30.387893552061207</v>
      </c>
      <c r="C305" s="14">
        <f t="shared" si="52"/>
        <v>9.5644364116743752</v>
      </c>
      <c r="F305" s="20">
        <f t="shared" si="53"/>
        <v>92.20000000000023</v>
      </c>
      <c r="G305" s="20">
        <f t="shared" si="54"/>
        <v>21.884836572737427</v>
      </c>
      <c r="H305" s="20">
        <f t="shared" si="55"/>
        <v>24.997788749231862</v>
      </c>
      <c r="I305" s="20">
        <f t="shared" si="56"/>
        <v>127.20000000000027</v>
      </c>
      <c r="J305" s="20">
        <f t="shared" si="57"/>
        <v>17.918955974678944</v>
      </c>
      <c r="K305" s="20">
        <f t="shared" si="58"/>
        <v>27.376576946663306</v>
      </c>
    </row>
    <row r="306" spans="1:11">
      <c r="A306" s="14">
        <f t="shared" si="59"/>
        <v>305</v>
      </c>
      <c r="B306" s="14">
        <f t="shared" si="51"/>
        <v>30.60364654526569</v>
      </c>
      <c r="C306" s="14">
        <f t="shared" si="52"/>
        <v>9.7127193356651222</v>
      </c>
      <c r="F306" s="20">
        <f t="shared" ref="F306:F337" si="60">MOD(F305-$E$6*$H$207,360)</f>
        <v>92.900000000000233</v>
      </c>
      <c r="G306" s="20">
        <f t="shared" si="54"/>
        <v>21.848221179769848</v>
      </c>
      <c r="H306" s="20">
        <f t="shared" si="55"/>
        <v>24.996158071552557</v>
      </c>
      <c r="I306" s="20">
        <f t="shared" si="56"/>
        <v>127.90000000000028</v>
      </c>
      <c r="J306" s="20">
        <f t="shared" si="57"/>
        <v>17.853574899332109</v>
      </c>
      <c r="K306" s="20">
        <f t="shared" si="58"/>
        <v>27.326317572634142</v>
      </c>
    </row>
    <row r="307" spans="1:11">
      <c r="A307" s="14">
        <f t="shared" si="59"/>
        <v>306</v>
      </c>
      <c r="B307" s="14">
        <f t="shared" si="51"/>
        <v>30.816778784387093</v>
      </c>
      <c r="C307" s="14">
        <f t="shared" si="52"/>
        <v>9.8647450843757873</v>
      </c>
      <c r="F307" s="20">
        <f t="shared" si="60"/>
        <v>93.600000000000236</v>
      </c>
      <c r="G307" s="20">
        <f t="shared" si="54"/>
        <v>21.811628441412047</v>
      </c>
      <c r="H307" s="20">
        <f t="shared" si="55"/>
        <v>24.994080185284815</v>
      </c>
      <c r="I307" s="20">
        <f t="shared" si="56"/>
        <v>128.60000000000028</v>
      </c>
      <c r="J307" s="20">
        <f t="shared" si="57"/>
        <v>17.788812722211617</v>
      </c>
      <c r="K307" s="20">
        <f t="shared" si="58"/>
        <v>27.275263188827008</v>
      </c>
    </row>
    <row r="308" spans="1:11">
      <c r="A308" s="14">
        <f t="shared" si="59"/>
        <v>307</v>
      </c>
      <c r="B308" s="14">
        <f t="shared" si="51"/>
        <v>31.027225347280719</v>
      </c>
      <c r="C308" s="14">
        <f t="shared" si="52"/>
        <v>10.020467349290604</v>
      </c>
      <c r="F308" s="20">
        <f t="shared" si="60"/>
        <v>94.300000000000239</v>
      </c>
      <c r="G308" s="20">
        <f t="shared" si="54"/>
        <v>21.775063819521005</v>
      </c>
      <c r="H308" s="20">
        <f t="shared" si="55"/>
        <v>24.991555400575347</v>
      </c>
      <c r="I308" s="20">
        <f t="shared" si="56"/>
        <v>129.30000000000027</v>
      </c>
      <c r="J308" s="20">
        <f t="shared" si="57"/>
        <v>17.724679109764011</v>
      </c>
      <c r="K308" s="20">
        <f t="shared" si="58"/>
        <v>27.223421415653895</v>
      </c>
    </row>
    <row r="309" spans="1:11">
      <c r="A309" s="14">
        <f t="shared" si="59"/>
        <v>308</v>
      </c>
      <c r="B309" s="14">
        <f t="shared" si="51"/>
        <v>31.234922129884868</v>
      </c>
      <c r="C309" s="14">
        <f t="shared" si="52"/>
        <v>10.179838695899164</v>
      </c>
      <c r="F309" s="20">
        <f t="shared" si="60"/>
        <v>95.000000000000242</v>
      </c>
      <c r="G309" s="20">
        <f t="shared" si="54"/>
        <v>21.738532771757015</v>
      </c>
      <c r="H309" s="20">
        <f t="shared" si="55"/>
        <v>24.988584094275236</v>
      </c>
      <c r="I309" s="20">
        <f t="shared" si="56"/>
        <v>130.00000000000026</v>
      </c>
      <c r="J309" s="20">
        <f t="shared" si="57"/>
        <v>17.661183634615838</v>
      </c>
      <c r="K309" s="20">
        <f t="shared" si="58"/>
        <v>27.17079999105308</v>
      </c>
    </row>
    <row r="310" spans="1:11">
      <c r="A310" s="14">
        <f t="shared" si="59"/>
        <v>309</v>
      </c>
      <c r="B310" s="14">
        <f t="shared" si="51"/>
        <v>31.439805865747552</v>
      </c>
      <c r="C310" s="14">
        <f t="shared" si="52"/>
        <v>10.34281057814543</v>
      </c>
      <c r="F310" s="20">
        <f t="shared" si="60"/>
        <v>95.700000000000244</v>
      </c>
      <c r="G310" s="20">
        <f t="shared" si="54"/>
        <v>21.702040750769068</v>
      </c>
      <c r="H310" s="20">
        <f t="shared" si="55"/>
        <v>24.985166709883678</v>
      </c>
      <c r="I310" s="20">
        <f t="shared" si="56"/>
        <v>130.70000000000024</v>
      </c>
      <c r="J310" s="20">
        <f t="shared" si="57"/>
        <v>17.598335774144832</v>
      </c>
      <c r="K310" s="20">
        <f t="shared" si="58"/>
        <v>27.117406769334135</v>
      </c>
    </row>
    <row r="311" spans="1:11">
      <c r="A311" s="14">
        <f t="shared" si="59"/>
        <v>310</v>
      </c>
      <c r="B311" s="14">
        <f t="shared" si="51"/>
        <v>31.641814145298088</v>
      </c>
      <c r="C311" s="14">
        <f t="shared" si="52"/>
        <v>10.509333353215329</v>
      </c>
      <c r="F311" s="20">
        <f t="shared" si="60"/>
        <v>96.400000000000247</v>
      </c>
      <c r="G311" s="20">
        <f t="shared" si="54"/>
        <v>21.665593203381011</v>
      </c>
      <c r="H311" s="20">
        <f t="shared" si="55"/>
        <v>24.98130375748179</v>
      </c>
      <c r="I311" s="20">
        <f t="shared" si="56"/>
        <v>131.40000000000023</v>
      </c>
      <c r="J311" s="20">
        <f t="shared" si="57"/>
        <v>17.536144909065328</v>
      </c>
      <c r="K311" s="20">
        <f t="shared" si="58"/>
        <v>27.063249720005587</v>
      </c>
    </row>
    <row r="312" spans="1:11">
      <c r="A312" s="14">
        <f t="shared" si="59"/>
        <v>311</v>
      </c>
      <c r="B312" s="14">
        <f t="shared" si="51"/>
        <v>31.840885434857604</v>
      </c>
      <c r="C312" s="14">
        <f t="shared" si="52"/>
        <v>10.679356296658417</v>
      </c>
      <c r="F312" s="20">
        <f t="shared" si="60"/>
        <v>97.10000000000025</v>
      </c>
      <c r="G312" s="20">
        <f t="shared" si="54"/>
        <v>21.62919556977851</v>
      </c>
      <c r="H312" s="20">
        <f t="shared" si="55"/>
        <v>24.976995813656465</v>
      </c>
      <c r="I312" s="20">
        <f t="shared" si="56"/>
        <v>132.10000000000022</v>
      </c>
      <c r="J312" s="20">
        <f t="shared" si="57"/>
        <v>17.474620322028088</v>
      </c>
      <c r="K312" s="20">
        <f t="shared" si="58"/>
        <v>27.008336926585393</v>
      </c>
    </row>
    <row r="313" spans="1:11">
      <c r="A313" s="14">
        <f t="shared" si="59"/>
        <v>312</v>
      </c>
      <c r="B313" s="14">
        <f t="shared" si="51"/>
        <v>32.036959095382876</v>
      </c>
      <c r="C313" s="14">
        <f t="shared" si="52"/>
        <v>10.85282761783909</v>
      </c>
      <c r="F313" s="20">
        <f t="shared" si="60"/>
        <v>97.800000000000253</v>
      </c>
      <c r="G313" s="20">
        <f t="shared" si="54"/>
        <v>21.592853282697074</v>
      </c>
      <c r="H313" s="20">
        <f t="shared" si="55"/>
        <v>24.972243521414327</v>
      </c>
      <c r="I313" s="20">
        <f t="shared" si="56"/>
        <v>132.80000000000021</v>
      </c>
      <c r="J313" s="20">
        <f t="shared" si="57"/>
        <v>17.413771196234745</v>
      </c>
      <c r="K313" s="20">
        <f t="shared" si="58"/>
        <v>26.9526765853944</v>
      </c>
    </row>
    <row r="314" spans="1:11">
      <c r="A314" s="14">
        <f t="shared" si="59"/>
        <v>313</v>
      </c>
      <c r="B314" s="14">
        <f t="shared" si="51"/>
        <v>32.229975400937477</v>
      </c>
      <c r="C314" s="14">
        <f t="shared" si="52"/>
        <v>11.029694475712445</v>
      </c>
      <c r="F314" s="20">
        <f t="shared" si="60"/>
        <v>98.500000000000256</v>
      </c>
      <c r="G314" s="20">
        <f t="shared" si="54"/>
        <v>21.556571766611157</v>
      </c>
      <c r="H314" s="20">
        <f t="shared" si="55"/>
        <v>24.967047590085748</v>
      </c>
      <c r="I314" s="20">
        <f t="shared" si="56"/>
        <v>133.5000000000002</v>
      </c>
      <c r="J314" s="20">
        <f t="shared" si="57"/>
        <v>17.353606614067147</v>
      </c>
      <c r="K314" s="20">
        <f t="shared" si="58"/>
        <v>26.896277004332926</v>
      </c>
    </row>
    <row r="315" spans="1:11">
      <c r="A315" s="14">
        <f t="shared" si="59"/>
        <v>314</v>
      </c>
      <c r="B315" s="14">
        <f t="shared" si="51"/>
        <v>32.419875556884961</v>
      </c>
      <c r="C315" s="14">
        <f t="shared" si="52"/>
        <v>11.209902994920233</v>
      </c>
      <c r="F315" s="20">
        <f t="shared" si="60"/>
        <v>99.200000000000259</v>
      </c>
      <c r="G315" s="20">
        <f t="shared" si="54"/>
        <v>21.520356436924484</v>
      </c>
      <c r="H315" s="20">
        <f t="shared" si="55"/>
        <v>24.961408795218961</v>
      </c>
      <c r="I315" s="20">
        <f t="shared" si="56"/>
        <v>134.20000000000019</v>
      </c>
      <c r="J315" s="20">
        <f t="shared" si="57"/>
        <v>17.294135555731671</v>
      </c>
      <c r="K315" s="20">
        <f t="shared" si="58"/>
        <v>26.839146601640742</v>
      </c>
    </row>
    <row r="316" spans="1:11">
      <c r="A316" s="14">
        <f t="shared" si="59"/>
        <v>315</v>
      </c>
      <c r="B316" s="14">
        <f t="shared" si="51"/>
        <v>32.606601717798213</v>
      </c>
      <c r="C316" s="14">
        <f t="shared" si="52"/>
        <v>11.393398282201785</v>
      </c>
      <c r="F316" s="20">
        <f t="shared" si="60"/>
        <v>99.900000000000261</v>
      </c>
      <c r="G316" s="20">
        <f t="shared" si="54"/>
        <v>21.484212699161759</v>
      </c>
      <c r="H316" s="20">
        <f t="shared" si="55"/>
        <v>24.955327978464318</v>
      </c>
      <c r="I316" s="20">
        <f t="shared" si="56"/>
        <v>134.90000000000018</v>
      </c>
      <c r="J316" s="20">
        <f t="shared" si="57"/>
        <v>17.235366897918887</v>
      </c>
      <c r="K316" s="20">
        <f t="shared" si="58"/>
        <v>26.781293904640556</v>
      </c>
    </row>
    <row r="317" spans="1:11">
      <c r="A317" s="14">
        <f t="shared" si="59"/>
        <v>316</v>
      </c>
      <c r="B317" s="14">
        <f t="shared" si="51"/>
        <v>32.790097005079765</v>
      </c>
      <c r="C317" s="14">
        <f t="shared" si="52"/>
        <v>11.580124443115036</v>
      </c>
      <c r="F317" s="20">
        <f t="shared" si="60"/>
        <v>100.60000000000026</v>
      </c>
      <c r="G317" s="20">
        <f t="shared" si="54"/>
        <v>21.448145948161827</v>
      </c>
      <c r="H317" s="20">
        <f t="shared" si="55"/>
        <v>24.948806047448659</v>
      </c>
      <c r="I317" s="20">
        <f t="shared" si="56"/>
        <v>135.60000000000016</v>
      </c>
      <c r="J317" s="20">
        <f t="shared" si="57"/>
        <v>17.177309412478564</v>
      </c>
      <c r="K317" s="20">
        <f t="shared" si="58"/>
        <v>26.722727548465201</v>
      </c>
    </row>
    <row r="318" spans="1:11">
      <c r="A318" s="14">
        <f t="shared" si="59"/>
        <v>317</v>
      </c>
      <c r="B318" s="14">
        <f t="shared" si="51"/>
        <v>32.970305524287554</v>
      </c>
      <c r="C318" s="14">
        <f t="shared" si="52"/>
        <v>11.770024599062516</v>
      </c>
      <c r="F318" s="20">
        <f t="shared" si="60"/>
        <v>101.30000000000027</v>
      </c>
      <c r="G318" s="20">
        <f t="shared" si="54"/>
        <v>21.412161567272435</v>
      </c>
      <c r="H318" s="20">
        <f t="shared" si="55"/>
        <v>24.941843975639838</v>
      </c>
      <c r="I318" s="20">
        <f t="shared" si="56"/>
        <v>136.30000000000015</v>
      </c>
      <c r="J318" s="20">
        <f t="shared" si="57"/>
        <v>17.1199717651104</v>
      </c>
      <c r="K318" s="20">
        <f t="shared" si="58"/>
        <v>26.66345627476878</v>
      </c>
    </row>
    <row r="319" spans="1:11">
      <c r="A319" s="14">
        <f t="shared" si="59"/>
        <v>318</v>
      </c>
      <c r="B319" s="14">
        <f t="shared" si="51"/>
        <v>33.147172382160903</v>
      </c>
      <c r="C319" s="14">
        <f t="shared" si="52"/>
        <v>11.963040904617118</v>
      </c>
      <c r="F319" s="20">
        <f t="shared" si="60"/>
        <v>102.00000000000027</v>
      </c>
      <c r="G319" s="20">
        <f t="shared" si="54"/>
        <v>21.376264927546707</v>
      </c>
      <c r="H319" s="20">
        <f t="shared" si="55"/>
        <v>24.934442802201414</v>
      </c>
      <c r="I319" s="20">
        <f t="shared" si="56"/>
        <v>137.00000000000014</v>
      </c>
      <c r="J319" s="20">
        <f t="shared" si="57"/>
        <v>17.06336251407059</v>
      </c>
      <c r="K319" s="20">
        <f t="shared" si="58"/>
        <v>26.603488930421854</v>
      </c>
    </row>
    <row r="320" spans="1:11">
      <c r="A320" s="14">
        <f t="shared" si="59"/>
        <v>319</v>
      </c>
      <c r="B320" s="14">
        <f t="shared" si="51"/>
        <v>33.320643703341581</v>
      </c>
      <c r="C320" s="14">
        <f t="shared" si="52"/>
        <v>12.159114565142389</v>
      </c>
      <c r="F320" s="20">
        <f t="shared" si="60"/>
        <v>102.70000000000027</v>
      </c>
      <c r="G320" s="20">
        <f t="shared" si="54"/>
        <v>21.340461386941474</v>
      </c>
      <c r="H320" s="20">
        <f t="shared" si="55"/>
        <v>24.926603631837565</v>
      </c>
      <c r="I320" s="20">
        <f t="shared" si="56"/>
        <v>137.70000000000013</v>
      </c>
      <c r="J320" s="20">
        <f t="shared" si="57"/>
        <v>17.007490108894377</v>
      </c>
      <c r="K320" s="20">
        <f t="shared" si="58"/>
        <v>26.542834466190961</v>
      </c>
    </row>
    <row r="321" spans="1:11">
      <c r="A321" s="14">
        <f t="shared" si="59"/>
        <v>320</v>
      </c>
      <c r="B321" s="14">
        <f t="shared" ref="B321:B361" si="61">COS(A321/180*PI())*$E$1+$E$2</f>
        <v>33.490666646784668</v>
      </c>
      <c r="C321" s="14">
        <f t="shared" ref="C321:C361" si="62">SIN(A321/180*PI())*$E$1+$E$3</f>
        <v>12.358185854701906</v>
      </c>
      <c r="F321" s="20">
        <f t="shared" si="60"/>
        <v>103.40000000000028</v>
      </c>
      <c r="G321" s="20">
        <f t="shared" si="54"/>
        <v>21.304756289517513</v>
      </c>
      <c r="H321" s="20">
        <f t="shared" si="55"/>
        <v>24.918327634628188</v>
      </c>
      <c r="I321" s="20">
        <f t="shared" si="56"/>
        <v>138.40000000000012</v>
      </c>
      <c r="J321" s="20">
        <f t="shared" si="57"/>
        <v>16.9523628891349</v>
      </c>
      <c r="K321" s="20">
        <f t="shared" si="58"/>
        <v>26.481501935402619</v>
      </c>
    </row>
    <row r="322" spans="1:11">
      <c r="A322" s="14">
        <f t="shared" si="59"/>
        <v>321</v>
      </c>
      <c r="B322" s="14">
        <f t="shared" si="61"/>
        <v>33.657189421854568</v>
      </c>
      <c r="C322" s="14">
        <f t="shared" si="62"/>
        <v>12.560194134252443</v>
      </c>
      <c r="F322" s="20">
        <f t="shared" si="60"/>
        <v>104.10000000000028</v>
      </c>
      <c r="G322" s="20">
        <f t="shared" si="54"/>
        <v>21.269154964641917</v>
      </c>
      <c r="H322" s="20">
        <f t="shared" si="55"/>
        <v>24.909616045854236</v>
      </c>
      <c r="I322" s="20">
        <f t="shared" si="56"/>
        <v>139.10000000000011</v>
      </c>
      <c r="J322" s="20">
        <f t="shared" si="57"/>
        <v>16.897989083118425</v>
      </c>
      <c r="K322" s="20">
        <f t="shared" si="58"/>
        <v>26.419500492592036</v>
      </c>
    </row>
    <row r="323" spans="1:11">
      <c r="A323" s="14">
        <f t="shared" si="59"/>
        <v>322</v>
      </c>
      <c r="B323" s="14">
        <f t="shared" si="61"/>
        <v>33.820161304100829</v>
      </c>
      <c r="C323" s="14">
        <f t="shared" si="62"/>
        <v>12.765077870115128</v>
      </c>
      <c r="F323" s="20">
        <f t="shared" si="60"/>
        <v>104.80000000000028</v>
      </c>
      <c r="G323" s="20">
        <f t="shared" si="54"/>
        <v>21.233662726192616</v>
      </c>
      <c r="H323" s="20">
        <f t="shared" si="55"/>
        <v>24.900470165813374</v>
      </c>
      <c r="I323" s="20">
        <f t="shared" si="56"/>
        <v>139.8000000000001</v>
      </c>
      <c r="J323" s="20">
        <f t="shared" si="57"/>
        <v>16.844376806716159</v>
      </c>
      <c r="K323" s="20">
        <f t="shared" si="58"/>
        <v>26.35683939213666</v>
      </c>
    </row>
    <row r="324" spans="1:11">
      <c r="A324" s="14">
        <f t="shared" si="59"/>
        <v>323</v>
      </c>
      <c r="B324" s="14">
        <f t="shared" si="61"/>
        <v>33.979532650709395</v>
      </c>
      <c r="C324" s="14">
        <f t="shared" si="62"/>
        <v>12.972774652719275</v>
      </c>
      <c r="F324" s="20">
        <f t="shared" si="60"/>
        <v>105.50000000000028</v>
      </c>
      <c r="G324" s="20">
        <f t="shared" si="54"/>
        <v>21.198284871765214</v>
      </c>
      <c r="H324" s="20">
        <f t="shared" si="55"/>
        <v>24.890891359625865</v>
      </c>
      <c r="I324" s="20">
        <f t="shared" si="56"/>
        <v>140.50000000000009</v>
      </c>
      <c r="J324" s="20">
        <f t="shared" si="57"/>
        <v>16.791534062132882</v>
      </c>
      <c r="K324" s="20">
        <f t="shared" si="58"/>
        <v>26.293527986874899</v>
      </c>
    </row>
    <row r="325" spans="1:11">
      <c r="A325" s="14">
        <f t="shared" si="59"/>
        <v>324</v>
      </c>
      <c r="B325" s="14">
        <f t="shared" si="61"/>
        <v>34.135254915624209</v>
      </c>
      <c r="C325" s="14">
        <f t="shared" si="62"/>
        <v>13.1832212156129</v>
      </c>
      <c r="F325" s="20">
        <f t="shared" si="60"/>
        <v>106.20000000000029</v>
      </c>
      <c r="G325" s="20">
        <f t="shared" si="54"/>
        <v>21.163026681882297</v>
      </c>
      <c r="H325" s="20">
        <f t="shared" si="55"/>
        <v>24.880881057030827</v>
      </c>
      <c r="I325" s="20">
        <f t="shared" si="56"/>
        <v>141.20000000000007</v>
      </c>
      <c r="J325" s="20">
        <f t="shared" si="57"/>
        <v>16.739468736712546</v>
      </c>
      <c r="K325" s="20">
        <f t="shared" si="58"/>
        <v>26.229575726710102</v>
      </c>
    </row>
    <row r="326" spans="1:11">
      <c r="A326" s="14">
        <f t="shared" si="59"/>
        <v>325</v>
      </c>
      <c r="B326" s="14">
        <f t="shared" si="61"/>
        <v>34.287280664334872</v>
      </c>
      <c r="C326" s="14">
        <f t="shared" si="62"/>
        <v>13.396353454734303</v>
      </c>
      <c r="F326" s="20">
        <f t="shared" si="60"/>
        <v>106.90000000000029</v>
      </c>
      <c r="G326" s="20">
        <f t="shared" si="54"/>
        <v>21.127893419205229</v>
      </c>
      <c r="H326" s="20">
        <f t="shared" si="55"/>
        <v>24.870440752172819</v>
      </c>
      <c r="I326" s="20">
        <f t="shared" si="56"/>
        <v>141.90000000000006</v>
      </c>
      <c r="J326" s="20">
        <f t="shared" si="57"/>
        <v>16.68818860176097</v>
      </c>
      <c r="K326" s="20">
        <f t="shared" si="58"/>
        <v>26.164992157200047</v>
      </c>
    </row>
    <row r="327" spans="1:11">
      <c r="A327" s="14">
        <f t="shared" si="59"/>
        <v>326</v>
      </c>
      <c r="B327" s="14">
        <f t="shared" si="61"/>
        <v>34.435563588325621</v>
      </c>
      <c r="C327" s="14">
        <f t="shared" si="62"/>
        <v>13.612106447938789</v>
      </c>
      <c r="F327" s="20">
        <f t="shared" si="60"/>
        <v>107.60000000000029</v>
      </c>
      <c r="G327" s="20">
        <f t="shared" si="54"/>
        <v>21.092890327748652</v>
      </c>
      <c r="H327" s="20">
        <f t="shared" si="55"/>
        <v>24.859572003378837</v>
      </c>
      <c r="I327" s="20">
        <f t="shared" si="56"/>
        <v>142.60000000000005</v>
      </c>
      <c r="J327" s="20">
        <f t="shared" si="57"/>
        <v>16.637701311385925</v>
      </c>
      <c r="K327" s="20">
        <f t="shared" si="58"/>
        <v>26.099786918132182</v>
      </c>
    </row>
    <row r="328" spans="1:11">
      <c r="A328" s="14">
        <f t="shared" si="59"/>
        <v>327</v>
      </c>
      <c r="B328" s="14">
        <f t="shared" si="61"/>
        <v>34.580058519181364</v>
      </c>
      <c r="C328" s="14">
        <f t="shared" si="62"/>
        <v>13.830414474774596</v>
      </c>
      <c r="F328" s="20">
        <f t="shared" si="60"/>
        <v>108.3000000000003</v>
      </c>
      <c r="G328" s="20">
        <f t="shared" si="54"/>
        <v>21.058022632097771</v>
      </c>
      <c r="H328" s="20">
        <f t="shared" si="55"/>
        <v>24.848276432925708</v>
      </c>
      <c r="I328" s="20">
        <f t="shared" si="56"/>
        <v>143.30000000000004</v>
      </c>
      <c r="J328" s="20">
        <f t="shared" si="57"/>
        <v>16.588014401354659</v>
      </c>
      <c r="K328" s="20">
        <f t="shared" si="58"/>
        <v>26.033969742084764</v>
      </c>
    </row>
    <row r="329" spans="1:11">
      <c r="A329" s="14">
        <f t="shared" si="59"/>
        <v>328</v>
      </c>
      <c r="B329" s="14">
        <f t="shared" si="61"/>
        <v>34.720721442346388</v>
      </c>
      <c r="C329" s="14">
        <f t="shared" si="62"/>
        <v>14.051211036501925</v>
      </c>
      <c r="F329" s="20">
        <f t="shared" si="60"/>
        <v>109.0000000000003</v>
      </c>
      <c r="G329" s="20">
        <f t="shared" si="54"/>
        <v>21.023295536628517</v>
      </c>
      <c r="H329" s="20">
        <f t="shared" si="55"/>
        <v>24.836555726797947</v>
      </c>
      <c r="I329" s="20">
        <f t="shared" si="56"/>
        <v>144.00000000000003</v>
      </c>
      <c r="J329" s="20">
        <f t="shared" si="57"/>
        <v>16.539135287969103</v>
      </c>
      <c r="K329" s="20">
        <f t="shared" si="58"/>
        <v>25.967550452974191</v>
      </c>
    </row>
    <row r="330" spans="1:11">
      <c r="A330" s="14">
        <f t="shared" si="59"/>
        <v>329</v>
      </c>
      <c r="B330" s="14">
        <f t="shared" si="61"/>
        <v>34.857509510531685</v>
      </c>
      <c r="C330" s="14">
        <f t="shared" si="62"/>
        <v>14.274428876349184</v>
      </c>
      <c r="F330" s="20">
        <f t="shared" si="60"/>
        <v>109.7000000000003</v>
      </c>
      <c r="G330" s="20">
        <f t="shared" si="54"/>
        <v>20.988714224730739</v>
      </c>
      <c r="H330" s="20">
        <f t="shared" si="55"/>
        <v>24.82441163443611</v>
      </c>
      <c r="I330" s="20">
        <f t="shared" si="56"/>
        <v>144.70000000000002</v>
      </c>
      <c r="J330" s="20">
        <f t="shared" si="57"/>
        <v>16.491071266958919</v>
      </c>
      <c r="K330" s="20">
        <f t="shared" si="58"/>
        <v>25.900538964588662</v>
      </c>
    </row>
    <row r="331" spans="1:11">
      <c r="A331" s="14">
        <f t="shared" si="59"/>
        <v>330</v>
      </c>
      <c r="B331" s="14">
        <f t="shared" si="61"/>
        <v>34.99038105676658</v>
      </c>
      <c r="C331" s="14">
        <f t="shared" si="62"/>
        <v>14.499999999999993</v>
      </c>
      <c r="F331" s="20">
        <f t="shared" si="60"/>
        <v>110.4000000000003</v>
      </c>
      <c r="G331" s="20">
        <f t="shared" si="54"/>
        <v>20.95428385803454</v>
      </c>
      <c r="H331" s="20">
        <f t="shared" si="55"/>
        <v>24.811845968475669</v>
      </c>
      <c r="I331" s="20">
        <f t="shared" si="56"/>
        <v>145.4</v>
      </c>
      <c r="J331" s="20">
        <f t="shared" si="57"/>
        <v>16.443829512392519</v>
      </c>
      <c r="K331" s="20">
        <f t="shared" si="58"/>
        <v>25.832945279108433</v>
      </c>
    </row>
    <row r="332" spans="1:11">
      <c r="A332" s="14">
        <f t="shared" si="59"/>
        <v>331</v>
      </c>
      <c r="B332" s="14">
        <f t="shared" si="61"/>
        <v>35.119295607090933</v>
      </c>
      <c r="C332" s="14">
        <f t="shared" si="62"/>
        <v>14.727855696304935</v>
      </c>
      <c r="F332" s="20">
        <f t="shared" si="60"/>
        <v>111.10000000000031</v>
      </c>
      <c r="G332" s="20">
        <f t="shared" si="54"/>
        <v>20.920009575639831</v>
      </c>
      <c r="H332" s="20">
        <f t="shared" si="55"/>
        <v>24.798860604476463</v>
      </c>
      <c r="I332" s="20">
        <f t="shared" si="56"/>
        <v>146.1</v>
      </c>
      <c r="J332" s="20">
        <f t="shared" si="57"/>
        <v>16.39741707560627</v>
      </c>
      <c r="K332" s="20">
        <f t="shared" si="58"/>
        <v>25.764779485612909</v>
      </c>
    </row>
    <row r="333" spans="1:11">
      <c r="A333" s="14">
        <f t="shared" si="59"/>
        <v>332</v>
      </c>
      <c r="B333" s="14">
        <f t="shared" si="61"/>
        <v>35.244213892883906</v>
      </c>
      <c r="C333" s="14">
        <f t="shared" si="62"/>
        <v>14.957926558211639</v>
      </c>
      <c r="F333" s="20">
        <f t="shared" si="60"/>
        <v>111.80000000000031</v>
      </c>
      <c r="G333" s="20">
        <f t="shared" si="54"/>
        <v>20.885896493349282</v>
      </c>
      <c r="H333" s="20">
        <f t="shared" si="55"/>
        <v>24.785457480642734</v>
      </c>
      <c r="I333" s="20">
        <f t="shared" si="56"/>
        <v>146.79999999999998</v>
      </c>
      <c r="J333" s="20">
        <f t="shared" si="57"/>
        <v>16.351840884152011</v>
      </c>
      <c r="K333" s="20">
        <f t="shared" si="58"/>
        <v>25.696051758574718</v>
      </c>
    </row>
    <row r="334" spans="1:11">
      <c r="A334" s="14">
        <f t="shared" si="59"/>
        <v>333</v>
      </c>
      <c r="B334" s="14">
        <f t="shared" si="61"/>
        <v>35.365097862825515</v>
      </c>
      <c r="C334" s="14">
        <f t="shared" si="62"/>
        <v>15.190142503906795</v>
      </c>
      <c r="F334" s="20">
        <f t="shared" si="60"/>
        <v>112.50000000000031</v>
      </c>
      <c r="G334" s="20">
        <f t="shared" si="54"/>
        <v>20.851949702904715</v>
      </c>
      <c r="H334" s="20">
        <f t="shared" si="55"/>
        <v>24.771638597533855</v>
      </c>
      <c r="I334" s="20">
        <f t="shared" si="56"/>
        <v>147.49999999999997</v>
      </c>
      <c r="J334" s="20">
        <f t="shared" si="57"/>
        <v>16.307107740763023</v>
      </c>
      <c r="K334" s="20">
        <f t="shared" si="58"/>
        <v>25.626772356341064</v>
      </c>
    </row>
    <row r="335" spans="1:11">
      <c r="A335" s="14">
        <f t="shared" si="59"/>
        <v>334</v>
      </c>
      <c r="B335" s="14">
        <f t="shared" si="61"/>
        <v>35.481910694487503</v>
      </c>
      <c r="C335" s="14">
        <f t="shared" si="62"/>
        <v>15.424432798163833</v>
      </c>
      <c r="F335" s="20">
        <f t="shared" si="60"/>
        <v>113.20000000000032</v>
      </c>
      <c r="G335" s="20">
        <f t="shared" si="54"/>
        <v>20.818174271227132</v>
      </c>
      <c r="H335" s="20">
        <f t="shared" si="55"/>
        <v>24.757406017765696</v>
      </c>
      <c r="I335" s="20">
        <f t="shared" si="56"/>
        <v>148.19999999999996</v>
      </c>
      <c r="J335" s="20">
        <f t="shared" si="57"/>
        <v>16.263224322338672</v>
      </c>
      <c r="K335" s="20">
        <f t="shared" si="58"/>
        <v>25.556951619602579</v>
      </c>
    </row>
    <row r="336" spans="1:11">
      <c r="A336" s="14">
        <f t="shared" si="59"/>
        <v>335</v>
      </c>
      <c r="B336" s="14">
        <f t="shared" si="61"/>
        <v>35.594616805549748</v>
      </c>
      <c r="C336" s="14">
        <f t="shared" si="62"/>
        <v>15.660726073889512</v>
      </c>
      <c r="F336" s="20">
        <f t="shared" si="60"/>
        <v>113.90000000000032</v>
      </c>
      <c r="G336" s="20">
        <f t="shared" si="54"/>
        <v>20.784575239660398</v>
      </c>
      <c r="H336" s="20">
        <f t="shared" si="55"/>
        <v>24.742761865702786</v>
      </c>
      <c r="I336" s="20">
        <f t="shared" si="56"/>
        <v>148.89999999999995</v>
      </c>
      <c r="J336" s="20">
        <f t="shared" si="57"/>
        <v>16.220197178947789</v>
      </c>
      <c r="K336" s="20">
        <f t="shared" si="58"/>
        <v>25.486599969849838</v>
      </c>
    </row>
    <row r="337" spans="1:11">
      <c r="A337" s="14">
        <f t="shared" si="59"/>
        <v>336</v>
      </c>
      <c r="B337" s="14">
        <f t="shared" si="61"/>
        <v>35.703181864639014</v>
      </c>
      <c r="C337" s="14">
        <f t="shared" si="62"/>
        <v>15.898950353862997</v>
      </c>
      <c r="F337" s="20">
        <f t="shared" si="60"/>
        <v>114.60000000000032</v>
      </c>
      <c r="G337" s="20">
        <f t="shared" si="54"/>
        <v>20.751157623218781</v>
      </c>
      <c r="H337" s="20">
        <f t="shared" si="55"/>
        <v>24.727708327141197</v>
      </c>
      <c r="I337" s="20">
        <f t="shared" si="56"/>
        <v>149.59999999999994</v>
      </c>
      <c r="J337" s="20">
        <f t="shared" si="57"/>
        <v>16.178032732851015</v>
      </c>
      <c r="K337" s="20">
        <f t="shared" si="58"/>
        <v>25.415727907817864</v>
      </c>
    </row>
    <row r="338" spans="1:11">
      <c r="A338" s="14">
        <f t="shared" si="59"/>
        <v>337</v>
      </c>
      <c r="B338" s="14">
        <f t="shared" si="61"/>
        <v>35.807572801786606</v>
      </c>
      <c r="C338" s="14">
        <f t="shared" si="62"/>
        <v>16.139033072660894</v>
      </c>
      <c r="F338" s="20">
        <f t="shared" ref="F338:F369" si="63">MOD(F337-$E$6*$H$207,360)</f>
        <v>115.30000000000032</v>
      </c>
      <c r="G338" s="20">
        <f t="shared" si="54"/>
        <v>20.717926409838409</v>
      </c>
      <c r="H338" s="20">
        <f t="shared" si="55"/>
        <v>24.712247648982327</v>
      </c>
      <c r="I338" s="20">
        <f t="shared" si="56"/>
        <v>150.29999999999993</v>
      </c>
      <c r="J338" s="20">
        <f t="shared" si="57"/>
        <v>16.136737277542213</v>
      </c>
      <c r="K338" s="20">
        <f t="shared" si="58"/>
        <v>25.344346011918759</v>
      </c>
    </row>
    <row r="339" spans="1:11">
      <c r="A339" s="14">
        <f t="shared" si="59"/>
        <v>338</v>
      </c>
      <c r="B339" s="14">
        <f t="shared" si="61"/>
        <v>35.907757818501807</v>
      </c>
      <c r="C339" s="14">
        <f t="shared" si="62"/>
        <v>16.380901098761314</v>
      </c>
      <c r="F339" s="20">
        <f t="shared" si="63"/>
        <v>116.00000000000033</v>
      </c>
      <c r="G339" s="20">
        <f t="shared" ref="G339:G402" si="64">COS(F339/180*PI())*$E$1*$M$17+$E$2</f>
        <v>20.684886559632751</v>
      </c>
      <c r="H339" s="20">
        <f t="shared" ref="H339:H402" si="65">SIN(F339/180*PI())*$E$1*$M$17+$E$3</f>
        <v>24.696382138897494</v>
      </c>
      <c r="I339" s="20">
        <f t="shared" ref="I339:I402" si="66">MOD(I338-$E$6*$K$207,360)</f>
        <v>150.99999999999991</v>
      </c>
      <c r="J339" s="20">
        <f t="shared" ref="J339:J402" si="67">COS(I339/180*PI())*$E$1*$M$21+$E$2</f>
        <v>16.096316976809085</v>
      </c>
      <c r="K339" s="20">
        <f t="shared" ref="K339:K402" si="68">SIN(I339/180*PI())*$E$1*$M$21+$E$3</f>
        <v>25.272464936662786</v>
      </c>
    </row>
    <row r="340" spans="1:11">
      <c r="A340" s="14">
        <f t="shared" si="59"/>
        <v>339</v>
      </c>
      <c r="B340" s="14">
        <f t="shared" si="61"/>
        <v>36.003706397458025</v>
      </c>
      <c r="C340" s="14">
        <f t="shared" si="62"/>
        <v>16.624480756820489</v>
      </c>
      <c r="F340" s="20">
        <f t="shared" si="63"/>
        <v>116.70000000000033</v>
      </c>
      <c r="G340" s="20">
        <f t="shared" si="64"/>
        <v>20.652043004152294</v>
      </c>
      <c r="H340" s="20">
        <f t="shared" si="65"/>
        <v>24.680114164983504</v>
      </c>
      <c r="I340" s="20">
        <f t="shared" si="66"/>
        <v>151.6999999999999</v>
      </c>
      <c r="J340" s="20">
        <f t="shared" si="67"/>
        <v>16.05677786381316</v>
      </c>
      <c r="K340" s="20">
        <f t="shared" si="68"/>
        <v>25.200095411068045</v>
      </c>
    </row>
    <row r="341" spans="1:11">
      <c r="A341" s="14">
        <f t="shared" si="59"/>
        <v>340</v>
      </c>
      <c r="B341" s="14">
        <f t="shared" si="61"/>
        <v>36.095389311788622</v>
      </c>
      <c r="C341" s="14">
        <f t="shared" si="62"/>
        <v>16.86969785011496</v>
      </c>
      <c r="F341" s="20">
        <f t="shared" si="63"/>
        <v>117.40000000000033</v>
      </c>
      <c r="G341" s="20">
        <f t="shared" si="64"/>
        <v>20.61940064564843</v>
      </c>
      <c r="H341" s="20">
        <f t="shared" si="65"/>
        <v>24.663446155409197</v>
      </c>
      <c r="I341" s="20">
        <f t="shared" si="66"/>
        <v>152.39999999999989</v>
      </c>
      <c r="J341" s="20">
        <f t="shared" si="67"/>
        <v>16.018125840189306</v>
      </c>
      <c r="K341" s="20">
        <f t="shared" si="68"/>
        <v>25.127248237059078</v>
      </c>
    </row>
    <row r="342" spans="1:11">
      <c r="A342" s="14">
        <f t="shared" si="59"/>
        <v>341</v>
      </c>
      <c r="B342" s="14">
        <f t="shared" si="61"/>
        <v>36.182778633989756</v>
      </c>
      <c r="C342" s="14">
        <f t="shared" si="62"/>
        <v>17.116477683142648</v>
      </c>
      <c r="F342" s="20">
        <f t="shared" si="63"/>
        <v>118.10000000000034</v>
      </c>
      <c r="G342" s="20">
        <f t="shared" si="64"/>
        <v>20.586964356341753</v>
      </c>
      <c r="H342" s="20">
        <f t="shared" si="65"/>
        <v>24.646380598052996</v>
      </c>
      <c r="I342" s="20">
        <f t="shared" si="66"/>
        <v>153.09999999999988</v>
      </c>
      <c r="J342" s="20">
        <f t="shared" si="67"/>
        <v>15.980366675164813</v>
      </c>
      <c r="K342" s="20">
        <f t="shared" si="68"/>
        <v>25.053934287854549</v>
      </c>
    </row>
    <row r="343" spans="1:11">
      <c r="A343" s="14">
        <f t="shared" ref="A343:A361" si="69">A342+1</f>
        <v>342</v>
      </c>
      <c r="B343" s="14">
        <f t="shared" si="61"/>
        <v>36.265847744427305</v>
      </c>
      <c r="C343" s="14">
        <f t="shared" si="62"/>
        <v>17.364745084375784</v>
      </c>
      <c r="F343" s="20">
        <f t="shared" si="63"/>
        <v>118.80000000000034</v>
      </c>
      <c r="G343" s="20">
        <f t="shared" si="64"/>
        <v>20.554738977694839</v>
      </c>
      <c r="H343" s="20">
        <f t="shared" si="65"/>
        <v>24.628920040131582</v>
      </c>
      <c r="I343" s="20">
        <f t="shared" si="66"/>
        <v>153.79999999999987</v>
      </c>
      <c r="J343" s="20">
        <f t="shared" si="67"/>
        <v>15.943506004698289</v>
      </c>
      <c r="K343" s="20">
        <f t="shared" si="68"/>
        <v>24.980164506344295</v>
      </c>
    </row>
    <row r="344" spans="1:11">
      <c r="A344" s="14">
        <f t="shared" si="69"/>
        <v>343</v>
      </c>
      <c r="B344" s="14">
        <f t="shared" si="61"/>
        <v>36.34457133944553</v>
      </c>
      <c r="C344" s="14">
        <f t="shared" si="62"/>
        <v>17.614424429158944</v>
      </c>
      <c r="F344" s="20">
        <f t="shared" si="63"/>
        <v>119.50000000000034</v>
      </c>
      <c r="G344" s="20">
        <f t="shared" si="64"/>
        <v>20.522729319689585</v>
      </c>
      <c r="H344" s="20">
        <f t="shared" si="65"/>
        <v>24.611067087819691</v>
      </c>
      <c r="I344" s="20">
        <f t="shared" si="66"/>
        <v>154.49999999999986</v>
      </c>
      <c r="J344" s="20">
        <f t="shared" si="67"/>
        <v>15.907549330638448</v>
      </c>
      <c r="K344" s="20">
        <f t="shared" si="68"/>
        <v>24.905949903456008</v>
      </c>
    </row>
    <row r="345" spans="1:11">
      <c r="A345" s="14">
        <f t="shared" si="69"/>
        <v>344</v>
      </c>
      <c r="B345" s="14">
        <f t="shared" si="61"/>
        <v>36.418925439074783</v>
      </c>
      <c r="C345" s="14">
        <f t="shared" si="62"/>
        <v>17.865439662745015</v>
      </c>
      <c r="F345" s="20">
        <f t="shared" si="63"/>
        <v>120.20000000000034</v>
      </c>
      <c r="G345" s="20">
        <f t="shared" si="64"/>
        <v>20.490940160109279</v>
      </c>
      <c r="H345" s="20">
        <f t="shared" si="65"/>
        <v>24.592824405861105</v>
      </c>
      <c r="I345" s="20">
        <f t="shared" si="66"/>
        <v>155.19999999999985</v>
      </c>
      <c r="J345" s="20">
        <f t="shared" si="67"/>
        <v>15.872502019902875</v>
      </c>
      <c r="K345" s="20">
        <f t="shared" si="68"/>
        <v>24.831301556511715</v>
      </c>
    </row>
    <row r="346" spans="1:11">
      <c r="A346" s="14">
        <f t="shared" si="69"/>
        <v>345</v>
      </c>
      <c r="B346" s="14">
        <f t="shared" si="61"/>
        <v>36.488887394336025</v>
      </c>
      <c r="C346" s="14">
        <f t="shared" si="62"/>
        <v>18.117714323462188</v>
      </c>
      <c r="F346" s="20">
        <f t="shared" si="63"/>
        <v>120.90000000000035</v>
      </c>
      <c r="G346" s="20">
        <f t="shared" si="64"/>
        <v>20.459376243825474</v>
      </c>
      <c r="H346" s="20">
        <f t="shared" si="65"/>
        <v>24.574194717170926</v>
      </c>
      <c r="I346" s="20">
        <f t="shared" si="66"/>
        <v>155.89999999999984</v>
      </c>
      <c r="J346" s="20">
        <f t="shared" si="67"/>
        <v>15.83836930367697</v>
      </c>
      <c r="K346" s="20">
        <f t="shared" si="68"/>
        <v>24.75623060757437</v>
      </c>
    </row>
    <row r="347" spans="1:11">
      <c r="A347" s="14">
        <f t="shared" si="69"/>
        <v>346</v>
      </c>
      <c r="B347" s="14">
        <f t="shared" si="61"/>
        <v>36.554435894139949</v>
      </c>
      <c r="C347" s="14">
        <f t="shared" si="62"/>
        <v>18.371171566004982</v>
      </c>
      <c r="F347" s="20">
        <f t="shared" si="63"/>
        <v>121.60000000000035</v>
      </c>
      <c r="G347" s="20">
        <f t="shared" si="64"/>
        <v>20.428042282089748</v>
      </c>
      <c r="H347" s="20">
        <f t="shared" si="65"/>
        <v>24.555180802429135</v>
      </c>
      <c r="I347" s="20">
        <f t="shared" si="66"/>
        <v>156.59999999999982</v>
      </c>
      <c r="J347" s="20">
        <f t="shared" si="67"/>
        <v>15.805156276633134</v>
      </c>
      <c r="K347" s="20">
        <f t="shared" si="68"/>
        <v>24.680748261784789</v>
      </c>
    </row>
    <row r="348" spans="1:11">
      <c r="A348" s="14">
        <f t="shared" si="69"/>
        <v>347</v>
      </c>
      <c r="B348" s="14">
        <f t="shared" si="61"/>
        <v>36.615550971778525</v>
      </c>
      <c r="C348" s="14">
        <f t="shared" si="62"/>
        <v>18.62573418484202</v>
      </c>
      <c r="F348" s="20">
        <f t="shared" si="63"/>
        <v>122.30000000000035</v>
      </c>
      <c r="G348" s="20">
        <f t="shared" si="64"/>
        <v>20.396942951830503</v>
      </c>
      <c r="H348" s="20">
        <f t="shared" si="65"/>
        <v>24.535785499665558</v>
      </c>
      <c r="I348" s="20">
        <f t="shared" si="66"/>
        <v>157.29999999999981</v>
      </c>
      <c r="J348" s="20">
        <f t="shared" si="67"/>
        <v>15.772867896170347</v>
      </c>
      <c r="K348" s="20">
        <f t="shared" si="68"/>
        <v>24.604865785689171</v>
      </c>
    </row>
    <row r="349" spans="1:11">
      <c r="A349" s="14">
        <f t="shared" si="69"/>
        <v>348</v>
      </c>
      <c r="B349" s="14">
        <f t="shared" si="61"/>
        <v>36.672214011007085</v>
      </c>
      <c r="C349" s="14">
        <f t="shared" si="62"/>
        <v>18.881324637733602</v>
      </c>
      <c r="F349" s="20">
        <f t="shared" si="63"/>
        <v>123.00000000000036</v>
      </c>
      <c r="G349" s="20">
        <f t="shared" si="64"/>
        <v>20.366082894954904</v>
      </c>
      <c r="H349" s="20">
        <f t="shared" si="65"/>
        <v>24.516011703836263</v>
      </c>
      <c r="I349" s="20">
        <f t="shared" si="66"/>
        <v>157.9999999999998</v>
      </c>
      <c r="J349" s="20">
        <f t="shared" si="67"/>
        <v>15.741508981674194</v>
      </c>
      <c r="K349" s="20">
        <f t="shared" si="68"/>
        <v>24.528594505557429</v>
      </c>
    </row>
    <row r="350" spans="1:11">
      <c r="A350" s="14">
        <f t="shared" si="69"/>
        <v>349</v>
      </c>
      <c r="B350" s="14">
        <f t="shared" si="61"/>
        <v>36.724407751714963</v>
      </c>
      <c r="C350" s="14">
        <f t="shared" si="62"/>
        <v>19.137865069351829</v>
      </c>
      <c r="F350" s="20">
        <f t="shared" si="63"/>
        <v>123.70000000000036</v>
      </c>
      <c r="G350" s="20">
        <f t="shared" si="64"/>
        <v>20.335466717655986</v>
      </c>
      <c r="H350" s="20">
        <f t="shared" si="65"/>
        <v>24.495862366391439</v>
      </c>
      <c r="I350" s="20">
        <f t="shared" si="66"/>
        <v>158.69999999999979</v>
      </c>
      <c r="J350" s="20">
        <f t="shared" si="67"/>
        <v>15.711084213797552</v>
      </c>
      <c r="K350" s="20">
        <f t="shared" si="68"/>
        <v>24.451945805692628</v>
      </c>
    </row>
    <row r="351" spans="1:11">
      <c r="A351" s="14">
        <f t="shared" si="69"/>
        <v>350</v>
      </c>
      <c r="B351" s="14">
        <f t="shared" si="61"/>
        <v>36.772116295183125</v>
      </c>
      <c r="C351" s="14">
        <f t="shared" si="62"/>
        <v>19.395277334996045</v>
      </c>
      <c r="F351" s="20">
        <f t="shared" si="63"/>
        <v>124.40000000000036</v>
      </c>
      <c r="G351" s="20">
        <f t="shared" si="64"/>
        <v>20.30509898972517</v>
      </c>
      <c r="H351" s="20">
        <f t="shared" si="65"/>
        <v>24.475340494834875</v>
      </c>
      <c r="I351" s="20">
        <f t="shared" si="66"/>
        <v>159.39999999999978</v>
      </c>
      <c r="J351" s="20">
        <f t="shared" si="67"/>
        <v>15.681598133761939</v>
      </c>
      <c r="K351" s="20">
        <f t="shared" si="68"/>
        <v>24.374931126731763</v>
      </c>
    </row>
    <row r="352" spans="1:11">
      <c r="A352" s="14">
        <f t="shared" si="69"/>
        <v>351</v>
      </c>
      <c r="B352" s="14">
        <f t="shared" si="61"/>
        <v>36.815325108927063</v>
      </c>
      <c r="C352" s="14">
        <f t="shared" si="62"/>
        <v>19.653483024396532</v>
      </c>
      <c r="F352" s="20">
        <f t="shared" si="63"/>
        <v>125.10000000000036</v>
      </c>
      <c r="G352" s="20">
        <f t="shared" si="64"/>
        <v>20.274984243870151</v>
      </c>
      <c r="H352" s="20">
        <f t="shared" si="65"/>
        <v>24.45444915227506</v>
      </c>
      <c r="I352" s="20">
        <f t="shared" si="66"/>
        <v>160.09999999999977</v>
      </c>
      <c r="J352" s="20">
        <f t="shared" si="67"/>
        <v>15.653055142679683</v>
      </c>
      <c r="K352" s="20">
        <f t="shared" si="68"/>
        <v>24.297561963938115</v>
      </c>
    </row>
    <row r="353" spans="1:11">
      <c r="A353" s="14">
        <f t="shared" si="69"/>
        <v>352</v>
      </c>
      <c r="B353" s="14">
        <f t="shared" si="61"/>
        <v>36.854021031123551</v>
      </c>
      <c r="C353" s="14">
        <f t="shared" si="62"/>
        <v>19.912403485599011</v>
      </c>
      <c r="F353" s="20">
        <f t="shared" si="63"/>
        <v>125.80000000000037</v>
      </c>
      <c r="G353" s="20">
        <f t="shared" si="64"/>
        <v>20.245126975038339</v>
      </c>
      <c r="H353" s="20">
        <f t="shared" si="65"/>
        <v>24.433191456967968</v>
      </c>
      <c r="I353" s="20">
        <f t="shared" si="66"/>
        <v>160.79999999999976</v>
      </c>
      <c r="J353" s="20">
        <f t="shared" si="67"/>
        <v>15.625459500897012</v>
      </c>
      <c r="K353" s="20">
        <f t="shared" si="68"/>
        <v>24.219849865485465</v>
      </c>
    </row>
    <row r="354" spans="1:11">
      <c r="A354" s="14">
        <f t="shared" si="69"/>
        <v>353</v>
      </c>
      <c r="B354" s="14">
        <f t="shared" si="61"/>
        <v>36.888192274619826</v>
      </c>
      <c r="C354" s="14">
        <f t="shared" si="62"/>
        <v>20.171959848922778</v>
      </c>
      <c r="F354" s="20">
        <f t="shared" si="63"/>
        <v>126.50000000000037</v>
      </c>
      <c r="G354" s="20">
        <f t="shared" si="64"/>
        <v>20.215531639745961</v>
      </c>
      <c r="H354" s="20">
        <f t="shared" si="65"/>
        <v>24.411570581851642</v>
      </c>
      <c r="I354" s="20">
        <f t="shared" si="66"/>
        <v>161.49999999999974</v>
      </c>
      <c r="J354" s="20">
        <f t="shared" si="67"/>
        <v>15.598815327358164</v>
      </c>
      <c r="K354" s="20">
        <f t="shared" si="68"/>
        <v>24.141806430734402</v>
      </c>
    </row>
    <row r="355" spans="1:11">
      <c r="A355" s="14">
        <f t="shared" si="69"/>
        <v>354</v>
      </c>
      <c r="B355" s="14">
        <f t="shared" si="61"/>
        <v>36.917828430524096</v>
      </c>
      <c r="C355" s="14">
        <f t="shared" si="62"/>
        <v>20.432073050985185</v>
      </c>
      <c r="F355" s="20">
        <f t="shared" si="63"/>
        <v>127.20000000000037</v>
      </c>
      <c r="G355" s="20">
        <f t="shared" si="64"/>
        <v>20.18620265541286</v>
      </c>
      <c r="H355" s="20">
        <f t="shared" si="65"/>
        <v>24.389589754072578</v>
      </c>
      <c r="I355" s="20">
        <f t="shared" si="66"/>
        <v>162.19999999999973</v>
      </c>
      <c r="J355" s="20">
        <f t="shared" si="67"/>
        <v>15.573126598990573</v>
      </c>
      <c r="K355" s="20">
        <f t="shared" si="68"/>
        <v>24.063443308500993</v>
      </c>
    </row>
    <row r="356" spans="1:11">
      <c r="A356" s="14">
        <f t="shared" si="69"/>
        <v>355</v>
      </c>
      <c r="B356" s="14">
        <f t="shared" si="61"/>
        <v>36.942920471376183</v>
      </c>
      <c r="C356" s="14">
        <f t="shared" si="62"/>
        <v>20.692663858785124</v>
      </c>
      <c r="F356" s="20">
        <f t="shared" si="63"/>
        <v>127.90000000000038</v>
      </c>
      <c r="G356" s="20">
        <f t="shared" si="64"/>
        <v>20.157144399703157</v>
      </c>
      <c r="H356" s="20">
        <f t="shared" si="65"/>
        <v>24.367252254504059</v>
      </c>
      <c r="I356" s="20">
        <f t="shared" si="66"/>
        <v>162.89999999999972</v>
      </c>
      <c r="J356" s="20">
        <f t="shared" si="67"/>
        <v>15.548397150111281</v>
      </c>
      <c r="K356" s="20">
        <f t="shared" si="68"/>
        <v>23.984772195318087</v>
      </c>
    </row>
    <row r="357" spans="1:11">
      <c r="A357" s="14">
        <f t="shared" si="69"/>
        <v>356</v>
      </c>
      <c r="B357" s="14">
        <f t="shared" si="61"/>
        <v>36.963460753897365</v>
      </c>
      <c r="C357" s="14">
        <f t="shared" si="62"/>
        <v>20.953652893838115</v>
      </c>
      <c r="F357" s="20">
        <f t="shared" si="63"/>
        <v>128.60000000000036</v>
      </c>
      <c r="G357" s="20">
        <f t="shared" si="64"/>
        <v>20.128361209871827</v>
      </c>
      <c r="H357" s="20">
        <f t="shared" si="65"/>
        <v>24.344561417256443</v>
      </c>
      <c r="I357" s="20">
        <f t="shared" si="66"/>
        <v>163.59999999999971</v>
      </c>
      <c r="J357" s="20">
        <f t="shared" si="67"/>
        <v>15.52463067185462</v>
      </c>
      <c r="K357" s="20">
        <f t="shared" si="68"/>
        <v>23.905804833689448</v>
      </c>
    </row>
    <row r="358" spans="1:11">
      <c r="A358" s="14">
        <f t="shared" si="69"/>
        <v>357</v>
      </c>
      <c r="B358" s="14">
        <f t="shared" si="61"/>
        <v>36.979443021318609</v>
      </c>
      <c r="C358" s="14">
        <f t="shared" si="62"/>
        <v>21.214960656355849</v>
      </c>
      <c r="F358" s="20">
        <f t="shared" si="63"/>
        <v>129.30000000000035</v>
      </c>
      <c r="G358" s="20">
        <f t="shared" si="64"/>
        <v>20.099857382117335</v>
      </c>
      <c r="H358" s="20">
        <f t="shared" si="65"/>
        <v>24.321520629179506</v>
      </c>
      <c r="I358" s="20">
        <f t="shared" si="66"/>
        <v>164.2999999999997</v>
      </c>
      <c r="J358" s="20">
        <f t="shared" si="67"/>
        <v>15.501830711621277</v>
      </c>
      <c r="K358" s="20">
        <f t="shared" si="68"/>
        <v>23.826553010337115</v>
      </c>
    </row>
    <row r="359" spans="1:11">
      <c r="A359" s="14">
        <f t="shared" si="69"/>
        <v>358</v>
      </c>
      <c r="B359" s="14">
        <f t="shared" si="61"/>
        <v>36.990862405286435</v>
      </c>
      <c r="C359" s="14">
        <f t="shared" si="62"/>
        <v>21.476507549462486</v>
      </c>
      <c r="F359" s="20">
        <f t="shared" si="63"/>
        <v>130.00000000000034</v>
      </c>
      <c r="G359" s="20">
        <f t="shared" si="64"/>
        <v>20.07163717094037</v>
      </c>
      <c r="H359" s="20">
        <f t="shared" si="65"/>
        <v>24.298133329356922</v>
      </c>
      <c r="I359" s="20">
        <f t="shared" si="66"/>
        <v>164.99999999999969</v>
      </c>
      <c r="J359" s="20">
        <f t="shared" si="67"/>
        <v>15.480000672548798</v>
      </c>
      <c r="K359" s="20">
        <f t="shared" si="68"/>
        <v>23.747028554442053</v>
      </c>
    </row>
    <row r="360" spans="1:11">
      <c r="A360" s="14">
        <f t="shared" si="69"/>
        <v>359</v>
      </c>
      <c r="B360" s="14">
        <f t="shared" si="61"/>
        <v>36.997715427345867</v>
      </c>
      <c r="C360" s="14">
        <f t="shared" si="62"/>
        <v>21.738213903440748</v>
      </c>
      <c r="F360" s="20">
        <f t="shared" si="63"/>
        <v>130.70000000000033</v>
      </c>
      <c r="G360" s="20">
        <f t="shared" si="64"/>
        <v>20.043704788508812</v>
      </c>
      <c r="H360" s="20">
        <f t="shared" si="65"/>
        <v>24.274403008592945</v>
      </c>
      <c r="I360" s="20">
        <f t="shared" si="66"/>
        <v>165.69999999999968</v>
      </c>
      <c r="J360" s="20">
        <f t="shared" si="67"/>
        <v>15.459143813003639</v>
      </c>
      <c r="K360" s="20">
        <f t="shared" si="68"/>
        <v>23.667243335878549</v>
      </c>
    </row>
    <row r="361" spans="1:11">
      <c r="A361" s="14">
        <f t="shared" si="69"/>
        <v>360</v>
      </c>
      <c r="B361" s="14">
        <f t="shared" si="61"/>
        <v>37</v>
      </c>
      <c r="C361" s="14">
        <f t="shared" si="62"/>
        <v>21.999999999999996</v>
      </c>
      <c r="F361" s="20">
        <f t="shared" si="63"/>
        <v>131.40000000000032</v>
      </c>
      <c r="G361" s="20">
        <f t="shared" si="64"/>
        <v>20.016064404029031</v>
      </c>
      <c r="H361" s="20">
        <f t="shared" si="65"/>
        <v>24.250333208891366</v>
      </c>
      <c r="I361" s="20">
        <f t="shared" si="66"/>
        <v>166.39999999999966</v>
      </c>
      <c r="J361" s="20">
        <f t="shared" si="67"/>
        <v>15.439263246094821</v>
      </c>
      <c r="K361" s="20">
        <f t="shared" si="68"/>
        <v>23.587209263442521</v>
      </c>
    </row>
    <row r="362" spans="1:11">
      <c r="F362" s="20">
        <f t="shared" si="63"/>
        <v>132.10000000000031</v>
      </c>
      <c r="G362" s="20">
        <f t="shared" si="64"/>
        <v>19.98872014312359</v>
      </c>
      <c r="H362" s="20">
        <f t="shared" si="65"/>
        <v>24.225927522926838</v>
      </c>
      <c r="I362" s="20">
        <f t="shared" si="66"/>
        <v>167.09999999999965</v>
      </c>
      <c r="J362" s="20">
        <f t="shared" si="67"/>
        <v>15.420361939209261</v>
      </c>
      <c r="K362" s="20">
        <f t="shared" si="68"/>
        <v>23.506938283073961</v>
      </c>
    </row>
    <row r="363" spans="1:11">
      <c r="F363" s="20">
        <f t="shared" si="63"/>
        <v>132.8000000000003</v>
      </c>
      <c r="G363" s="20">
        <f t="shared" si="64"/>
        <v>19.961676087215441</v>
      </c>
      <c r="H363" s="20">
        <f t="shared" si="65"/>
        <v>24.201189593508619</v>
      </c>
      <c r="I363" s="20">
        <f t="shared" si="66"/>
        <v>167.79999999999964</v>
      </c>
      <c r="J363" s="20">
        <f t="shared" si="67"/>
        <v>15.402442713568862</v>
      </c>
      <c r="K363" s="20">
        <f t="shared" si="68"/>
        <v>23.426442376073915</v>
      </c>
    </row>
    <row r="364" spans="1:11">
      <c r="F364" s="20">
        <f t="shared" si="63"/>
        <v>133.50000000000028</v>
      </c>
      <c r="G364" s="20">
        <f t="shared" si="64"/>
        <v>19.934936272918726</v>
      </c>
      <c r="H364" s="20">
        <f t="shared" si="65"/>
        <v>24.176123113036851</v>
      </c>
      <c r="I364" s="20">
        <f t="shared" si="66"/>
        <v>168.49999999999963</v>
      </c>
      <c r="J364" s="20">
        <f t="shared" si="67"/>
        <v>15.385508243809408</v>
      </c>
      <c r="K364" s="20">
        <f t="shared" si="68"/>
        <v>23.345733557316127</v>
      </c>
    </row>
    <row r="365" spans="1:11">
      <c r="F365" s="20">
        <f t="shared" si="63"/>
        <v>134.20000000000027</v>
      </c>
      <c r="G365" s="20">
        <f t="shared" si="64"/>
        <v>19.908504691436296</v>
      </c>
      <c r="H365" s="20">
        <f t="shared" si="65"/>
        <v>24.150731822951439</v>
      </c>
      <c r="I365" s="20">
        <f t="shared" si="66"/>
        <v>169.19999999999962</v>
      </c>
      <c r="J365" s="20">
        <f t="shared" si="67"/>
        <v>15.369561057581361</v>
      </c>
      <c r="K365" s="20">
        <f t="shared" si="68"/>
        <v>23.264823873453686</v>
      </c>
    </row>
    <row r="366" spans="1:11">
      <c r="F366" s="20">
        <f t="shared" si="63"/>
        <v>134.90000000000026</v>
      </c>
      <c r="G366" s="20">
        <f t="shared" si="64"/>
        <v>19.882385287963949</v>
      </c>
      <c r="H366" s="20">
        <f t="shared" si="65"/>
        <v>24.125019513173577</v>
      </c>
      <c r="I366" s="20">
        <f t="shared" si="66"/>
        <v>169.89999999999961</v>
      </c>
      <c r="J366" s="20">
        <f t="shared" si="67"/>
        <v>15.354603535172561</v>
      </c>
      <c r="K366" s="20">
        <f t="shared" si="68"/>
        <v>23.183725401120959</v>
      </c>
    </row>
    <row r="367" spans="1:11">
      <c r="F367" s="20">
        <f t="shared" si="63"/>
        <v>135.60000000000025</v>
      </c>
      <c r="G367" s="20">
        <f t="shared" si="64"/>
        <v>19.856581961101583</v>
      </c>
      <c r="H367" s="20">
        <f t="shared" si="65"/>
        <v>24.098990021540086</v>
      </c>
      <c r="I367" s="20">
        <f t="shared" si="66"/>
        <v>170.5999999999996</v>
      </c>
      <c r="J367" s="20">
        <f t="shared" si="67"/>
        <v>15.340637909152964</v>
      </c>
      <c r="K367" s="20">
        <f t="shared" si="68"/>
        <v>23.102450245130999</v>
      </c>
    </row>
    <row r="368" spans="1:11">
      <c r="F368" s="20">
        <f t="shared" si="63"/>
        <v>136.30000000000024</v>
      </c>
      <c r="G368" s="20">
        <f t="shared" si="64"/>
        <v>19.831098562271286</v>
      </c>
      <c r="H368" s="20">
        <f t="shared" si="65"/>
        <v>24.072647233230565</v>
      </c>
      <c r="I368" s="20">
        <f t="shared" si="66"/>
        <v>171.29999999999959</v>
      </c>
      <c r="J368" s="20">
        <f t="shared" si="67"/>
        <v>15.327666264041394</v>
      </c>
      <c r="K368" s="20">
        <f t="shared" si="68"/>
        <v>23.021010536668779</v>
      </c>
    </row>
    <row r="369" spans="6:11">
      <c r="F369" s="20">
        <f t="shared" si="63"/>
        <v>137.00000000000023</v>
      </c>
      <c r="G369" s="20">
        <f t="shared" si="64"/>
        <v>19.805938895142482</v>
      </c>
      <c r="H369" s="20">
        <f t="shared" si="65"/>
        <v>24.045995080187488</v>
      </c>
      <c r="I369" s="20">
        <f t="shared" si="66"/>
        <v>171.99999999999957</v>
      </c>
      <c r="J369" s="20">
        <f t="shared" si="67"/>
        <v>15.315690535994406</v>
      </c>
      <c r="K369" s="20">
        <f t="shared" si="68"/>
        <v>22.939418431480494</v>
      </c>
    </row>
    <row r="370" spans="6:11">
      <c r="F370" s="20">
        <f t="shared" ref="F370:F401" si="70">MOD(F369-$E$6*$H$207,360)</f>
        <v>137.70000000000022</v>
      </c>
      <c r="G370" s="20">
        <f t="shared" si="64"/>
        <v>19.781106715064162</v>
      </c>
      <c r="H370" s="20">
        <f t="shared" si="65"/>
        <v>24.019037540529311</v>
      </c>
      <c r="I370" s="20">
        <f t="shared" si="66"/>
        <v>172.69999999999956</v>
      </c>
      <c r="J370" s="20">
        <f t="shared" si="67"/>
        <v>15.304712512517305</v>
      </c>
      <c r="K370" s="20">
        <f t="shared" si="68"/>
        <v>22.857686108059166</v>
      </c>
    </row>
    <row r="371" spans="6:11">
      <c r="F371" s="20">
        <f t="shared" si="70"/>
        <v>138.4000000000002</v>
      </c>
      <c r="G371" s="20">
        <f t="shared" si="64"/>
        <v>19.756605728504397</v>
      </c>
      <c r="H371" s="20">
        <f t="shared" si="65"/>
        <v>23.991778637956717</v>
      </c>
      <c r="I371" s="20">
        <f t="shared" si="66"/>
        <v>173.39999999999955</v>
      </c>
      <c r="J371" s="20">
        <f t="shared" si="67"/>
        <v>15.294733832197331</v>
      </c>
      <c r="K371" s="20">
        <f t="shared" si="68"/>
        <v>22.775825765826905</v>
      </c>
    </row>
    <row r="372" spans="6:11">
      <c r="F372" s="20">
        <f t="shared" si="70"/>
        <v>139.10000000000019</v>
      </c>
      <c r="G372" s="20">
        <f t="shared" si="64"/>
        <v>19.732439592497073</v>
      </c>
      <c r="H372" s="20">
        <f t="shared" si="65"/>
        <v>23.96422244115201</v>
      </c>
      <c r="I372" s="20">
        <f t="shared" si="66"/>
        <v>174.09999999999954</v>
      </c>
      <c r="J372" s="20">
        <f t="shared" si="67"/>
        <v>15.28575598445908</v>
      </c>
      <c r="K372" s="20">
        <f t="shared" si="68"/>
        <v>22.693849623313973</v>
      </c>
    </row>
    <row r="373" spans="6:11">
      <c r="F373" s="20">
        <f t="shared" si="70"/>
        <v>139.80000000000018</v>
      </c>
      <c r="G373" s="20">
        <f t="shared" si="64"/>
        <v>19.708611914096068</v>
      </c>
      <c r="H373" s="20">
        <f t="shared" si="65"/>
        <v>23.936373063171846</v>
      </c>
      <c r="I373" s="20">
        <f t="shared" si="66"/>
        <v>174.79999999999953</v>
      </c>
      <c r="J373" s="20">
        <f t="shared" si="67"/>
        <v>15.277780309342205</v>
      </c>
      <c r="K373" s="20">
        <f t="shared" si="68"/>
        <v>22.611769916335071</v>
      </c>
    </row>
    <row r="374" spans="6:11">
      <c r="F374" s="20">
        <f t="shared" si="70"/>
        <v>140.50000000000017</v>
      </c>
      <c r="G374" s="20">
        <f t="shared" si="64"/>
        <v>19.685126249836834</v>
      </c>
      <c r="H374" s="20">
        <f t="shared" si="65"/>
        <v>23.908234660833283</v>
      </c>
      <c r="I374" s="20">
        <f t="shared" si="66"/>
        <v>175.49999999999952</v>
      </c>
      <c r="J374" s="20">
        <f t="shared" si="67"/>
        <v>15.270807997301391</v>
      </c>
      <c r="K374" s="20">
        <f t="shared" si="68"/>
        <v>22.529598896163012</v>
      </c>
    </row>
    <row r="375" spans="6:11">
      <c r="F375" s="20">
        <f t="shared" si="70"/>
        <v>141.20000000000016</v>
      </c>
      <c r="G375" s="20">
        <f t="shared" si="64"/>
        <v>19.661986105205571</v>
      </c>
      <c r="H375" s="20">
        <f t="shared" si="65"/>
        <v>23.879811434093376</v>
      </c>
      <c r="I375" s="20">
        <f t="shared" si="66"/>
        <v>176.19999999999951</v>
      </c>
      <c r="J375" s="20">
        <f t="shared" si="67"/>
        <v>15.264840089028667</v>
      </c>
      <c r="K375" s="20">
        <f t="shared" si="68"/>
        <v>22.447348827700061</v>
      </c>
    </row>
    <row r="376" spans="6:11">
      <c r="F376" s="20">
        <f t="shared" si="70"/>
        <v>141.90000000000015</v>
      </c>
      <c r="G376" s="20">
        <f t="shared" si="64"/>
        <v>19.639194934115984</v>
      </c>
      <c r="H376" s="20">
        <f t="shared" si="65"/>
        <v>23.851107625422241</v>
      </c>
      <c r="I376" s="20">
        <f t="shared" si="66"/>
        <v>176.89999999999949</v>
      </c>
      <c r="J376" s="20">
        <f t="shared" si="67"/>
        <v>15.259877475298074</v>
      </c>
      <c r="K376" s="20">
        <f t="shared" si="68"/>
        <v>22.365031987647292</v>
      </c>
    </row>
    <row r="377" spans="6:11">
      <c r="F377" s="20">
        <f t="shared" si="70"/>
        <v>142.60000000000014</v>
      </c>
      <c r="G377" s="20">
        <f t="shared" si="64"/>
        <v>19.61675613839374</v>
      </c>
      <c r="H377" s="20">
        <f t="shared" si="65"/>
        <v>23.822127519169854</v>
      </c>
      <c r="I377" s="20">
        <f t="shared" si="66"/>
        <v>177.59999999999948</v>
      </c>
      <c r="J377" s="20">
        <f t="shared" si="67"/>
        <v>15.255920896832709</v>
      </c>
      <c r="K377" s="20">
        <f t="shared" si="68"/>
        <v>22.282660662672157</v>
      </c>
    </row>
    <row r="378" spans="6:11">
      <c r="F378" s="20">
        <f t="shared" si="70"/>
        <v>143.30000000000013</v>
      </c>
      <c r="G378" s="20">
        <f t="shared" si="64"/>
        <v>19.594673067268733</v>
      </c>
      <c r="H378" s="20">
        <f t="shared" si="65"/>
        <v>23.792875440926558</v>
      </c>
      <c r="I378" s="20">
        <f t="shared" si="66"/>
        <v>178.29999999999947</v>
      </c>
      <c r="J378" s="20">
        <f t="shared" si="67"/>
        <v>15.252970944194159</v>
      </c>
      <c r="K378" s="20">
        <f t="shared" si="68"/>
        <v>22.200247147574562</v>
      </c>
    </row>
    <row r="379" spans="6:11">
      <c r="F379" s="20">
        <f t="shared" si="70"/>
        <v>144.00000000000011</v>
      </c>
      <c r="G379" s="20">
        <f t="shared" si="64"/>
        <v>19.572949016875153</v>
      </c>
      <c r="H379" s="20">
        <f t="shared" si="65"/>
        <v>23.763355756877417</v>
      </c>
      <c r="I379" s="20">
        <f t="shared" si="66"/>
        <v>178.99999999999946</v>
      </c>
      <c r="J379" s="20">
        <f t="shared" si="67"/>
        <v>15.251028057694359</v>
      </c>
      <c r="K379" s="20">
        <f t="shared" si="68"/>
        <v>22.117803743451731</v>
      </c>
    </row>
    <row r="380" spans="6:11">
      <c r="F380" s="20">
        <f t="shared" si="70"/>
        <v>144.7000000000001</v>
      </c>
      <c r="G380" s="20">
        <f t="shared" si="64"/>
        <v>19.551587229759516</v>
      </c>
      <c r="H380" s="20">
        <f t="shared" si="65"/>
        <v>23.733572873150511</v>
      </c>
      <c r="I380" s="20">
        <f t="shared" si="66"/>
        <v>179.69999999999945</v>
      </c>
      <c r="J380" s="20">
        <f t="shared" si="67"/>
        <v>15.250092527329869</v>
      </c>
      <c r="K380" s="20">
        <f t="shared" si="68"/>
        <v>22.035342755862146</v>
      </c>
    </row>
    <row r="381" spans="6:11">
      <c r="F381" s="20">
        <f t="shared" si="70"/>
        <v>145.40000000000009</v>
      </c>
      <c r="G381" s="20">
        <f t="shared" si="64"/>
        <v>19.530590894396671</v>
      </c>
      <c r="H381" s="20">
        <f t="shared" si="65"/>
        <v>23.7035312351593</v>
      </c>
      <c r="I381" s="20">
        <f t="shared" si="66"/>
        <v>180.39999999999944</v>
      </c>
      <c r="J381" s="20">
        <f t="shared" si="67"/>
        <v>15.250164492738584</v>
      </c>
      <c r="K381" s="20">
        <f t="shared" si="68"/>
        <v>21.952876492988828</v>
      </c>
    </row>
    <row r="382" spans="6:11">
      <c r="F382" s="20">
        <f t="shared" si="70"/>
        <v>146.10000000000008</v>
      </c>
      <c r="G382" s="20">
        <f t="shared" si="64"/>
        <v>19.509963144713893</v>
      </c>
      <c r="H382" s="20">
        <f t="shared" si="65"/>
        <v>23.673235326939068</v>
      </c>
      <c r="I382" s="20">
        <f t="shared" si="66"/>
        <v>181.09999999999943</v>
      </c>
      <c r="J382" s="20">
        <f t="shared" si="67"/>
        <v>15.251243943178899</v>
      </c>
      <c r="K382" s="20">
        <f t="shared" si="68"/>
        <v>21.870417263802164</v>
      </c>
    </row>
    <row r="383" spans="6:11">
      <c r="F383" s="20">
        <f t="shared" si="70"/>
        <v>146.80000000000007</v>
      </c>
      <c r="G383" s="20">
        <f t="shared" si="64"/>
        <v>19.489707059623115</v>
      </c>
      <c r="H383" s="20">
        <f t="shared" si="65"/>
        <v>23.642689670477647</v>
      </c>
      <c r="I383" s="20">
        <f t="shared" si="66"/>
        <v>181.79999999999941</v>
      </c>
      <c r="J383" s="20">
        <f t="shared" si="67"/>
        <v>15.253330717531309</v>
      </c>
      <c r="K383" s="20">
        <f t="shared" si="68"/>
        <v>21.787977376222706</v>
      </c>
    </row>
    <row r="384" spans="6:11">
      <c r="F384" s="20">
        <f t="shared" si="70"/>
        <v>147.50000000000006</v>
      </c>
      <c r="G384" s="20">
        <f t="shared" si="64"/>
        <v>19.469825662561341</v>
      </c>
      <c r="H384" s="20">
        <f t="shared" si="65"/>
        <v>23.61189882504047</v>
      </c>
      <c r="I384" s="20">
        <f t="shared" si="66"/>
        <v>182.4999999999994</v>
      </c>
      <c r="J384" s="20">
        <f t="shared" si="67"/>
        <v>15.256424504322457</v>
      </c>
      <c r="K384" s="20">
        <f t="shared" si="68"/>
        <v>21.705569135284055</v>
      </c>
    </row>
    <row r="385" spans="6:11">
      <c r="F385" s="20">
        <f t="shared" si="70"/>
        <v>148.20000000000005</v>
      </c>
      <c r="G385" s="20">
        <f t="shared" si="64"/>
        <v>19.450321921039407</v>
      </c>
      <c r="H385" s="20">
        <f t="shared" si="65"/>
        <v>23.580867386490031</v>
      </c>
      <c r="I385" s="20">
        <f t="shared" si="66"/>
        <v>183.19999999999939</v>
      </c>
      <c r="J385" s="20">
        <f t="shared" si="67"/>
        <v>15.260524841771623</v>
      </c>
      <c r="K385" s="20">
        <f t="shared" si="68"/>
        <v>21.623204841296218</v>
      </c>
    </row>
    <row r="386" spans="6:11">
      <c r="F386" s="20">
        <f t="shared" si="70"/>
        <v>148.90000000000003</v>
      </c>
      <c r="G386" s="20">
        <f t="shared" si="64"/>
        <v>19.431198746199016</v>
      </c>
      <c r="H386" s="20">
        <f t="shared" si="65"/>
        <v>23.549599986599926</v>
      </c>
      <c r="I386" s="20">
        <f t="shared" si="66"/>
        <v>183.89999999999938</v>
      </c>
      <c r="J386" s="20">
        <f t="shared" si="67"/>
        <v>15.265631117859659</v>
      </c>
      <c r="K386" s="20">
        <f t="shared" si="68"/>
        <v>21.54089678800965</v>
      </c>
    </row>
    <row r="387" spans="6:11">
      <c r="F387" s="20">
        <f t="shared" si="70"/>
        <v>149.60000000000002</v>
      </c>
      <c r="G387" s="20">
        <f t="shared" si="64"/>
        <v>19.412458992378227</v>
      </c>
      <c r="H387" s="20">
        <f t="shared" si="65"/>
        <v>23.51810129236349</v>
      </c>
      <c r="I387" s="20">
        <f t="shared" si="66"/>
        <v>184.59999999999937</v>
      </c>
      <c r="J387" s="20">
        <f t="shared" si="67"/>
        <v>15.271742570420326</v>
      </c>
      <c r="K387" s="20">
        <f t="shared" si="68"/>
        <v>21.458657260780278</v>
      </c>
    </row>
    <row r="388" spans="6:11">
      <c r="F388" s="20">
        <f t="shared" si="70"/>
        <v>150.30000000000001</v>
      </c>
      <c r="G388" s="20">
        <f t="shared" si="64"/>
        <v>19.394105456685427</v>
      </c>
      <c r="H388" s="20">
        <f t="shared" si="65"/>
        <v>23.486376005297224</v>
      </c>
      <c r="I388" s="20">
        <f t="shared" si="66"/>
        <v>185.29999999999936</v>
      </c>
      <c r="J388" s="20">
        <f t="shared" si="67"/>
        <v>15.278858287254064</v>
      </c>
      <c r="K388" s="20">
        <f t="shared" si="68"/>
        <v>21.376498534735788</v>
      </c>
    </row>
    <row r="389" spans="6:11">
      <c r="F389" s="20">
        <f t="shared" si="70"/>
        <v>151</v>
      </c>
      <c r="G389" s="20">
        <f t="shared" si="64"/>
        <v>19.376140878581811</v>
      </c>
      <c r="H389" s="20">
        <f t="shared" si="65"/>
        <v>23.454428860739011</v>
      </c>
      <c r="I389" s="20">
        <f t="shared" si="66"/>
        <v>185.99999999999935</v>
      </c>
      <c r="J389" s="20">
        <f t="shared" si="67"/>
        <v>15.286977206264147</v>
      </c>
      <c r="K389" s="20">
        <f t="shared" si="68"/>
        <v>21.294432872943418</v>
      </c>
    </row>
    <row r="390" spans="6:11">
      <c r="F390" s="20">
        <f t="shared" si="70"/>
        <v>151.69999999999999</v>
      </c>
      <c r="G390" s="20">
        <f t="shared" si="64"/>
        <v>19.358567939472515</v>
      </c>
      <c r="H390" s="20">
        <f t="shared" si="65"/>
        <v>23.422264627141349</v>
      </c>
      <c r="I390" s="20">
        <f t="shared" si="66"/>
        <v>186.69999999999933</v>
      </c>
      <c r="J390" s="20">
        <f t="shared" si="67"/>
        <v>15.296098115615209</v>
      </c>
      <c r="K390" s="20">
        <f t="shared" si="68"/>
        <v>21.212472524579582</v>
      </c>
    </row>
    <row r="391" spans="6:11">
      <c r="F391" s="20">
        <f t="shared" si="70"/>
        <v>152.39999999999998</v>
      </c>
      <c r="G391" s="20">
        <f t="shared" si="64"/>
        <v>19.341389262306357</v>
      </c>
      <c r="H391" s="20">
        <f t="shared" si="65"/>
        <v>23.389888105359585</v>
      </c>
      <c r="I391" s="20">
        <f t="shared" si="66"/>
        <v>187.39999999999932</v>
      </c>
      <c r="J391" s="20">
        <f t="shared" si="67"/>
        <v>15.30621965391413</v>
      </c>
      <c r="K391" s="20">
        <f t="shared" si="68"/>
        <v>21.130629723101531</v>
      </c>
    </row>
    <row r="392" spans="6:11">
      <c r="F392" s="20">
        <f t="shared" si="70"/>
        <v>153.09999999999997</v>
      </c>
      <c r="G392" s="20">
        <f t="shared" si="64"/>
        <v>19.32460741118436</v>
      </c>
      <c r="H392" s="20">
        <f t="shared" si="65"/>
        <v>23.35730412793535</v>
      </c>
      <c r="I392" s="20">
        <f t="shared" si="66"/>
        <v>188.09999999999931</v>
      </c>
      <c r="J392" s="20">
        <f t="shared" si="67"/>
        <v>15.317340310413226</v>
      </c>
      <c r="K392" s="20">
        <f t="shared" si="68"/>
        <v>21.048916684421396</v>
      </c>
    </row>
    <row r="393" spans="6:11">
      <c r="F393" s="20">
        <f t="shared" si="70"/>
        <v>153.79999999999995</v>
      </c>
      <c r="G393" s="20">
        <f t="shared" si="64"/>
        <v>19.308224890977016</v>
      </c>
      <c r="H393" s="20">
        <f t="shared" si="65"/>
        <v>23.324517558375238</v>
      </c>
      <c r="I393" s="20">
        <f t="shared" si="66"/>
        <v>188.7999999999993</v>
      </c>
      <c r="J393" s="20">
        <f t="shared" si="67"/>
        <v>15.329458425235757</v>
      </c>
      <c r="K393" s="20">
        <f t="shared" si="68"/>
        <v>20.967345605082826</v>
      </c>
    </row>
    <row r="394" spans="6:11">
      <c r="F394" s="20">
        <f t="shared" si="70"/>
        <v>154.49999999999994</v>
      </c>
      <c r="G394" s="20">
        <f t="shared" si="64"/>
        <v>19.29224414695042</v>
      </c>
      <c r="H394" s="20">
        <f t="shared" si="65"/>
        <v>23.291533290424887</v>
      </c>
      <c r="I394" s="20">
        <f t="shared" si="66"/>
        <v>189.49999999999929</v>
      </c>
      <c r="J394" s="20">
        <f t="shared" si="67"/>
        <v>15.342572189623674</v>
      </c>
      <c r="K394" s="20">
        <f t="shared" si="68"/>
        <v>20.885928660440509</v>
      </c>
    </row>
    <row r="395" spans="6:11">
      <c r="F395" s="20">
        <f t="shared" si="70"/>
        <v>155.19999999999993</v>
      </c>
      <c r="G395" s="20">
        <f t="shared" si="64"/>
        <v>19.276667564401276</v>
      </c>
      <c r="H395" s="20">
        <f t="shared" si="65"/>
        <v>23.258356247338533</v>
      </c>
      <c r="I395" s="20">
        <f t="shared" si="66"/>
        <v>190.19999999999928</v>
      </c>
      <c r="J395" s="20">
        <f t="shared" si="67"/>
        <v>15.356679646207603</v>
      </c>
      <c r="K395" s="20">
        <f t="shared" si="68"/>
        <v>20.804678002842898</v>
      </c>
    </row>
    <row r="396" spans="6:11">
      <c r="F396" s="20">
        <f t="shared" si="70"/>
        <v>155.89999999999992</v>
      </c>
      <c r="G396" s="20">
        <f t="shared" si="64"/>
        <v>19.261497468300874</v>
      </c>
      <c r="H396" s="20">
        <f t="shared" si="65"/>
        <v>23.224991381144157</v>
      </c>
      <c r="I396" s="20">
        <f t="shared" si="66"/>
        <v>190.89999999999927</v>
      </c>
      <c r="J396" s="20">
        <f t="shared" si="67"/>
        <v>15.371778689298988</v>
      </c>
      <c r="K396" s="20">
        <f t="shared" si="68"/>
        <v>20.723605759818319</v>
      </c>
    </row>
    <row r="397" spans="6:11">
      <c r="F397" s="20">
        <f t="shared" si="70"/>
        <v>156.59999999999991</v>
      </c>
      <c r="G397" s="20">
        <f t="shared" si="64"/>
        <v>19.246736122948057</v>
      </c>
      <c r="H397" s="20">
        <f t="shared" si="65"/>
        <v>23.191443671904345</v>
      </c>
      <c r="I397" s="20">
        <f t="shared" si="66"/>
        <v>191.59999999999926</v>
      </c>
      <c r="J397" s="20">
        <f t="shared" si="67"/>
        <v>15.387867065204409</v>
      </c>
      <c r="K397" s="20">
        <f t="shared" si="68"/>
        <v>20.642724032264827</v>
      </c>
    </row>
    <row r="398" spans="6:11">
      <c r="F398" s="20">
        <f t="shared" si="70"/>
        <v>157.2999999999999</v>
      </c>
      <c r="G398" s="20">
        <f t="shared" si="64"/>
        <v>19.232385731631265</v>
      </c>
      <c r="H398" s="20">
        <f t="shared" si="65"/>
        <v>23.157718126972963</v>
      </c>
      <c r="I398" s="20">
        <f t="shared" si="66"/>
        <v>192.29999999999924</v>
      </c>
      <c r="J398" s="20">
        <f t="shared" si="67"/>
        <v>15.404942372561951</v>
      </c>
      <c r="K398" s="20">
        <f t="shared" si="68"/>
        <v>20.562044892643996</v>
      </c>
    </row>
    <row r="399" spans="6:11">
      <c r="F399" s="20">
        <f t="shared" si="70"/>
        <v>157.99999999999989</v>
      </c>
      <c r="G399" s="20">
        <f t="shared" si="64"/>
        <v>19.218448436299639</v>
      </c>
      <c r="H399" s="20">
        <f t="shared" si="65"/>
        <v>23.123819780247743</v>
      </c>
      <c r="I399" s="20">
        <f t="shared" si="66"/>
        <v>192.99999999999923</v>
      </c>
      <c r="J399" s="20">
        <f t="shared" si="67"/>
        <v>15.423002062699641</v>
      </c>
      <c r="K399" s="20">
        <f t="shared" si="68"/>
        <v>20.481580383179001</v>
      </c>
    </row>
    <row r="400" spans="6:11">
      <c r="F400" s="20">
        <f t="shared" si="70"/>
        <v>158.69999999999987</v>
      </c>
      <c r="G400" s="20">
        <f t="shared" si="64"/>
        <v>19.204926317243356</v>
      </c>
      <c r="H400" s="20">
        <f t="shared" si="65"/>
        <v>23.089753691418942</v>
      </c>
      <c r="I400" s="20">
        <f t="shared" si="66"/>
        <v>193.69999999999922</v>
      </c>
      <c r="J400" s="20">
        <f t="shared" si="67"/>
        <v>15.442043440015865</v>
      </c>
      <c r="K400" s="20">
        <f t="shared" si="68"/>
        <v>20.401342514057163</v>
      </c>
    </row>
    <row r="401" spans="6:11">
      <c r="F401" s="20">
        <f t="shared" si="70"/>
        <v>159.39999999999986</v>
      </c>
      <c r="G401" s="20">
        <f t="shared" si="64"/>
        <v>19.191821392783083</v>
      </c>
      <c r="H401" s="20">
        <f t="shared" si="65"/>
        <v>23.055524945214113</v>
      </c>
      <c r="I401" s="20">
        <f t="shared" si="66"/>
        <v>194.39999999999921</v>
      </c>
      <c r="J401" s="20">
        <f t="shared" si="67"/>
        <v>15.462063662381716</v>
      </c>
      <c r="K401" s="20">
        <f t="shared" si="68"/>
        <v>20.32134326163732</v>
      </c>
    </row>
    <row r="402" spans="6:11">
      <c r="F402" s="20">
        <f t="shared" ref="F402:F409" si="71">MOD(F401-$E$6*$H$207,360)</f>
        <v>160.09999999999985</v>
      </c>
      <c r="G402" s="20">
        <f t="shared" si="64"/>
        <v>19.179135618968747</v>
      </c>
      <c r="H402" s="20">
        <f t="shared" si="65"/>
        <v>23.021138650639159</v>
      </c>
      <c r="I402" s="20">
        <f t="shared" si="66"/>
        <v>195.0999999999992</v>
      </c>
      <c r="J402" s="20">
        <f t="shared" si="67"/>
        <v>15.483059741565206</v>
      </c>
      <c r="K402" s="20">
        <f t="shared" si="68"/>
        <v>20.241594566662215</v>
      </c>
    </row>
    <row r="403" spans="6:11">
      <c r="F403" s="20">
        <f t="shared" si="71"/>
        <v>160.79999999999984</v>
      </c>
      <c r="G403" s="20">
        <f t="shared" ref="G403:G409" si="72">COS(F403/180*PI())*$E$1*$M$17+$E$2</f>
        <v>19.166870889287559</v>
      </c>
      <c r="H403" s="20">
        <f t="shared" ref="H403:H409" si="73">SIN(F403/180*PI())*$E$1*$M$17+$E$3</f>
        <v>22.986599940215758</v>
      </c>
      <c r="I403" s="20">
        <f t="shared" ref="I403:I409" si="74">MOD(I402-$E$6*$K$207,360)</f>
        <v>195.79999999999919</v>
      </c>
      <c r="J403" s="20">
        <f t="shared" ref="J403:J409" si="75">COS(I403/180*PI())*$E$1*$M$21+$E$2</f>
        <v>15.505028543677298</v>
      </c>
      <c r="K403" s="20">
        <f t="shared" ref="K403:K409" si="76">SIN(I403/180*PI())*$E$1*$M$21+$E$3</f>
        <v>20.162108332476215</v>
      </c>
    </row>
    <row r="404" spans="6:11">
      <c r="F404" s="20">
        <f t="shared" si="71"/>
        <v>161.49999999999983</v>
      </c>
      <c r="G404" s="20">
        <f t="shared" si="72"/>
        <v>19.155029034381407</v>
      </c>
      <c r="H404" s="20">
        <f t="shared" si="73"/>
        <v>22.951913969215287</v>
      </c>
      <c r="I404" s="20">
        <f t="shared" si="74"/>
        <v>196.49999999999918</v>
      </c>
      <c r="J404" s="20">
        <f t="shared" si="75"/>
        <v>15.527966789639668</v>
      </c>
      <c r="K404" s="20">
        <f t="shared" si="76"/>
        <v>20.082896423248616</v>
      </c>
    </row>
    <row r="405" spans="6:11">
      <c r="F405" s="20">
        <f t="shared" si="71"/>
        <v>162.19999999999982</v>
      </c>
      <c r="G405" s="20">
        <f t="shared" si="72"/>
        <v>19.143611821773586</v>
      </c>
      <c r="H405" s="20">
        <f t="shared" si="73"/>
        <v>22.917085914889327</v>
      </c>
      <c r="I405" s="20">
        <f t="shared" si="74"/>
        <v>197.19999999999916</v>
      </c>
      <c r="J405" s="20">
        <f t="shared" si="75"/>
        <v>15.55187105567415</v>
      </c>
      <c r="K405" s="20">
        <f t="shared" si="76"/>
        <v>20.003970662202779</v>
      </c>
    </row>
    <row r="406" spans="6:11">
      <c r="F406" s="20">
        <f t="shared" si="71"/>
        <v>162.89999999999981</v>
      </c>
      <c r="G406" s="20">
        <f t="shared" si="72"/>
        <v>19.132620955605013</v>
      </c>
      <c r="H406" s="20">
        <f t="shared" si="73"/>
        <v>22.882120975696921</v>
      </c>
      <c r="I406" s="20">
        <f t="shared" si="74"/>
        <v>197.89999999999915</v>
      </c>
      <c r="J406" s="20">
        <f t="shared" si="75"/>
        <v>15.576737773813761</v>
      </c>
      <c r="K406" s="20">
        <f t="shared" si="76"/>
        <v>19.925342829851395</v>
      </c>
    </row>
    <row r="407" spans="6:11">
      <c r="F407" s="20">
        <f t="shared" si="71"/>
        <v>163.5999999999998</v>
      </c>
      <c r="G407" s="20">
        <f t="shared" si="72"/>
        <v>19.12205807637983</v>
      </c>
      <c r="H407" s="20">
        <f t="shared" si="73"/>
        <v>22.84702437052864</v>
      </c>
      <c r="I407" s="20">
        <f t="shared" si="74"/>
        <v>198.59999999999914</v>
      </c>
      <c r="J407" s="20">
        <f t="shared" si="75"/>
        <v>15.602563232435266</v>
      </c>
      <c r="K407" s="20">
        <f t="shared" si="76"/>
        <v>19.847024662238123</v>
      </c>
    </row>
    <row r="408" spans="6:11">
      <c r="F408" s="20">
        <f t="shared" si="71"/>
        <v>164.29999999999978</v>
      </c>
      <c r="G408" s="20">
        <f t="shared" si="72"/>
        <v>19.111924760720566</v>
      </c>
      <c r="H408" s="20">
        <f t="shared" si="73"/>
        <v>22.811801337927601</v>
      </c>
      <c r="I408" s="20">
        <f t="shared" si="74"/>
        <v>199.29999999999913</v>
      </c>
      <c r="J408" s="20">
        <f t="shared" si="75"/>
        <v>15.629343576813167</v>
      </c>
      <c r="K408" s="20">
        <f t="shared" si="76"/>
        <v>19.769027849185843</v>
      </c>
    </row>
    <row r="409" spans="6:11">
      <c r="F409" s="20">
        <f t="shared" si="71"/>
        <v>164.99999999999977</v>
      </c>
      <c r="G409" s="20">
        <f t="shared" si="72"/>
        <v>19.102222521132799</v>
      </c>
      <c r="H409" s="20">
        <f t="shared" si="73"/>
        <v>22.776457135307574</v>
      </c>
      <c r="I409" s="20">
        <f t="shared" si="74"/>
        <v>199.99999999999912</v>
      </c>
      <c r="J409" s="20">
        <f t="shared" si="75"/>
        <v>15.657074809695084</v>
      </c>
      <c r="K409" s="20">
        <f t="shared" si="76"/>
        <v>19.691364032551832</v>
      </c>
    </row>
    <row r="410" spans="6:11">
      <c r="G410" s="6" t="s">
        <v>125</v>
      </c>
      <c r="H410" s="6"/>
      <c r="J410" s="6" t="s">
        <v>125</v>
      </c>
      <c r="K410" s="6"/>
    </row>
    <row r="411" spans="6:11">
      <c r="G411">
        <f>(G309-E2)*1.5+E2</f>
        <v>21.607799157635522</v>
      </c>
      <c r="H411">
        <f>(H309-E3)*1.5+E3</f>
        <v>26.482876141412852</v>
      </c>
      <c r="J411" s="15">
        <f>(J309-E2)*1.2+E2</f>
        <v>16.793420361539006</v>
      </c>
      <c r="K411" s="15">
        <f>(K309-E3)*1.2+E3</f>
        <v>28.204959989263696</v>
      </c>
    </row>
  </sheetData>
  <mergeCells count="3">
    <mergeCell ref="N7:O7"/>
    <mergeCell ref="N11:O11"/>
    <mergeCell ref="N1:O2"/>
  </mergeCells>
  <phoneticPr fontId="1" type="noConversion"/>
  <dataValidations count="4">
    <dataValidation type="list" allowBlank="1" showInputMessage="1" showErrorMessage="1" sqref="M1 O3">
      <formula1>"顺时针,逆时针"</formula1>
    </dataValidation>
    <dataValidation type="decimal" allowBlank="1" showInputMessage="1" showErrorMessage="1" sqref="O4:O6 O9:O10 O13:O14">
      <formula1>-360</formula1>
      <formula2>360</formula2>
    </dataValidation>
    <dataValidation type="decimal" allowBlank="1" showInputMessage="1" showErrorMessage="1" sqref="N13 N9">
      <formula1>0</formula1>
      <formula2>2000</formula2>
    </dataValidation>
    <dataValidation type="list" allowBlank="1" showInputMessage="1" showErrorMessage="1" sqref="O15">
      <formula1>"显示XY向,只显示X向,只显示Y向"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动平衡计算</vt:lpstr>
      <vt:lpstr>试加重示意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2017-02-20T08:34:23Z</dcterms:created>
  <dcterms:modified xsi:type="dcterms:W3CDTF">2017-11-01T02:23:20Z</dcterms:modified>
</cp:coreProperties>
</file>